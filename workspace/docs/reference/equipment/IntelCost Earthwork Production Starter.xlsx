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ettings" sheetId="2" state="visible" r:id="rId4"/>
    <sheet name="Activities" sheetId="3" state="visible" r:id="rId5"/>
    <sheet name="Tiers" sheetId="4" state="visible" r:id="rId6"/>
    <sheet name="Default production" sheetId="5" state="visible" r:id="rId7"/>
    <sheet name="Line mapping" sheetId="6" state="visible" r:id="rId8"/>
    <sheet name="Tier machines" sheetId="7" state="visible" r:id="rId9"/>
    <sheet name="Tier crew" sheetId="8" state="visible" r:id="rId10"/>
    <sheet name="Catalog gaps" sheetId="9" state="visible" r:id="rId11"/>
    <sheet name="Old sheet" sheetId="10" state="visible" r:id="rId12"/>
    <sheet name="Catalog ref" sheetId="11" state="visible" r:id="rId13"/>
    <sheet name="Catalog production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<sst xmlns="http://schemas.openxmlformats.org/spreadsheetml/2006/main" count="2267" uniqueCount="507">
  <si>
    <t xml:space="preserve">IntelCost Earthwork Production Starter Data (accepted as drafted, 23 Oct 2026)</t>
  </si>
  <si>
    <t xml:space="preserve">Starter activities, production tiers (from 200 per day upward), spreads and default production for the Earthwork production settings. Split method: Cut lines excavate and load; Fill lines place and compact.</t>
  </si>
  <si>
    <t xml:space="preserve">How to read it</t>
  </si>
  <si>
    <t xml:space="preserve">1. Activities: the 13 activities, their unit and which Calculate line types they price (Line mapping has the full list).</t>
  </si>
  <si>
    <t xml:space="preserve">2. Tiers: one row per production range with its spread. Machine and crew detail is in Tier machines and Tier crew; edit there.</t>
  </si>
  <si>
    <t xml:space="preserve">3. Default production: the production per day a company normally gets, by total job quantity. This picks the tier.</t>
  </si>
  <si>
    <t xml:space="preserve">4. Catalog gaps: machines in the spreads whose catalog data is incomplete, and what to enter. Rows marked "Optional (catalog gap)" are left out of the spread until filled.</t>
  </si>
  <si>
    <t xml:space="preserve">5. Old sheet: what was kept from Crew_Assemley_DE_LLC V12 and what was dropped.</t>
  </si>
  <si>
    <t xml:space="preserve">6. Catalog ref and Catalog production: the catalog values the other sheets look up (copied as published).</t>
  </si>
  <si>
    <t xml:space="preserve">Assumptions (edit on Settings; blue = input)</t>
  </si>
  <si>
    <t xml:space="preserve">- Production per day assumes a 10-hour work day (the old sheet's basis). Set the workspace "hours per work day" to 10, or scale the productions down for 8-hour days.</t>
  </si>
  <si>
    <t xml:space="preserve">- Common earth (loam): 1 BCY = 1.25 LCY = 0.90 CCY (catalog Factors sheet, FM 5-434). Place and compact defaults are kept in step with Excavate and load at 0.90.</t>
  </si>
  <si>
    <t xml:space="preserve">- Haul trucks: hired operated tri-axles (DT-OP-3AXLE, $106.14/hr incl. driver and fuel, catalog A). Counts assume about 140 LCY per truck per day (~10 loads of 14 LCY on a ~1 hr round trip, roughly 10 miles each way). Longer hauls need more trucks.</t>
  </si>
  <si>
    <t xml:space="preserve">- Foreman: 0.5 on Excavate and load + 0.5 on Place and compact = the one foreman of the old combined spread.</t>
  </si>
  <si>
    <t xml:space="preserve">- Operator rows follow machine counts automatically in the app (rule 5). They are listed on Tier crew for review only; do not add them twice.</t>
  </si>
  <si>
    <t xml:space="preserve">- Every machine is a catalog size class (Equip_ID); rates are the national catalog rates. Pickups are left out (no catalog rate).</t>
  </si>
  <si>
    <t xml:space="preserve">What is mine and what is yours</t>
  </si>
  <si>
    <t xml:space="preserve">- Tiers marked "Old sheet" are anchored to your V12 spreads, translated to catalog classes. Tiers marked "Draft" are my proposal between and beyond those anchors. Please review every Draft row.</t>
  </si>
  <si>
    <t xml:space="preserve">- Capacity check (Tiers sheet): catalog production x count x hours per day, for the machine group that limits the spread (excavators; dozers; rollers; loader vs trucks). "OK" means the spread can reach the top of the tier on paper. It is a sanity check, not a production rate. Hired trucks use the Settings truck-day assumption. Tamping compactors, breakers, graders, trench boxes and pipe crews have no usable catalog figure, so those tiers show "Not checked".</t>
  </si>
  <si>
    <t xml:space="preserve">- Nothing here changes the catalog. When approved, this file is loaded as release data for Settings &gt; Equipment library &gt; Earthwork production.</t>
  </si>
  <si>
    <t xml:space="preserve">Setting</t>
  </si>
  <si>
    <t xml:space="preserve">Value</t>
  </si>
  <si>
    <t xml:space="preserve">Note</t>
  </si>
  <si>
    <t xml:space="preserve">Hours per work day</t>
  </si>
  <si>
    <t xml:space="preserve">Old sheet basis (10-hr day). Drives the capacity check only.</t>
  </si>
  <si>
    <t xml:space="preserve">Bank to loose (common earth)</t>
  </si>
  <si>
    <t xml:space="preserve">Catalog Factors, Loam, FM 5-434</t>
  </si>
  <si>
    <t xml:space="preserve">Bank to compacted (common earth)</t>
  </si>
  <si>
    <t xml:space="preserve">Tri-axle LCY per truck-day</t>
  </si>
  <si>
    <t xml:space="preserve">Assumption: ~10 loads x 14 LCY, ~1 hr round trip. Haul tiers are sized at 140 (one tier per truck count); if you change this, change the tier ranges too. The capacity check follows this cell.</t>
  </si>
  <si>
    <t xml:space="preserve">ID</t>
  </si>
  <si>
    <t xml:space="preserve">Activity</t>
  </si>
  <si>
    <t xml:space="preserve">Unit</t>
  </si>
  <si>
    <t xml:space="preserve">Prices these Calculate lines</t>
  </si>
  <si>
    <t xml:space="preserve">Notes</t>
  </si>
  <si>
    <t xml:space="preserve">Tiers</t>
  </si>
  <si>
    <t xml:space="preserve">A1</t>
  </si>
  <si>
    <t xml:space="preserve">Excavate and load (on-site haul)</t>
  </si>
  <si>
    <t xml:space="preserve">BCY</t>
  </si>
  <si>
    <t xml:space="preserve">cut; over-excavation; stockpile (cut to stock)</t>
  </si>
  <si>
    <t xml:space="preserve">Excavator loads off-road trucks that haul to the fill or stockpile on site. Pairs with A3 on the Fill lines.</t>
  </si>
  <si>
    <t xml:space="preserve">A2</t>
  </si>
  <si>
    <t xml:space="preserve">Excavate and load (direct to haul-off trucks)</t>
  </si>
  <si>
    <t xml:space="preserve">undercut (default); use for cut on export-heavy sites</t>
  </si>
  <si>
    <t xml:space="preserve">Excavator only: it loads the haul-off trucks priced on the Haul off line (A7). Avoids paying on-site trucks AND highway trucks for the same material.</t>
  </si>
  <si>
    <t xml:space="preserve">A3</t>
  </si>
  <si>
    <t xml:space="preserve">Place and compact</t>
  </si>
  <si>
    <t xml:space="preserve">CCY</t>
  </si>
  <si>
    <t xml:space="preserve">fill; undercut_replace; undercut_native; replacement fill</t>
  </si>
  <si>
    <t xml:space="preserve">Dozer spreads, roller compacts. Default production kept in step with A1 (0.90 CCY per BCY, common earth).</t>
  </si>
  <si>
    <t xml:space="preserve">A4</t>
  </si>
  <si>
    <t xml:space="preserve">Strip topsoil (push to stockpile)</t>
  </si>
  <si>
    <t xml:space="preserve">strip</t>
  </si>
  <si>
    <t xml:space="preserve">Dozer only. Hauling the stripped topsoil away is A6 on the Haul Off line.</t>
  </si>
  <si>
    <t xml:space="preserve">A5</t>
  </si>
  <si>
    <t xml:space="preserve">Respread topsoil (from stockpile)</t>
  </si>
  <si>
    <t xml:space="preserve">strip_reuse_topsoil</t>
  </si>
  <si>
    <t xml:space="preserve">Load from stockpile, haul on site, spread.</t>
  </si>
  <si>
    <t xml:space="preserve">A6</t>
  </si>
  <si>
    <t xml:space="preserve">Load and haul off (from stockpile)</t>
  </si>
  <si>
    <t xml:space="preserve">LCY</t>
  </si>
  <si>
    <t xml:space="preserve">strip_haul; spoils_export</t>
  </si>
  <si>
    <t xml:space="preserve">Loader plus hired operated tri-axles (driver and fuel in the truck rate).</t>
  </si>
  <si>
    <t xml:space="preserve">A7</t>
  </si>
  <si>
    <t xml:space="preserve">Haul off (loaded by excavator)</t>
  </si>
  <si>
    <t xml:space="preserve">soil_export; undercut_haul</t>
  </si>
  <si>
    <t xml:space="preserve">Hired operated tri-axles only; the excavator that loads them is on the Cut/Undercut line.</t>
  </si>
  <si>
    <t xml:space="preserve">A8</t>
  </si>
  <si>
    <t xml:space="preserve">Haul in (import)</t>
  </si>
  <si>
    <t xml:space="preserve">soil_import</t>
  </si>
  <si>
    <t xml:space="preserve">Hired operated tri-axles. If the material is bought delivered, map soil_import to none and price it as delivered material.</t>
  </si>
  <si>
    <t xml:space="preserve">A9</t>
  </si>
  <si>
    <t xml:space="preserve">Rock excavation (break and load)</t>
  </si>
  <si>
    <t xml:space="preserve">rock_hard_dig</t>
  </si>
  <si>
    <t xml:space="preserve">Excavator with hydraulic breaker. Rock starts below 200/day by nature.</t>
  </si>
  <si>
    <t xml:space="preserve">A10</t>
  </si>
  <si>
    <t xml:space="preserve">Rip rock (dozer)</t>
  </si>
  <si>
    <t xml:space="preserve">(not mapped; alternative to A9 for rippable rock)</t>
  </si>
  <si>
    <t xml:space="preserve">D8 class with ripper.</t>
  </si>
  <si>
    <t xml:space="preserve">A11</t>
  </si>
  <si>
    <t xml:space="preserve">Fine grade / subgrade prep</t>
  </si>
  <si>
    <t xml:space="preserve">SF</t>
  </si>
  <si>
    <t xml:space="preserve">prep</t>
  </si>
  <si>
    <t xml:space="preserve">Grader, roller, part-time backhoe.</t>
  </si>
  <si>
    <t xml:space="preserve">A12</t>
  </si>
  <si>
    <t xml:space="preserve">Pipe crew, gravity storm/sewer (excavate, lay, backfill)</t>
  </si>
  <si>
    <t xml:space="preserve">LF</t>
  </si>
  <si>
    <t xml:space="preserve">utility_pipe</t>
  </si>
  <si>
    <t xml:space="preserve">One crew prices the whole pipe run, so the trench excavation, backfill and bedding lines map to none (bedding stone stays a material by hand).</t>
  </si>
  <si>
    <t xml:space="preserve">A13</t>
  </si>
  <si>
    <t xml:space="preserve">Trench box with pipe crew</t>
  </si>
  <si>
    <t xml:space="preserve">trench_protection</t>
  </si>
  <si>
    <t xml:space="preserve">Box moves with the pipe crew: give it the same production per day as A12 so the days match.</t>
  </si>
  <si>
    <t xml:space="preserve">Tier</t>
  </si>
  <si>
    <t xml:space="preserve">From /day</t>
  </si>
  <si>
    <t xml:space="preserve">To /day</t>
  </si>
  <si>
    <t xml:space="preserve">Spread (machines)</t>
  </si>
  <si>
    <t xml:space="preserve">Crew</t>
  </si>
  <si>
    <t xml:space="preserve">Capacity check /day</t>
  </si>
  <si>
    <t xml:space="preserve">Check</t>
  </si>
  <si>
    <t xml:space="preserve">Source</t>
  </si>
  <si>
    <t xml:space="preserve">1 x 16-18 t (~38,000-40,000 lb) [EX-CRAWL-17T] *pacing; 1 x 26.5 t payload [ADT-25T]</t>
  </si>
  <si>
    <t xml:space="preserve">0.25 Foreman; 2 Operator (auto: follows machine count)</t>
  </si>
  <si>
    <t xml:space="preserve">Draft</t>
  </si>
  <si>
    <t xml:space="preserve">1 x 20-25 t (~48,500-62,800 lb) [EX-CRAWL-20T] *pacing; 2 x 26.5 t payload [ADT-25T]</t>
  </si>
  <si>
    <t xml:space="preserve">0.5 Foreman; 3 Operator (auto: follows machine count)</t>
  </si>
  <si>
    <t xml:space="preserve">1 x 20-25 t (~48,500-62,800 lb) [EX-CRAWL-20T] *pacing; 2 x 30 t payload [ADT-30T]</t>
  </si>
  <si>
    <t xml:space="preserve">1 x 30-36 t (~68,000-81,000 lb) [EX-CRAWL-30T] *pacing; 2 x 30 t payload [ADT-30T]</t>
  </si>
  <si>
    <t xml:space="preserve">0.5 Foreman; 3 Operator (auto: follows machine count); 0.5 Laborer</t>
  </si>
  <si>
    <t xml:space="preserve">Old sheet: Cut to Fill 0-42,000 CY at 1,000/day (CAT 330 + 2 x 30 t ADT)</t>
  </si>
  <si>
    <t xml:space="preserve">1 x 30-36 t (~68,000-81,000 lb) [EX-CRAWL-30T] *pacing; 3 x 30 t payload [ADT-30T]</t>
  </si>
  <si>
    <t xml:space="preserve">0.5 Foreman; 4 Operator (auto: follows machine count); 0.5 Laborer</t>
  </si>
  <si>
    <t xml:space="preserve">1 x 45-55 t (~105,000-108,000 lb) [EX-CRAWL-50T] *pacing; 3 x 30 t payload [ADT-30T]</t>
  </si>
  <si>
    <t xml:space="preserve">0.5 Foreman; 4 Operator (auto: follows machine count); 0.5 Laborer; 0.5 Grade checker</t>
  </si>
  <si>
    <t xml:space="preserve">Old sheet: 42,000-84,000 CY at 2,275/day (CAT 345 + 2 x 40 t ADT; 40 t has no fuel in the catalog, so 3 x 30 t)</t>
  </si>
  <si>
    <t xml:space="preserve">1 x 45-55 t (~105,000-108,000 lb) [EX-CRAWL-50T] *pacing; 4 x 30 t payload [ADT-30T]</t>
  </si>
  <si>
    <t xml:space="preserve">0.5 Foreman; 5 Operator (auto: follows machine count); 0.5 Laborer; 0.5 Grade checker</t>
  </si>
  <si>
    <t xml:space="preserve">2 x 45-55 t (~105,000-108,000 lb) [EX-CRAWL-50T] *pacing; 6 x 30 t payload [ADT-30T]</t>
  </si>
  <si>
    <t xml:space="preserve">0.5 Foreman; 8 Operator (auto: follows machine count); 0.5 Laborer; 0.5 Grade checker</t>
  </si>
  <si>
    <t xml:space="preserve">Old sheet: 84,000-126,000 CY at 5,275/day (2 x CAT 345 + 4 x 40 t + 1 x 30 t)</t>
  </si>
  <si>
    <t xml:space="preserve">2 x 65-75 t (~145,000-163,000 lb) [EX-CRAWL-70T] *pacing; 9 x 30 t payload [ADT-30T]</t>
  </si>
  <si>
    <t xml:space="preserve">1 Foreman; 11 Operator (auto: follows machine count); 1 Laborer; 1 Grade checker</t>
  </si>
  <si>
    <t xml:space="preserve">Draft (old &gt;126,000 CY tab was unfinished)</t>
  </si>
  <si>
    <t xml:space="preserve">1 x 20-25 t (~48,500-62,800 lb) [EX-CRAWL-20T] *pacing</t>
  </si>
  <si>
    <t xml:space="preserve">0.25 Foreman; 1 Operator (auto: follows machine count); 0.5 Laborer (spotter)</t>
  </si>
  <si>
    <t xml:space="preserve">1 x 30-36 t (~68,000-81,000 lb) [EX-CRAWL-30T] *pacing</t>
  </si>
  <si>
    <t xml:space="preserve">Old sheet: Cut to Offsite 1,500/day (CAT 330)</t>
  </si>
  <si>
    <t xml:space="preserve">1 x 45-55 t (~105,000-108,000 lb) [EX-CRAWL-50T] *pacing</t>
  </si>
  <si>
    <t xml:space="preserve">0.5 Foreman; 1 Operator (auto: follows machine count); 1 Laborer (spotter)</t>
  </si>
  <si>
    <t xml:space="preserve">2 x 45-55 t (~105,000-108,000 lb) [EX-CRAWL-50T] *pacing</t>
  </si>
  <si>
    <t xml:space="preserve">0.5 Foreman; 2 Operator (auto: follows machine count); 1 Laborer (spotter)</t>
  </si>
  <si>
    <t xml:space="preserve">Old sheet: Export 2 x PC-400 at 2,501/day</t>
  </si>
  <si>
    <t xml:space="preserve">1 x D3 class (~100-104 hp, 20-24k lb) [DZ-CRAWL-D3] *pacing; 1 x 84 in smooth [CP-SD-84-SM]; 0.25 x 4,000 gal (6x4) [WT-4000] (optional, catalog gap)</t>
  </si>
  <si>
    <t xml:space="preserve">1 x D5 class (~170 hp, ~40k lb) [DZ-CRAWL-D5] *pacing; 1 x 84 in smooth [CP-SD-84-SM]; 0.5 x 4,000 gal (6x4) [WT-4000] (optional, catalog gap)</t>
  </si>
  <si>
    <t xml:space="preserve">0.5 Foreman; 2 Operator (auto: follows machine count)</t>
  </si>
  <si>
    <t xml:space="preserve">1 x D6 class (~215-240 hp, ~50k lb) [DZ-CRAWL-D6] *pacing; 1 x 84 in smooth [CP-SD-84-SM]; 0.5 x 4,000 gal (6x4) [WT-4000] (optional, catalog gap)</t>
  </si>
  <si>
    <t xml:space="preserve">0.5 Foreman; 2 Operator (auto: follows machine count); 0.5 Laborer</t>
  </si>
  <si>
    <t xml:space="preserve">1 x D6 class (~215-240 hp, ~50k lb) [DZ-CRAWL-D6] *pacing; 1 x GPS/machine-control kit for dozer [AT-GPS-DOZER]; 1 x D5 class (~170 hp, ~40k lb) [DZ-CRAWL-D5]; 1 x 84 in smooth [CP-SD-84-SM]; 0.5 x 4,000 gal (6x4) [WT-4000] (optional, catalog gap)</t>
  </si>
  <si>
    <t xml:space="preserve">Old sheet: Cut to Fill 1,000/day placing side (D6R GPS + D5N + roller + 1/2 water truck)</t>
  </si>
  <si>
    <t xml:space="preserve">1 x D6 class (~215-240 hp, ~50k lb) [DZ-CRAWL-D6] *pacing; 1 x GPS/machine-control kit for dozer [AT-GPS-DOZER]; 1 x Cat 815 (~249 hp) [CP-TAMP-815]; 0.5 x 4,000 gal (6x4) [WT-4000] (optional, catalog gap)</t>
  </si>
  <si>
    <t xml:space="preserve">0.5 Foreman; 2 Operator (auto: follows machine count); 2 Laborer</t>
  </si>
  <si>
    <t xml:space="preserve">Not checked</t>
  </si>
  <si>
    <t xml:space="preserve">Old sheet: Import Place &amp; Compact 1,800/day (815 + D6R GPS + 1/2 water truck, 2 laborers)</t>
  </si>
  <si>
    <t xml:space="preserve">1 x D6 class (~215-240 hp, ~50k lb) [DZ-CRAWL-D6] *pacing; 1 x GPS/machine-control kit for dozer [AT-GPS-DOZER]; 2 x D5 class (~170 hp, ~40k lb) [DZ-CRAWL-D5]; 1 x Cat 815 (~249 hp) [CP-TAMP-815]; 1 x 4,000 gal (6x4) [WT-4000] (optional, catalog gap)</t>
  </si>
  <si>
    <t xml:space="preserve">0.5 Foreman; 4 Operator (auto: follows machine count); 0.5 Grade checker</t>
  </si>
  <si>
    <t xml:space="preserve">Old sheet: 2,275/day placing side (D6R GPS + 2 x D5N + 815 + water truck)</t>
  </si>
  <si>
    <t xml:space="preserve">2 x D6 class (~215-240 hp, ~50k lb) [DZ-CRAWL-D6] *pacing; 2 x GPS/machine-control kit for dozer [AT-GPS-DOZER]; 0.5 x D8 class (~363 hp) [DZ-CRAWL-D8]; 0.5 x D5 class (~170 hp, ~40k lb) [DZ-CRAWL-D5]; 2 x Cat 815 (~249 hp) [CP-TAMP-815]; 1 x 8,000 gal ADT-based [WT-8000-ADT] (optional, catalog gap)</t>
  </si>
  <si>
    <t xml:space="preserve">0.5 Foreman; 5 Operator (auto: follows machine count); 0.5 Grade checker</t>
  </si>
  <si>
    <t xml:space="preserve">Old sheet: 5,275/day placing side (2 x D6R GPS + 1/2 D8T + 1/2 D5N + 2 x 815 + water truck)</t>
  </si>
  <si>
    <t xml:space="preserve">2 x D8 class (~363 hp) [DZ-CRAWL-D8] *pacing; 1 x D6 class (~215-240 hp, ~50k lb) [DZ-CRAWL-D6]; 1 x GPS/machine-control kit for dozer [AT-GPS-DOZER]; 2 x Cat 825 (~405 hp) [CP-TAMP-825]; 2 x 8,000 gal ADT-based [WT-8000-ADT] (optional, catalog gap)</t>
  </si>
  <si>
    <t xml:space="preserve">1 Foreman; 5 Operator (auto: follows machine count); 1 Grade checker</t>
  </si>
  <si>
    <t xml:space="preserve">1 x D3 class (~100-104 hp, 20-24k lb) [DZ-CRAWL-D3] *pacing</t>
  </si>
  <si>
    <t xml:space="preserve">0.25 Foreman; 1 Operator (auto: follows machine count)</t>
  </si>
  <si>
    <t xml:space="preserve">1 x D5 class (~170 hp, ~40k lb) [DZ-CRAWL-D5] *pacing</t>
  </si>
  <si>
    <t xml:space="preserve">1 x D6 class (~215-240 hp, ~50k lb) [DZ-CRAWL-D6] *pacing</t>
  </si>
  <si>
    <t xml:space="preserve">Old sheet: Strip 1,500/day (dozer side: D6R)</t>
  </si>
  <si>
    <t xml:space="preserve">1 x D6 class (~215-240 hp, ~50k lb) [DZ-CRAWL-D6] *pacing; 1 x D5 class (~170 hp, ~40k lb) [DZ-CRAWL-D5]</t>
  </si>
  <si>
    <t xml:space="preserve">Old sheet: Strip with highway trucks 2,300/day (dozer side: D6M + D5N)</t>
  </si>
  <si>
    <t xml:space="preserve">1 x D8 class (~363 hp) [DZ-CRAWL-D8] *pacing; 1 x D6 class (~215-240 hp, ~50k lb) [DZ-CRAWL-D6]</t>
  </si>
  <si>
    <t xml:space="preserve">1 x ROC &gt;3,000 lb [CTL-LARGE] *pacing; 1 x D3 class (~100-104 hp, 20-24k lb) [DZ-CRAWL-D3]</t>
  </si>
  <si>
    <t xml:space="preserve">0.25 Foreman; 2 Operator (auto: follows machine count); 1 Laborer</t>
  </si>
  <si>
    <t xml:space="preserve">1 x 3-3.2 yd (~170 hp) [WL-SMALL-3Y] *pacing; 1 x 26.5 t payload [ADT-25T]; 1 x D4 class (~130 hp, ~30k lb) [DZ-CRAWL-D4]</t>
  </si>
  <si>
    <t xml:space="preserve">0.25 Foreman; 3 Operator (auto: follows machine count); 0.5 Laborer</t>
  </si>
  <si>
    <t xml:space="preserve">Old sheet: Respread 500/day (used CAT 330 + D6M + 40 t truck; loader used here)</t>
  </si>
  <si>
    <t xml:space="preserve">1 x 4.5 yd (~225-250 hp) [WL-MED-45Y] *pacing; 2 x 30 t payload [ADT-30T]; 1 x D5 class (~170 hp, ~40k lb) [DZ-CRAWL-D5]</t>
  </si>
  <si>
    <t xml:space="preserve">1 x 4.5 yd (~225-250 hp) [WL-MED-45Y] *pacing; 3 x 30 t payload [ADT-30T]; 1 x D6 class (~215-240 hp, ~50k lb) [DZ-CRAWL-D6]</t>
  </si>
  <si>
    <t xml:space="preserve">0.5 Foreman; 5 Operator (auto: follows machine count); 0.5 Laborer</t>
  </si>
  <si>
    <t xml:space="preserve">1 x 3-3.2 yd (~170 hp) [WL-SMALL-3Y] *pacing; 2 x 3-axle (tri-axle), operated [DT-OP-3AXLE]</t>
  </si>
  <si>
    <t xml:space="preserve">Draft; 2 trucks x 140 LCY per truck-day</t>
  </si>
  <si>
    <t xml:space="preserve">1 x 3-3.2 yd (~170 hp) [WL-SMALL-3Y] *pacing; 3 x 3-axle (tri-axle), operated [DT-OP-3AXLE]</t>
  </si>
  <si>
    <t xml:space="preserve">Draft; 3 trucks x 140 LCY per truck-day</t>
  </si>
  <si>
    <t xml:space="preserve">1 x 3-3.2 yd (~170 hp) [WL-SMALL-3Y] *pacing; 4 x 3-axle (tri-axle), operated [DT-OP-3AXLE]</t>
  </si>
  <si>
    <t xml:space="preserve">Draft; 4 trucks x 140 LCY per truck-day</t>
  </si>
  <si>
    <t xml:space="preserve">1 x 3-3.2 yd (~170 hp) [WL-SMALL-3Y] *pacing; 5 x 3-axle (tri-axle), operated [DT-OP-3AXLE]</t>
  </si>
  <si>
    <t xml:space="preserve">Draft; 5 trucks x 140 LCY per truck-day</t>
  </si>
  <si>
    <t xml:space="preserve">1 x 3-3.2 yd (~170 hp) [WL-SMALL-3Y] *pacing; 6 x 3-axle (tri-axle), operated [DT-OP-3AXLE]</t>
  </si>
  <si>
    <t xml:space="preserve">Draft; 6 trucks x 140 LCY per truck-day</t>
  </si>
  <si>
    <t xml:space="preserve">1 x 3-3.2 yd (~170 hp) [WL-SMALL-3Y] *pacing; 8 x 3-axle (tri-axle), operated [DT-OP-3AXLE]</t>
  </si>
  <si>
    <t xml:space="preserve">Draft; 8 trucks x 140 LCY per truck-day</t>
  </si>
  <si>
    <t xml:space="preserve">1 x 4.5 yd (~225-250 hp) [WL-MED-45Y] *pacing; 10 x 3-axle (tri-axle), operated [DT-OP-3AXLE]</t>
  </si>
  <si>
    <t xml:space="preserve">0.5 Foreman; 1 Operator (auto: follows machine count); 0.5 Laborer (spotter)</t>
  </si>
  <si>
    <t xml:space="preserve">Draft; 10 trucks x 140 LCY per truck-day</t>
  </si>
  <si>
    <t xml:space="preserve">1 x 4.5 yd (~225-250 hp) [WL-MED-45Y] *pacing; 12 x 3-axle (tri-axle), operated [DT-OP-3AXLE]</t>
  </si>
  <si>
    <t xml:space="preserve">Draft; 12 trucks x 140 LCY per truck-day</t>
  </si>
  <si>
    <t xml:space="preserve">1 x 4.5 yd (~225-250 hp) [WL-MED-45Y] *pacing; 15 x 3-axle (tri-axle), operated [DT-OP-3AXLE]</t>
  </si>
  <si>
    <t xml:space="preserve">Draft; 15 trucks x 140 LCY per truck-day</t>
  </si>
  <si>
    <t xml:space="preserve">1 x 4.5 yd (~225-250 hp) [WL-MED-45Y] *pacing; 18 x 3-axle (tri-axle), operated [DT-OP-3AXLE]</t>
  </si>
  <si>
    <t xml:space="preserve">Draft; 18 trucks x 140 LCY per truck-day</t>
  </si>
  <si>
    <t xml:space="preserve">1 x 4.5 yd (~225-250 hp) [WL-MED-45Y] *pacing; 22 x 3-axle (tri-axle), operated [DT-OP-3AXLE]</t>
  </si>
  <si>
    <t xml:space="preserve">Draft; 22 trucks x 140 LCY per truck-day</t>
  </si>
  <si>
    <t xml:space="preserve">2 x 3-axle (tri-axle), operated [DT-OP-3AXLE] *pacing</t>
  </si>
  <si>
    <t xml:space="preserve">0.5 Laborer (spotter)</t>
  </si>
  <si>
    <t xml:space="preserve">3 x 3-axle (tri-axle), operated [DT-OP-3AXLE] *pacing</t>
  </si>
  <si>
    <t xml:space="preserve">4 x 3-axle (tri-axle), operated [DT-OP-3AXLE] *pacing</t>
  </si>
  <si>
    <t xml:space="preserve">5 x 3-axle (tri-axle), operated [DT-OP-3AXLE] *pacing</t>
  </si>
  <si>
    <t xml:space="preserve">6 x 3-axle (tri-axle), operated [DT-OP-3AXLE] *pacing</t>
  </si>
  <si>
    <t xml:space="preserve">8 x 3-axle (tri-axle), operated [DT-OP-3AXLE] *pacing</t>
  </si>
  <si>
    <t xml:space="preserve">10 x 3-axle (tri-axle), operated [DT-OP-3AXLE] *pacing</t>
  </si>
  <si>
    <t xml:space="preserve">12 x 3-axle (tri-axle), operated [DT-OP-3AXLE] *pacing</t>
  </si>
  <si>
    <t xml:space="preserve">15 x 3-axle (tri-axle), operated [DT-OP-3AXLE] *pacing</t>
  </si>
  <si>
    <t xml:space="preserve">18 x 3-axle (tri-axle), operated [DT-OP-3AXLE] *pacing</t>
  </si>
  <si>
    <t xml:space="preserve">22 x 3-axle (tri-axle), operated [DT-OP-3AXLE] *pacing</t>
  </si>
  <si>
    <t xml:space="preserve">0.5 Laborer (dump spotter)</t>
  </si>
  <si>
    <t xml:space="preserve">1 x 20-25 t (~48,500-62,800 lb) [EX-CRAWL-20T] *pacing; 1 x Hydraulic breaker for 20-30 t excavator [AT-BRK-20T]</t>
  </si>
  <si>
    <t xml:space="preserve">0.25 Foreman; 1 Operator (auto: follows machine count); 0.5 Laborer</t>
  </si>
  <si>
    <t xml:space="preserve">Old sheet: Hammer Hoe 50/day</t>
  </si>
  <si>
    <t xml:space="preserve">1 x 30-36 t (~68,000-81,000 lb) [EX-CRAWL-30T] *pacing; 1 x Hydraulic breaker for ~36 t excavator (HB-3100) [AT-BRK-36T]; 1 x 20-25 t (~48,500-62,800 lb) [EX-CRAWL-20T]</t>
  </si>
  <si>
    <t xml:space="preserve">2 x 30-36 t (~68,000-81,000 lb) [EX-CRAWL-30T] *pacing; 2 x Hydraulic breaker for ~36 t excavator (HB-3100) [AT-BRK-36T]; 1 x 30-36 t (~68,000-81,000 lb) [EX-CRAWL-30T]</t>
  </si>
  <si>
    <t xml:space="preserve">0.5 Foreman; 3 Operator (auto: follows machine count); 1 Laborer</t>
  </si>
  <si>
    <t xml:space="preserve">3 x 30-36 t (~68,000-81,000 lb) [EX-CRAWL-30T] *pacing; 3 x Hydraulic breaker for ~36 t excavator (HB-3100) [AT-BRK-36T]; 1 x 45-55 t (~105,000-108,000 lb) [EX-CRAWL-50T]</t>
  </si>
  <si>
    <t xml:space="preserve">1 Foreman; 4 Operator (auto: follows machine count); 1 Laborer</t>
  </si>
  <si>
    <t xml:space="preserve">1 x D8 class (~363 hp) [DZ-CRAWL-D8] *pacing</t>
  </si>
  <si>
    <t xml:space="preserve">1 Operator (auto: follows machine count); 0.25 Foreman</t>
  </si>
  <si>
    <t xml:space="preserve">Old sheet: Ripping Rock 400/day (D8R)</t>
  </si>
  <si>
    <t xml:space="preserve">2 x D8 class (~363 hp) [DZ-CRAWL-D8] *pacing</t>
  </si>
  <si>
    <t xml:space="preserve">2 Operator (auto: follows machine count); 0.5 Foreman</t>
  </si>
  <si>
    <t xml:space="preserve">1 x ROC &gt;3,000 lb [CTL-LARGE] *pacing; 0.5 x 84 in smooth [CP-SD-84-SM]</t>
  </si>
  <si>
    <t xml:space="preserve">0.25 Foreman; 1.5 Operator (auto: follows machine count); 2 Laborer</t>
  </si>
  <si>
    <t xml:space="preserve">1 x 12 ft (Cat 140) [GR-12FT-140] *pacing; 0.5 x 84 in smooth [CP-SD-84-SM]; 0.25 x 4,000 gal (6x4) [WT-4000] (optional, catalog gap)</t>
  </si>
  <si>
    <t xml:space="preserve">0.5 Foreman; 1.5 Operator (auto: follows machine count); 2 Laborer; 0.5 Grade checker</t>
  </si>
  <si>
    <t xml:space="preserve">1 x 12 ft (Cat 140) [GR-12FT-140] *pacing; 0.5 x 84 in smooth [CP-SD-84-SM]; 0.5 x Standard 14-15 ft dig (90-103 hp) [BH-STD-14FT]; 0.5 x 4,000 gal (6x4) [WT-4000] (optional, catalog gap)</t>
  </si>
  <si>
    <t xml:space="preserve">1 Foreman; 2 Operator (auto: follows machine count); 2 Laborer</t>
  </si>
  <si>
    <t xml:space="preserve">Old sheet: Finegrade Crew 30,000 SF/day (grader + 1/2 roller + 1/2 backhoe + 1/2 water truck)</t>
  </si>
  <si>
    <t xml:space="preserve">1 x 14 ft (Cat 160) [GR-14FT-160] *pacing; 1 x 84 in smooth [CP-SD-84-SM]; 0.5 x Standard 14-15 ft dig (90-103 hp) [BH-STD-14FT]; 0.5 x 4,000 gal (6x4) [WT-4000] (optional, catalog gap)</t>
  </si>
  <si>
    <t xml:space="preserve">1 Foreman; 2.5 Operator (auto: follows machine count); 2 Laborer; 1 Grade checker</t>
  </si>
  <si>
    <t xml:space="preserve">1 x 20-25 t (~48,500-62,800 lb) [EX-CRAWL-20T] *pacing; 1 x ~1-1.25 yd (~68-75 hp) [WL-COMPACT-1Y]; 1 x ~32-33 in, ~3,200 lb [CP-TRENCH-ROLLER] (optional, catalog gap); 1 x ~800-1,100 lb reversible plate [CP-PLATE-REV] (optional, catalog gap)</t>
  </si>
  <si>
    <t xml:space="preserve">1 Foreman; 2 Operator (auto: follows machine count); 2 Pipelayer; 2 Laborer</t>
  </si>
  <si>
    <t xml:space="preserve">1 x 30-36 t (~68,000-81,000 lb) [EX-CRAWL-30T] *pacing; 1 x ~1-1.25 yd (~68-75 hp) [WL-COMPACT-1Y]; 1 x ~32-33 in, ~3,200 lb [CP-TRENCH-ROLLER] (optional, catalog gap); 1 x ~800-1,100 lb reversible plate [CP-PLATE-REV] (optional, catalog gap)</t>
  </si>
  <si>
    <t xml:space="preserve">1 Foreman; 2 Operator (auto: follows machine count); 4 Laborer</t>
  </si>
  <si>
    <t xml:space="preserve">Old sheet: Storm slow 120 / fast 200 LF/day (PC-300 + IT28 loader + trench roller + plate, 4 laborers)</t>
  </si>
  <si>
    <t xml:space="preserve">1 x 30-36 t (~68,000-81,000 lb) [EX-CRAWL-30T] *pacing; 1 x 20-25 t (~48,500-62,800 lb) [EX-CRAWL-20T]; 1 x ~1-1.25 yd (~68-75 hp) [WL-COMPACT-1Y]; 1 x D3 class (~100-104 hp, 20-24k lb) [DZ-CRAWL-D3]; 1 x ~32-33 in, ~3,200 lb [CP-TRENCH-ROLLER] (optional, catalog gap); 1 x ~800-1,100 lb reversible plate [CP-PLATE-REV] (optional, catalog gap)</t>
  </si>
  <si>
    <t xml:space="preserve">1 Foreman; 4 Operator (auto: follows machine count); 5 Laborer</t>
  </si>
  <si>
    <t xml:space="preserve">Old sheet: Sewer 2 hoes 250 LF/day (PC220 + CAT 325 + IT28 + D4 + trench roller + plate, 5 laborers)</t>
  </si>
  <si>
    <t xml:space="preserve">2 x 30-36 t (~68,000-81,000 lb) [EX-CRAWL-30T] *pacing; 1 x 2-2.5 yd (~110 hp) [WL-COMPACT-2Y]; 1 x D4 class (~130 hp, ~30k lb) [DZ-CRAWL-D4]; 1 x ~32-33 in, ~3,200 lb [CP-TRENCH-ROLLER] (optional, catalog gap); 1 x ~800-1,100 lb reversible plate [CP-PLATE-REV] (optional, catalog gap)</t>
  </si>
  <si>
    <t xml:space="preserve">1 Foreman; 4 Operator (auto: follows machine count); 6 Laborer</t>
  </si>
  <si>
    <t xml:space="preserve">1 x Steel trench box 8x20 [TB-STL-8x20] *pacing</t>
  </si>
  <si>
    <t xml:space="preserve">2 x Steel trench box 8x20 [TB-STL-8x20] *pacing</t>
  </si>
  <si>
    <t xml:space="preserve">Activity name</t>
  </si>
  <si>
    <t xml:space="preserve">Job quantity from</t>
  </si>
  <si>
    <t xml:space="preserve">Job quantity to</t>
  </si>
  <si>
    <t xml:space="preserve">Default production /day</t>
  </si>
  <si>
    <t xml:space="preserve">Tier it lands in</t>
  </si>
  <si>
    <t xml:space="preserve">Tier it lands in = 0 means the default production falls outside every tier: fix before loading.</t>
  </si>
  <si>
    <t xml:space="preserve">Calculate line type (code key)</t>
  </si>
  <si>
    <t xml:space="preserve">cut</t>
  </si>
  <si>
    <t xml:space="preserve">Calculate (confirmed overnight)</t>
  </si>
  <si>
    <t xml:space="preserve">fill</t>
  </si>
  <si>
    <t xml:space="preserve">Calculate (confirmed)</t>
  </si>
  <si>
    <t xml:space="preserve">strip_haul</t>
  </si>
  <si>
    <t xml:space="preserve">Calculate (confirmed; BCY, not LCY)</t>
  </si>
  <si>
    <t xml:space="preserve">undercut</t>
  </si>
  <si>
    <t xml:space="preserve">undercut_haul</t>
  </si>
  <si>
    <t xml:space="preserve">undercut_native</t>
  </si>
  <si>
    <t xml:space="preserve">CY</t>
  </si>
  <si>
    <t xml:space="preserve">undercut_replace</t>
  </si>
  <si>
    <t xml:space="preserve">soil_export</t>
  </si>
  <si>
    <t xml:space="preserve">spoils_export</t>
  </si>
  <si>
    <t xml:space="preserve">utility_trench_excavation</t>
  </si>
  <si>
    <t xml:space="preserve">none</t>
  </si>
  <si>
    <t xml:space="preserve">Inside the pipe crew (A12)</t>
  </si>
  <si>
    <t xml:space="preserve">utility_backfill</t>
  </si>
  <si>
    <t xml:space="preserve">utility_bedding_pipe_zone</t>
  </si>
  <si>
    <t xml:space="preserve">Inside the pipe crew; bedding stone as material by hand</t>
  </si>
  <si>
    <t xml:space="preserve">stabilize / stabilize_mix</t>
  </si>
  <si>
    <t xml:space="preserve">SY</t>
  </si>
  <si>
    <t xml:space="preserve">Usually subcontracted; the catalog reclaimer (PV-STABILIZER-WR2400) has no rate</t>
  </si>
  <si>
    <t xml:space="preserve">stabilize_agent_1 / _2</t>
  </si>
  <si>
    <t xml:space="preserve">TON</t>
  </si>
  <si>
    <t xml:space="preserve">Material (cement, fly ash, lime)</t>
  </si>
  <si>
    <t xml:space="preserve">dewatering</t>
  </si>
  <si>
    <t xml:space="preserve">Job-specific; price by hand</t>
  </si>
  <si>
    <t xml:space="preserve">over-excavation</t>
  </si>
  <si>
    <t xml:space="preserve">Key name to confirm in code</t>
  </si>
  <si>
    <t xml:space="preserve">replacement fill</t>
  </si>
  <si>
    <t xml:space="preserve">stockpile</t>
  </si>
  <si>
    <t xml:space="preserve">geosynthetics</t>
  </si>
  <si>
    <t xml:space="preserve">Material and labour by hand; key name to confirm</t>
  </si>
  <si>
    <t xml:space="preserve">Export-heavy site: switch "cut" to A2 so the cut is not paid with on-site trucks and haul-off trucks.</t>
  </si>
  <si>
    <t xml:space="preserve">Equip_ID</t>
  </si>
  <si>
    <t xml:space="preserve">Size class</t>
  </si>
  <si>
    <t xml:space="preserve">Count</t>
  </si>
  <si>
    <t xml:space="preserve">Pacing</t>
  </si>
  <si>
    <t xml:space="preserve">Capacity group</t>
  </si>
  <si>
    <t xml:space="preserve">Optional (catalog gap)</t>
  </si>
  <si>
    <t xml:space="preserve">Capacity activity</t>
  </si>
  <si>
    <t xml:space="preserve">Catalog production /hr</t>
  </si>
  <si>
    <t xml:space="preserve">Capacity per day (activity unit)</t>
  </si>
  <si>
    <t xml:space="preserve">Rent day</t>
  </si>
  <si>
    <t xml:space="preserve">Fuel gal/hr med</t>
  </si>
  <si>
    <t xml:space="preserve">Mob one way @50 mi</t>
  </si>
  <si>
    <t xml:space="preserve">EX-CRAWL-17T</t>
  </si>
  <si>
    <t xml:space="preserve">Y</t>
  </si>
  <si>
    <t xml:space="preserve">main</t>
  </si>
  <si>
    <t xml:space="preserve">EW-CUTLOAD</t>
  </si>
  <si>
    <t xml:space="preserve">ADT-25T</t>
  </si>
  <si>
    <t xml:space="preserve">EX-CRAWL-20T</t>
  </si>
  <si>
    <t xml:space="preserve">ADT-30T</t>
  </si>
  <si>
    <t xml:space="preserve">EX-CRAWL-30T</t>
  </si>
  <si>
    <t xml:space="preserve">EX-CRAWL-50T</t>
  </si>
  <si>
    <t xml:space="preserve">EX-CRAWL-70T</t>
  </si>
  <si>
    <t xml:space="preserve">DZ-CRAWL-D3</t>
  </si>
  <si>
    <t xml:space="preserve">CP-SD-84-SM</t>
  </si>
  <si>
    <t xml:space="preserve">EW-COMP-SOIL-8</t>
  </si>
  <si>
    <t xml:space="preserve">WT-4000</t>
  </si>
  <si>
    <t xml:space="preserve">DZ-CRAWL-D5</t>
  </si>
  <si>
    <t xml:space="preserve">DZ-CRAWL-D6</t>
  </si>
  <si>
    <t xml:space="preserve">AT-GPS-DOZER</t>
  </si>
  <si>
    <t xml:space="preserve">CP-TAMP-815</t>
  </si>
  <si>
    <t xml:space="preserve">DZ-CRAWL-D8</t>
  </si>
  <si>
    <t xml:space="preserve">WT-8000-ADT</t>
  </si>
  <si>
    <t xml:space="preserve">CP-TAMP-825</t>
  </si>
  <si>
    <t xml:space="preserve">EW-PUSH-100</t>
  </si>
  <si>
    <t xml:space="preserve">CTL-LARGE</t>
  </si>
  <si>
    <t xml:space="preserve">EW-LOAD-TRK</t>
  </si>
  <si>
    <t xml:space="preserve">WL-SMALL-3Y</t>
  </si>
  <si>
    <t xml:space="preserve">DZ-CRAWL-D4</t>
  </si>
  <si>
    <t xml:space="preserve">WL-MED-45Y</t>
  </si>
  <si>
    <t xml:space="preserve">load</t>
  </si>
  <si>
    <t xml:space="preserve">DT-OP-3AXLE</t>
  </si>
  <si>
    <t xml:space="preserve">haul</t>
  </si>
  <si>
    <t xml:space="preserve">assumption</t>
  </si>
  <si>
    <t xml:space="preserve">LCY/hr</t>
  </si>
  <si>
    <t xml:space="preserve">AT-BRK-20T</t>
  </si>
  <si>
    <t xml:space="preserve">AT-BRK-36T</t>
  </si>
  <si>
    <t xml:space="preserve">EW-RIP</t>
  </si>
  <si>
    <t xml:space="preserve">GR-12FT-140</t>
  </si>
  <si>
    <t xml:space="preserve">BH-STD-14FT</t>
  </si>
  <si>
    <t xml:space="preserve">GR-14FT-160</t>
  </si>
  <si>
    <t xml:space="preserve">WL-COMPACT-1Y</t>
  </si>
  <si>
    <t xml:space="preserve">CP-TRENCH-ROLLER</t>
  </si>
  <si>
    <t xml:space="preserve">CP-PLATE-REV</t>
  </si>
  <si>
    <t xml:space="preserve">WL-COMPACT-2Y</t>
  </si>
  <si>
    <t xml:space="preserve">TB-STL-8x20</t>
  </si>
  <si>
    <t xml:space="preserve">Crew role</t>
  </si>
  <si>
    <t xml:space="preserve">Foreman</t>
  </si>
  <si>
    <t xml:space="preserve">Operator (auto: follows machine count)</t>
  </si>
  <si>
    <t xml:space="preserve">Listed for review; the app adds operators per machine</t>
  </si>
  <si>
    <t xml:space="preserve">Laborer</t>
  </si>
  <si>
    <t xml:space="preserve">Grade checker</t>
  </si>
  <si>
    <t xml:space="preserve">Laborer (spotter)</t>
  </si>
  <si>
    <t xml:space="preserve">Laborer (dump spotter)</t>
  </si>
  <si>
    <t xml:space="preserve">Pipelayer</t>
  </si>
  <si>
    <t xml:space="preserve">Machine</t>
  </si>
  <si>
    <t xml:space="preserve">Missing in catalog</t>
  </si>
  <si>
    <t xml:space="preserve">Effect if used</t>
  </si>
  <si>
    <t xml:space="preserve">Enter once in Settings &gt; Equipment library</t>
  </si>
  <si>
    <t xml:space="preserve">Water truck 4,000 gal</t>
  </si>
  <si>
    <t xml:space="preserve">Fuel gal/hr; mob (self-propelled)</t>
  </si>
  <si>
    <t xml:space="preserve">Line shows "No data" for fuel; mob needs a quote or "none"</t>
  </si>
  <si>
    <t xml:space="preserve">Company fuel gal/hr; confirm mob none (drives itself)</t>
  </si>
  <si>
    <t xml:space="preserve">Water truck 8,000 gal ADT</t>
  </si>
  <si>
    <t xml:space="preserve">Fuel gal/hr</t>
  </si>
  <si>
    <t xml:space="preserve">Fuel "No data"</t>
  </si>
  <si>
    <t xml:space="preserve">Company fuel gal/hr</t>
  </si>
  <si>
    <t xml:space="preserve">ADT-40T</t>
  </si>
  <si>
    <t xml:space="preserve">ADT 40 t</t>
  </si>
  <si>
    <t xml:space="preserve">Not used; 30 t trucks used instead</t>
  </si>
  <si>
    <t xml:space="preserve">Enter fuel, then swap 3 x 30 t for 2 x 40 t where you prefer (old sheet used 40 t)</t>
  </si>
  <si>
    <t xml:space="preserve">CP-SD-84-PAD</t>
  </si>
  <si>
    <t xml:space="preserve">84 in padfoot roller</t>
  </si>
  <si>
    <t xml:space="preserve">Not used; 84 in smooth used</t>
  </si>
  <si>
    <t xml:space="preserve">Enter fuel, then swap for cohesive (clay) fill</t>
  </si>
  <si>
    <t xml:space="preserve">Trench roller</t>
  </si>
  <si>
    <t xml:space="preserve">Optional row in pipe crews</t>
  </si>
  <si>
    <t xml:space="preserve">Reversible plate</t>
  </si>
  <si>
    <t xml:space="preserve">CP-TAMP-815 / 825</t>
  </si>
  <si>
    <t xml:space="preserve">Tamping compactors</t>
  </si>
  <si>
    <t xml:space="preserve">Production (D)</t>
  </si>
  <si>
    <t xml:space="preserve">No capacity check on those Place and compact tiers</t>
  </si>
  <si>
    <t xml:space="preserve">Nothing needed for pricing</t>
  </si>
  <si>
    <t xml:space="preserve">Hired tri-axle</t>
  </si>
  <si>
    <t xml:space="preserve">Minimum hours</t>
  </si>
  <si>
    <t xml:space="preserve">Advisory only</t>
  </si>
  <si>
    <t xml:space="preserve">Company minimum (often 4 hr)</t>
  </si>
  <si>
    <t xml:space="preserve">TRK-PU-*</t>
  </si>
  <si>
    <t xml:space="preserve">Pickups</t>
  </si>
  <si>
    <t xml:space="preserve">All rates (D)</t>
  </si>
  <si>
    <t xml:space="preserve">Left out of every spread</t>
  </si>
  <si>
    <t xml:space="preserve">Add a company pickup with your rate if you price pickups in crews</t>
  </si>
  <si>
    <t xml:space="preserve">PV-STABILIZER-WR2400</t>
  </si>
  <si>
    <t xml:space="preserve">Soil stabilizer / reclaimer</t>
  </si>
  <si>
    <t xml:space="preserve">All rates</t>
  </si>
  <si>
    <t xml:space="preserve">Stabilization left unmapped</t>
  </si>
  <si>
    <t xml:space="preserve">Enter a rate to build a stabilization activity, or keep subcontracting</t>
  </si>
  <si>
    <t xml:space="preserve">From Crew_Assemley_DE_LLC V12</t>
  </si>
  <si>
    <t xml:space="preserve">Kept / dropped</t>
  </si>
  <si>
    <t xml:space="preserve">How it is used here</t>
  </si>
  <si>
    <t xml:space="preserve">Spreads for Cut to Fill, Strip, Respread, Import, Export, Hammer Hoe, Ripping, Finegrade, Storm/Sewer pipe</t>
  </si>
  <si>
    <t xml:space="preserve">Kept</t>
  </si>
  <si>
    <t xml:space="preserve">Anchors for the tiers marked "Old sheet", translated to catalog size classes and split into excavate / place</t>
  </si>
  <si>
    <t xml:space="preserve">Quantity ranges (0-42k / 42-84k / 84-126k / &gt;126k CY) and the production ladder</t>
  </si>
  <si>
    <t xml:space="preserve">Default production by job quantity, extended down to 250/day for small jobs</t>
  </si>
  <si>
    <t xml:space="preserve">Fractional machines and crew (1/2 water truck, 1/4 foreman)</t>
  </si>
  <si>
    <t xml:space="preserve">Decimal counts in spreads</t>
  </si>
  <si>
    <t xml:space="preserve">10-hour work day</t>
  </si>
  <si>
    <t xml:space="preserve">Basis of every production per day</t>
  </si>
  <si>
    <t xml:space="preserve">Typed-over equipment rates in crew tabs (e.g. CAT 330 $65/hr vs $142.80 list)</t>
  </si>
  <si>
    <t xml:space="preserve">Dropped</t>
  </si>
  <si>
    <t xml:space="preserve">National catalog rates; company rates go in as overrides</t>
  </si>
  <si>
    <t xml:space="preserve">Fuel at $4 in the Equipment sheet vs $5 in crews</t>
  </si>
  <si>
    <t xml:space="preserve">Fuel price is an estimate setting</t>
  </si>
  <si>
    <t xml:space="preserve">Labour rates x 0.93</t>
  </si>
  <si>
    <t xml:space="preserve">Wage set rates</t>
  </si>
  <si>
    <t xml:space="preserve">2021 burden worksheet</t>
  </si>
  <si>
    <t xml:space="preserve">Wage Calculator burden</t>
  </si>
  <si>
    <t xml:space="preserve">"Labor Hours" output (crew $/CY / $166.11)</t>
  </si>
  <si>
    <t xml:space="preserve">Labour and equipment priced separately</t>
  </si>
  <si>
    <t xml:space="preserve">Cut to Fill &gt; 126k CY (highway trucks) tab</t>
  </si>
  <si>
    <t xml:space="preserve">Counts were mostly 0; top tiers are drafts</t>
  </si>
  <si>
    <t xml:space="preserve">Pickups in every crew</t>
  </si>
  <si>
    <t xml:space="preserve">No catalog rate (see Catalog gaps)</t>
  </si>
  <si>
    <t xml:space="preserve">Type</t>
  </si>
  <si>
    <t xml:space="preserve">Rent week</t>
  </si>
  <si>
    <t xml:space="preserve">Rent 4-week</t>
  </si>
  <si>
    <t xml:space="preserve">Rent grade</t>
  </si>
  <si>
    <t xml:space="preserve">Operated $/hr</t>
  </si>
  <si>
    <t xml:space="preserve">Owned $/hr ex-fuel</t>
  </si>
  <si>
    <t xml:space="preserve">Fuel type</t>
  </si>
  <si>
    <t xml:space="preserve">Transport class</t>
  </si>
  <si>
    <t xml:space="preserve">Articulated dump truck (ADT)</t>
  </si>
  <si>
    <t xml:space="preserve">26.5 t payload</t>
  </si>
  <si>
    <t xml:space="preserve">A</t>
  </si>
  <si>
    <t xml:space="preserve">diesel</t>
  </si>
  <si>
    <t xml:space="preserve">lowboy-permitted</t>
  </si>
  <si>
    <t xml:space="preserve">30 t payload</t>
  </si>
  <si>
    <t xml:space="preserve">Attachment</t>
  </si>
  <si>
    <t xml:space="preserve">Hydraulic breaker for 20-30 t excavator</t>
  </si>
  <si>
    <t xml:space="preserve">none (attachment)</t>
  </si>
  <si>
    <t xml:space="preserve">flatbed</t>
  </si>
  <si>
    <t xml:space="preserve">Hydraulic breaker for ~36 t excavator (HB-3100)</t>
  </si>
  <si>
    <t xml:space="preserve">B</t>
  </si>
  <si>
    <t xml:space="preserve">GPS/machine-control kit for dozer</t>
  </si>
  <si>
    <t xml:space="preserve">Backhoe loader</t>
  </si>
  <si>
    <t xml:space="preserve">Standard 14-15 ft dig (90-103 hp)</t>
  </si>
  <si>
    <t xml:space="preserve">lowboy-legal</t>
  </si>
  <si>
    <t xml:space="preserve">Plate compactor</t>
  </si>
  <si>
    <t xml:space="preserve">~800-1,100 lb reversible plate</t>
  </si>
  <si>
    <t xml:space="preserve">pickup-towed</t>
  </si>
  <si>
    <t xml:space="preserve">Single-drum vibratory roller</t>
  </si>
  <si>
    <t xml:space="preserve">84 in smooth</t>
  </si>
  <si>
    <t xml:space="preserve">Wheeled soil compactor (tamping)</t>
  </si>
  <si>
    <t xml:space="preserve">Cat 815 (~249 hp)</t>
  </si>
  <si>
    <t xml:space="preserve">Cat 825 (~405 hp)</t>
  </si>
  <si>
    <t xml:space="preserve">~32-33 in, ~3,200 lb</t>
  </si>
  <si>
    <t xml:space="preserve">tilt-trailer</t>
  </si>
  <si>
    <t xml:space="preserve">Skid steer / CTL</t>
  </si>
  <si>
    <t xml:space="preserve">ROC &gt;3,000 lb</t>
  </si>
  <si>
    <t xml:space="preserve">On-road dump truck</t>
  </si>
  <si>
    <t xml:space="preserve">3-axle (tri-axle), operated</t>
  </si>
  <si>
    <t xml:space="preserve">self-propelled</t>
  </si>
  <si>
    <t xml:space="preserve">Crawler dozer</t>
  </si>
  <si>
    <t xml:space="preserve">D3 class (~100-104 hp, 20-24k lb)</t>
  </si>
  <si>
    <t xml:space="preserve">D4 class (~130 hp, ~30k lb)</t>
  </si>
  <si>
    <t xml:space="preserve">D5 class (~170 hp, ~40k lb)</t>
  </si>
  <si>
    <t xml:space="preserve">D6 class (~215-240 hp, ~50k lb)</t>
  </si>
  <si>
    <t xml:space="preserve">D8 class (~363 hp)</t>
  </si>
  <si>
    <t xml:space="preserve">Hydraulic excavator</t>
  </si>
  <si>
    <t xml:space="preserve">16-18 t (~38,000-40,000 lb)</t>
  </si>
  <si>
    <t xml:space="preserve">20-25 t (~48,500-62,800 lb)</t>
  </si>
  <si>
    <t xml:space="preserve">30-36 t (~68,000-81,000 lb)</t>
  </si>
  <si>
    <t xml:space="preserve">45-55 t (~105,000-108,000 lb)</t>
  </si>
  <si>
    <t xml:space="preserve">multi-axle-heavy</t>
  </si>
  <si>
    <t xml:space="preserve">65-75 t (~145,000-163,000 lb)</t>
  </si>
  <si>
    <t xml:space="preserve">Motor grader</t>
  </si>
  <si>
    <t xml:space="preserve">12 ft (Cat 140)</t>
  </si>
  <si>
    <t xml:space="preserve">14 ft (Cat 160)</t>
  </si>
  <si>
    <t xml:space="preserve">Trench box / shield</t>
  </si>
  <si>
    <t xml:space="preserve">Steel trench box 8x20</t>
  </si>
  <si>
    <t xml:space="preserve">Wheel loader</t>
  </si>
  <si>
    <t xml:space="preserve">~1-1.25 yd (~68-75 hp)</t>
  </si>
  <si>
    <t xml:space="preserve">2-2.5 yd (~110 hp)</t>
  </si>
  <si>
    <t xml:space="preserve">4.5 yd (~225-250 hp)</t>
  </si>
  <si>
    <t xml:space="preserve">3-3.2 yd (~170 hp)</t>
  </si>
  <si>
    <t xml:space="preserve">Water truck / tank</t>
  </si>
  <si>
    <t xml:space="preserve">4,000 gal (6x4)</t>
  </si>
  <si>
    <t xml:space="preserve">8,000 gal ADT-based</t>
  </si>
  <si>
    <t xml:space="preserve">Source: IntelCost Equipment Catalog.xlsx, Equipment sheet, values copied as published. Blank = not in the catalog.</t>
  </si>
  <si>
    <t xml:space="preserve">Key</t>
  </si>
  <si>
    <t xml:space="preserve">Activity_ID</t>
  </si>
  <si>
    <t xml:space="preserve">Production /hr (typical)</t>
  </si>
  <si>
    <t xml:space="preserve">Grade</t>
  </si>
  <si>
    <t xml:space="preserve">Conditions</t>
  </si>
  <si>
    <t xml:space="preserve">CP-SD-84-SM|EW-COMP-SOIL-8</t>
  </si>
  <si>
    <t xml:space="preserve">CCY/hr</t>
  </si>
  <si>
    <t xml:space="preserve">C</t>
  </si>
  <si>
    <t xml:space="preserve">Lift 8 in compacted; speed 1.14/1.75/2.37 mph (= 1 impact per inch at 1,200/1,850/2,500 vpm); passes 6/5/4 (low/typ/high; 4-6 typical)</t>
  </si>
  <si>
    <t xml:space="preserve">CTL-LARGE|EW-LOAD-TRK</t>
  </si>
  <si>
    <t xml:space="preserve">Loose material, hard smooth floor; Cat basic loader cycle 33/30/27 s (low/typ/high) applied to every loader-end bucket (wheel/track loaders, backhoe loader end, skid steers/CTLs). Fill 0.85/0.95/1.00; 80 in bucket 0.74 yd3 mapped to 3,500 lb+ ROC (notes mapping); Cat cycle is for wheel loaders - applied to skid steers/CTLs as an inference</t>
  </si>
  <si>
    <t xml:space="preserve">DZ-CRAWL-D3|EW-PUSH-100</t>
  </si>
  <si>
    <t xml:space="preserve">Push distance 100 ft; doze 2.49 / reverse 4.97 mph (Settings B28-B29, KSU example); fixed 0.05 min; material factor 1.0; typ = average operator 0.75; low = x0.80 hard-to-drift; high = excellent operator 1.00 x slot dozing 1.20</t>
  </si>
  <si>
    <t xml:space="preserve">DZ-CRAWL-D5|EW-PUSH-100</t>
  </si>
  <si>
    <t xml:space="preserve">DZ-CRAWL-D6|EW-PUSH-100</t>
  </si>
  <si>
    <t xml:space="preserve">DZ-CRAWL-D8|EW-PUSH-100</t>
  </si>
  <si>
    <t xml:space="preserve">DZ-CRAWL-D8|EW-RIP</t>
  </si>
  <si>
    <t xml:space="preserve">BCY/hr</t>
  </si>
  <si>
    <t xml:space="preserve">Low 8,500 fps / typ 6,500 fps / high 5,000 fps seismic velocity; first gear ~1-1.5 mph</t>
  </si>
  <si>
    <t xml:space="preserve">EX-CRAWL-17T|EW-CUTLOAD</t>
  </si>
  <si>
    <t xml:space="preserve">Common earth/loam; cycle 14 s (&lt;1 CY) / 15 s (&gt;=1 CY) at 40-60% of max depth &amp; 30-60 deg swing; fill 0.8/1.0/1.1 (low/typ/high); L-&gt;B 0.80 (loam)</t>
  </si>
  <si>
    <t xml:space="preserve">EX-CRAWL-20T|EW-CUTLOAD</t>
  </si>
  <si>
    <t xml:space="preserve">EX-CRAWL-30T|EW-CUTLOAD</t>
  </si>
  <si>
    <t xml:space="preserve">EX-CRAWL-50T|EW-CUTLOAD</t>
  </si>
  <si>
    <t xml:space="preserve">EX-CRAWL-70T|EW-CUTLOAD</t>
  </si>
  <si>
    <t xml:space="preserve">WL-MED-45Y|EW-LOAD-TRK</t>
  </si>
  <si>
    <t xml:space="preserve">Loose material, hard smooth floor; Cat basic loader cycle 33/30/27 s (low/typ/high) applied to every loader-end bucket (wheel/track loaders, backhoe loader end, skid steers/CTLs). Fill 0.85/0.95/1.00; 4.5 yd (Wheeler Cat 950 rental line; cat.com 950 rated 4.1)</t>
  </si>
  <si>
    <t xml:space="preserve">WL-SMALL-3Y|EW-LOAD-TRK</t>
  </si>
  <si>
    <t xml:space="preserve">Loose material, hard smooth floor; Cat basic loader cycle 33/30/27 s (low/typ/high) applied to every loader-end bucket (wheel/track loaders, backhoe loader end, skid steers/CTLs). Fill 0.85/0.95/1.00; midpoint of 3.0-3.2 yd rental class</t>
  </si>
  <si>
    <t xml:space="preserve">Source: IntelCost Equipment Catalog.xlsx, Production sheet (typical, at the catalog efficiency 0.83). Dozer: 100 ft push. Roller: 8 in lifts. Ripping: indicative, seismic ~6,500 fps.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</si>
</sst>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"/>
    <numFmt numFmtId="167" formatCode="#,##0.0"/>
    <numFmt numFmtId="168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7.25" hidden="false" customHeight="true" outlineLevel="0" collapsed="false">
      <c r="A1" s="2" t="s">
        <v>0</v>
      </c>
    </row>
    <row r="2" customFormat="false" ht="23.25" hidden="false" customHeight="true" outlineLevel="0" collapsed="false">
      <c r="A2" s="3" t="s">
        <v>1</v>
      </c>
    </row>
    <row r="3" customFormat="false" ht="15" hidden="false" customHeight="true" outlineLevel="0" collapsed="false">
      <c r="A3" s="3"/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23.25" hidden="false" customHeight="true" outlineLevel="0" collapsed="false">
      <c r="A8" s="3" t="s">
        <v>6</v>
      </c>
    </row>
    <row r="9" customFormat="false" ht="15" hidden="false" customHeight="true" outlineLevel="0" collapsed="false">
      <c r="A9" s="3" t="s">
        <v>7</v>
      </c>
    </row>
    <row r="10" customFormat="false" ht="15" hidden="false" customHeight="true" outlineLevel="0" collapsed="false">
      <c r="A10" s="3" t="s">
        <v>8</v>
      </c>
    </row>
    <row r="11" customFormat="false" ht="15" hidden="false" customHeight="true" outlineLevel="0" collapsed="false">
      <c r="A11" s="3"/>
    </row>
    <row r="12" customFormat="false" ht="15" hidden="false" customHeight="true" outlineLevel="0" collapsed="false">
      <c r="A12" s="4" t="s">
        <v>9</v>
      </c>
    </row>
    <row r="13" customFormat="false" ht="23.25" hidden="false" customHeight="true" outlineLevel="0" collapsed="false">
      <c r="A13" s="3" t="s">
        <v>10</v>
      </c>
    </row>
    <row r="14" customFormat="false" ht="23.25" hidden="false" customHeight="true" outlineLevel="0" collapsed="false">
      <c r="A14" s="3" t="s">
        <v>11</v>
      </c>
    </row>
    <row r="15" customFormat="false" ht="23.25" hidden="false" customHeight="true" outlineLevel="0" collapsed="false">
      <c r="A15" s="3" t="s">
        <v>12</v>
      </c>
    </row>
    <row r="16" customFormat="false" ht="15" hidden="false" customHeight="true" outlineLevel="0" collapsed="false">
      <c r="A16" s="3" t="s">
        <v>13</v>
      </c>
    </row>
    <row r="17" customFormat="false" ht="15" hidden="false" customHeight="true" outlineLevel="0" collapsed="false">
      <c r="A17" s="3" t="s">
        <v>14</v>
      </c>
    </row>
    <row r="18" customFormat="false" ht="15" hidden="false" customHeight="true" outlineLevel="0" collapsed="false">
      <c r="A18" s="3" t="s">
        <v>15</v>
      </c>
    </row>
    <row r="19" customFormat="false" ht="15" hidden="false" customHeight="true" outlineLevel="0" collapsed="false">
      <c r="A19" s="3"/>
    </row>
    <row r="20" customFormat="false" ht="15" hidden="false" customHeight="true" outlineLevel="0" collapsed="false">
      <c r="A20" s="4" t="s">
        <v>16</v>
      </c>
    </row>
    <row r="21" customFormat="false" ht="23.25" hidden="false" customHeight="true" outlineLevel="0" collapsed="false">
      <c r="A21" s="3" t="s">
        <v>17</v>
      </c>
    </row>
    <row r="22" customFormat="false" ht="45.75" hidden="false" customHeight="true" outlineLevel="0" collapsed="false">
      <c r="A22" s="3" t="s">
        <v>18</v>
      </c>
    </row>
    <row r="23" customFormat="false" ht="15" hidden="false" customHeight="true" outlineLevel="0" collapsed="false">
      <c r="A23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2"/>
    <col collapsed="false" customWidth="true" hidden="false" outlineLevel="0" max="3" min="3" style="1" width="90"/>
  </cols>
  <sheetData>
    <row r="1" customFormat="false" ht="15" hidden="false" customHeight="true" outlineLevel="0" collapsed="false">
      <c r="A1" s="5" t="s">
        <v>20</v>
      </c>
      <c r="B1" s="5" t="s">
        <v>21</v>
      </c>
      <c r="C1" s="5" t="s">
        <v>22</v>
      </c>
    </row>
    <row r="2" customFormat="false" ht="15" hidden="false" customHeight="true" outlineLevel="0" collapsed="false">
      <c r="A2" s="6" t="s">
        <v>23</v>
      </c>
      <c r="B2" s="7" t="n">
        <v>10</v>
      </c>
      <c r="C2" s="6" t="s">
        <v>24</v>
      </c>
    </row>
    <row r="3" customFormat="false" ht="15" hidden="false" customHeight="true" outlineLevel="0" collapsed="false">
      <c r="A3" s="6" t="s">
        <v>25</v>
      </c>
      <c r="B3" s="7" t="n">
        <v>1.25</v>
      </c>
      <c r="C3" s="6" t="s">
        <v>26</v>
      </c>
    </row>
    <row r="4" customFormat="false" ht="15" hidden="false" customHeight="true" outlineLevel="0" collapsed="false">
      <c r="A4" s="6" t="s">
        <v>27</v>
      </c>
      <c r="B4" s="7" t="n">
        <v>0.9</v>
      </c>
      <c r="C4" s="6" t="s">
        <v>26</v>
      </c>
    </row>
    <row r="5" customFormat="false" ht="23.25" hidden="false" customHeight="true" outlineLevel="0" collapsed="false">
      <c r="A5" s="6" t="s">
        <v>28</v>
      </c>
      <c r="B5" s="7" t="n">
        <v>140</v>
      </c>
      <c r="C5" s="6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4"/>
    <col collapsed="false" customWidth="true" hidden="false" outlineLevel="0" max="3" min="3" style="1" width="7"/>
    <col collapsed="false" customWidth="true" hidden="false" outlineLevel="0" max="4" min="4" style="1" width="44"/>
    <col collapsed="false" customWidth="true" hidden="false" outlineLevel="0" max="5" min="5" style="1" width="80"/>
    <col collapsed="false" customWidth="true" hidden="false" outlineLevel="0" max="6" min="6" style="1" width="7"/>
  </cols>
  <sheetData>
    <row r="1" customFormat="false" ht="15" hidden="false" customHeight="true" outlineLevel="0" collapsed="false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</row>
    <row r="2" customFormat="false" ht="23.25" hidden="false" customHeight="true" outlineLevel="0" collapsed="false">
      <c r="A2" s="6" t="s">
        <v>36</v>
      </c>
      <c r="B2" s="8" t="s">
        <v>37</v>
      </c>
      <c r="C2" s="6" t="s">
        <v>38</v>
      </c>
      <c r="D2" s="6" t="s">
        <v>39</v>
      </c>
      <c r="E2" s="6" t="s">
        <v>40</v>
      </c>
      <c r="F2" s="6" t="n">
        <f aca="false">COUNTIF(Tiers!$A:$A,A2)</f>
        <v>9</v>
      </c>
    </row>
    <row r="3" customFormat="false" ht="23.25" hidden="false" customHeight="true" outlineLevel="0" collapsed="false">
      <c r="A3" s="6" t="s">
        <v>41</v>
      </c>
      <c r="B3" s="8" t="s">
        <v>42</v>
      </c>
      <c r="C3" s="6" t="s">
        <v>38</v>
      </c>
      <c r="D3" s="6" t="s">
        <v>43</v>
      </c>
      <c r="E3" s="6" t="s">
        <v>44</v>
      </c>
      <c r="F3" s="6" t="n">
        <f aca="false">COUNTIF(Tiers!$A:$A,A3)</f>
        <v>4</v>
      </c>
    </row>
    <row r="4" customFormat="false" ht="23.25" hidden="false" customHeight="true" outlineLevel="0" collapsed="false">
      <c r="A4" s="6" t="s">
        <v>45</v>
      </c>
      <c r="B4" s="8" t="s">
        <v>46</v>
      </c>
      <c r="C4" s="6" t="s">
        <v>47</v>
      </c>
      <c r="D4" s="6" t="s">
        <v>48</v>
      </c>
      <c r="E4" s="6" t="s">
        <v>49</v>
      </c>
      <c r="F4" s="6" t="n">
        <f aca="false">COUNTIF(Tiers!$A:$A,A4)</f>
        <v>8</v>
      </c>
    </row>
    <row r="5" customFormat="false" ht="15" hidden="false" customHeight="true" outlineLevel="0" collapsed="false">
      <c r="A5" s="6" t="s">
        <v>50</v>
      </c>
      <c r="B5" s="8" t="s">
        <v>51</v>
      </c>
      <c r="C5" s="6" t="s">
        <v>38</v>
      </c>
      <c r="D5" s="6" t="s">
        <v>52</v>
      </c>
      <c r="E5" s="6" t="s">
        <v>53</v>
      </c>
      <c r="F5" s="6" t="n">
        <f aca="false">COUNTIF(Tiers!$A:$A,A5)</f>
        <v>5</v>
      </c>
    </row>
    <row r="6" customFormat="false" ht="15" hidden="false" customHeight="true" outlineLevel="0" collapsed="false">
      <c r="A6" s="6" t="s">
        <v>54</v>
      </c>
      <c r="B6" s="8" t="s">
        <v>55</v>
      </c>
      <c r="C6" s="6" t="s">
        <v>38</v>
      </c>
      <c r="D6" s="6" t="s">
        <v>56</v>
      </c>
      <c r="E6" s="6" t="s">
        <v>57</v>
      </c>
      <c r="F6" s="6" t="n">
        <f aca="false">COUNTIF(Tiers!$A:$A,A6)</f>
        <v>4</v>
      </c>
    </row>
    <row r="7" customFormat="false" ht="15" hidden="false" customHeight="true" outlineLevel="0" collapsed="false">
      <c r="A7" s="6" t="s">
        <v>58</v>
      </c>
      <c r="B7" s="8" t="s">
        <v>59</v>
      </c>
      <c r="C7" s="6" t="s">
        <v>60</v>
      </c>
      <c r="D7" s="6" t="s">
        <v>61</v>
      </c>
      <c r="E7" s="6" t="s">
        <v>62</v>
      </c>
      <c r="F7" s="6" t="n">
        <f aca="false">COUNTIF(Tiers!$A:$A,A7)</f>
        <v>11</v>
      </c>
    </row>
    <row r="8" customFormat="false" ht="15" hidden="false" customHeight="true" outlineLevel="0" collapsed="false">
      <c r="A8" s="6" t="s">
        <v>63</v>
      </c>
      <c r="B8" s="8" t="s">
        <v>64</v>
      </c>
      <c r="C8" s="6" t="s">
        <v>60</v>
      </c>
      <c r="D8" s="6" t="s">
        <v>65</v>
      </c>
      <c r="E8" s="6" t="s">
        <v>66</v>
      </c>
      <c r="F8" s="6" t="n">
        <f aca="false">COUNTIF(Tiers!$A:$A,A8)</f>
        <v>11</v>
      </c>
    </row>
    <row r="9" customFormat="false" ht="23.25" hidden="false" customHeight="true" outlineLevel="0" collapsed="false">
      <c r="A9" s="6" t="s">
        <v>67</v>
      </c>
      <c r="B9" s="8" t="s">
        <v>68</v>
      </c>
      <c r="C9" s="6" t="s">
        <v>60</v>
      </c>
      <c r="D9" s="6" t="s">
        <v>69</v>
      </c>
      <c r="E9" s="6" t="s">
        <v>70</v>
      </c>
      <c r="F9" s="6" t="n">
        <f aca="false">COUNTIF(Tiers!$A:$A,A9)</f>
        <v>11</v>
      </c>
    </row>
    <row r="10" customFormat="false" ht="15" hidden="false" customHeight="true" outlineLevel="0" collapsed="false">
      <c r="A10" s="6" t="s">
        <v>71</v>
      </c>
      <c r="B10" s="8" t="s">
        <v>72</v>
      </c>
      <c r="C10" s="6" t="s">
        <v>38</v>
      </c>
      <c r="D10" s="6" t="s">
        <v>73</v>
      </c>
      <c r="E10" s="6" t="s">
        <v>74</v>
      </c>
      <c r="F10" s="6" t="n">
        <f aca="false">COUNTIF(Tiers!$A:$A,A10)</f>
        <v>4</v>
      </c>
    </row>
    <row r="11" customFormat="false" ht="15" hidden="false" customHeight="true" outlineLevel="0" collapsed="false">
      <c r="A11" s="6" t="s">
        <v>75</v>
      </c>
      <c r="B11" s="8" t="s">
        <v>76</v>
      </c>
      <c r="C11" s="6" t="s">
        <v>38</v>
      </c>
      <c r="D11" s="6" t="s">
        <v>77</v>
      </c>
      <c r="E11" s="6" t="s">
        <v>78</v>
      </c>
      <c r="F11" s="6" t="n">
        <f aca="false">COUNTIF(Tiers!$A:$A,A11)</f>
        <v>2</v>
      </c>
    </row>
    <row r="12" customFormat="false" ht="15" hidden="false" customHeight="true" outlineLevel="0" collapsed="false">
      <c r="A12" s="6" t="s">
        <v>79</v>
      </c>
      <c r="B12" s="8" t="s">
        <v>80</v>
      </c>
      <c r="C12" s="6" t="s">
        <v>81</v>
      </c>
      <c r="D12" s="6" t="s">
        <v>82</v>
      </c>
      <c r="E12" s="6" t="s">
        <v>83</v>
      </c>
      <c r="F12" s="6" t="n">
        <f aca="false">COUNTIF(Tiers!$A:$A,A12)</f>
        <v>4</v>
      </c>
    </row>
    <row r="13" customFormat="false" ht="23.25" hidden="false" customHeight="true" outlineLevel="0" collapsed="false">
      <c r="A13" s="6" t="s">
        <v>84</v>
      </c>
      <c r="B13" s="8" t="s">
        <v>85</v>
      </c>
      <c r="C13" s="6" t="s">
        <v>86</v>
      </c>
      <c r="D13" s="6" t="s">
        <v>87</v>
      </c>
      <c r="E13" s="6" t="s">
        <v>88</v>
      </c>
      <c r="F13" s="6" t="n">
        <f aca="false">COUNTIF(Tiers!$A:$A,A13)</f>
        <v>4</v>
      </c>
    </row>
    <row r="14" customFormat="false" ht="15" hidden="false" customHeight="true" outlineLevel="0" collapsed="false">
      <c r="A14" s="6" t="s">
        <v>89</v>
      </c>
      <c r="B14" s="8" t="s">
        <v>90</v>
      </c>
      <c r="C14" s="6" t="s">
        <v>86</v>
      </c>
      <c r="D14" s="6" t="s">
        <v>91</v>
      </c>
      <c r="E14" s="6" t="s">
        <v>92</v>
      </c>
      <c r="F14" s="6" t="n">
        <f aca="false">COUNTIF(Tiers!$A:$A,A14)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4" min="3" style="1" width="10"/>
    <col collapsed="false" customWidth="true" hidden="false" outlineLevel="0" max="5" min="5" style="1" width="7"/>
    <col collapsed="false" customWidth="true" hidden="false" outlineLevel="0" max="6" min="6" style="1" width="58"/>
    <col collapsed="false" customWidth="true" hidden="false" outlineLevel="0" max="7" min="7" style="1" width="40"/>
    <col collapsed="false" customWidth="true" hidden="false" outlineLevel="0" max="8" min="8" style="1" width="13"/>
    <col collapsed="false" customWidth="true" hidden="false" outlineLevel="0" max="9" min="9" style="1" width="22"/>
    <col collapsed="false" customWidth="true" hidden="false" outlineLevel="0" max="10" min="10" style="1" width="60"/>
  </cols>
  <sheetData>
    <row r="1" customFormat="false" ht="23.25" hidden="false" customHeight="true" outlineLevel="0" collapsed="false">
      <c r="A1" s="5" t="s">
        <v>31</v>
      </c>
      <c r="B1" s="5" t="s">
        <v>93</v>
      </c>
      <c r="C1" s="5" t="s">
        <v>94</v>
      </c>
      <c r="D1" s="5" t="s">
        <v>95</v>
      </c>
      <c r="E1" s="5" t="s">
        <v>32</v>
      </c>
      <c r="F1" s="5" t="s">
        <v>96</v>
      </c>
      <c r="G1" s="5" t="s">
        <v>97</v>
      </c>
      <c r="H1" s="5" t="s">
        <v>98</v>
      </c>
      <c r="I1" s="5" t="s">
        <v>99</v>
      </c>
      <c r="J1" s="5" t="s">
        <v>100</v>
      </c>
    </row>
    <row r="2" customFormat="false" ht="23.25" hidden="false" customHeight="true" outlineLevel="0" collapsed="false">
      <c r="A2" s="6" t="s">
        <v>36</v>
      </c>
      <c r="B2" s="6" t="n">
        <v>1</v>
      </c>
      <c r="C2" s="9" t="n">
        <v>200</v>
      </c>
      <c r="D2" s="9" t="n">
        <v>349</v>
      </c>
      <c r="E2" s="6" t="s">
        <v>38</v>
      </c>
      <c r="F2" s="6" t="s">
        <v>101</v>
      </c>
      <c r="G2" s="6" t="s">
        <v>102</v>
      </c>
      <c r="H2" s="10" t="n">
        <f aca="false">IF(IF(COUNTIFS('Tier machines'!$G$2:$G$3,"main",'Tier machines'!$L$2:$L$3,"&gt;0")=0,9E+099,SUMIFS('Tier machines'!$L$2:$L$3,'Tier machines'!$G$2:$G$3,"main"))&gt;=9E+099,"",IF(COUNTIFS('Tier machines'!$G$2:$G$3,"main",'Tier machines'!$L$2:$L$3,"&gt;0")=0,9E+099,SUMIFS('Tier machines'!$L$2:$L$3,'Tier machines'!$G$2:$G$3,"main")))</f>
        <v>1534.97828571429</v>
      </c>
      <c r="I2" s="6" t="str">
        <f aca="false">IF(H2="","No catalog figure",IF(H2&gt;=D2,"OK",IF(H2&gt;=C2,"Covers lower part only","Below tier")))</f>
        <v>OK</v>
      </c>
      <c r="J2" s="11" t="s">
        <v>103</v>
      </c>
    </row>
    <row r="3" customFormat="false" ht="23.25" hidden="false" customHeight="true" outlineLevel="0" collapsed="false">
      <c r="A3" s="6" t="s">
        <v>36</v>
      </c>
      <c r="B3" s="6" t="n">
        <v>2</v>
      </c>
      <c r="C3" s="9" t="n">
        <v>350</v>
      </c>
      <c r="D3" s="9" t="n">
        <v>599</v>
      </c>
      <c r="E3" s="6" t="s">
        <v>38</v>
      </c>
      <c r="F3" s="6" t="s">
        <v>104</v>
      </c>
      <c r="G3" s="6" t="s">
        <v>105</v>
      </c>
      <c r="H3" s="10" t="n">
        <f aca="false">IF(IF(COUNTIFS('Tier machines'!$G$4:$G$5,"main",'Tier machines'!$L$4:$L$5,"&gt;0")=0,9E+099,SUMIFS('Tier machines'!$L$4:$L$5,'Tier machines'!$G$4:$G$5,"main"))&gt;=9E+099,"",IF(COUNTIFS('Tier machines'!$G$4:$G$5,"main",'Tier machines'!$L$4:$L$5,"&gt;0")=0,9E+099,SUMIFS('Tier machines'!$L$4:$L$5,'Tier machines'!$G$4:$G$5,"main")))</f>
        <v>1633.44</v>
      </c>
      <c r="I3" s="6" t="str">
        <f aca="false">IF(H3="","No catalog figure",IF(H3&gt;=D3,"OK",IF(H3&gt;=C3,"Covers lower part only","Below tier")))</f>
        <v>OK</v>
      </c>
      <c r="J3" s="11" t="s">
        <v>103</v>
      </c>
    </row>
    <row r="4" customFormat="false" ht="23.25" hidden="false" customHeight="true" outlineLevel="0" collapsed="false">
      <c r="A4" s="6" t="s">
        <v>36</v>
      </c>
      <c r="B4" s="6" t="n">
        <v>3</v>
      </c>
      <c r="C4" s="9" t="n">
        <v>600</v>
      </c>
      <c r="D4" s="9" t="n">
        <v>899</v>
      </c>
      <c r="E4" s="6" t="s">
        <v>38</v>
      </c>
      <c r="F4" s="6" t="s">
        <v>106</v>
      </c>
      <c r="G4" s="6" t="s">
        <v>105</v>
      </c>
      <c r="H4" s="10" t="n">
        <f aca="false">IF(IF(COUNTIFS('Tier machines'!$G$6:$G$7,"main",'Tier machines'!$L$6:$L$7,"&gt;0")=0,9E+099,SUMIFS('Tier machines'!$L$6:$L$7,'Tier machines'!$G$6:$G$7,"main"))&gt;=9E+099,"",IF(COUNTIFS('Tier machines'!$G$6:$G$7,"main",'Tier machines'!$L$6:$L$7,"&gt;0")=0,9E+099,SUMIFS('Tier machines'!$L$6:$L$7,'Tier machines'!$G$6:$G$7,"main")))</f>
        <v>1633.44</v>
      </c>
      <c r="I4" s="6" t="str">
        <f aca="false">IF(H4="","No catalog figure",IF(H4&gt;=D4,"OK",IF(H4&gt;=C4,"Covers lower part only","Below tier")))</f>
        <v>OK</v>
      </c>
      <c r="J4" s="11" t="s">
        <v>103</v>
      </c>
    </row>
    <row r="5" customFormat="false" ht="23.25" hidden="false" customHeight="true" outlineLevel="0" collapsed="false">
      <c r="A5" s="6" t="s">
        <v>36</v>
      </c>
      <c r="B5" s="6" t="n">
        <v>4</v>
      </c>
      <c r="C5" s="9" t="n">
        <v>900</v>
      </c>
      <c r="D5" s="9" t="n">
        <v>1399</v>
      </c>
      <c r="E5" s="6" t="s">
        <v>38</v>
      </c>
      <c r="F5" s="6" t="s">
        <v>107</v>
      </c>
      <c r="G5" s="6" t="s">
        <v>108</v>
      </c>
      <c r="H5" s="10" t="n">
        <f aca="false">IF(IF(COUNTIFS('Tier machines'!$G$8:$G$9,"main",'Tier machines'!$L$8:$L$9,"&gt;0")=0,9E+099,SUMIFS('Tier machines'!$L$8:$L$9,'Tier machines'!$G$8:$G$9,"main"))&gt;=9E+099,"",IF(COUNTIFS('Tier machines'!$G$8:$G$9,"main",'Tier machines'!$L$8:$L$9,"&gt;0")=0,9E+099,SUMIFS('Tier machines'!$L$8:$L$9,'Tier machines'!$G$8:$G$9,"main")))</f>
        <v>3107.52</v>
      </c>
      <c r="I5" s="6" t="str">
        <f aca="false">IF(H5="","No catalog figure",IF(H5&gt;=D5,"OK",IF(H5&gt;=C5,"Covers lower part only","Below tier")))</f>
        <v>OK</v>
      </c>
      <c r="J5" s="12" t="s">
        <v>109</v>
      </c>
    </row>
    <row r="6" customFormat="false" ht="23.25" hidden="false" customHeight="true" outlineLevel="0" collapsed="false">
      <c r="A6" s="6" t="s">
        <v>36</v>
      </c>
      <c r="B6" s="6" t="n">
        <v>5</v>
      </c>
      <c r="C6" s="9" t="n">
        <v>1400</v>
      </c>
      <c r="D6" s="9" t="n">
        <v>2199</v>
      </c>
      <c r="E6" s="6" t="s">
        <v>38</v>
      </c>
      <c r="F6" s="6" t="s">
        <v>110</v>
      </c>
      <c r="G6" s="6" t="s">
        <v>111</v>
      </c>
      <c r="H6" s="10" t="n">
        <f aca="false">IF(IF(COUNTIFS('Tier machines'!$G$10:$G$11,"main",'Tier machines'!$L$10:$L$11,"&gt;0")=0,9E+099,SUMIFS('Tier machines'!$L$10:$L$11,'Tier machines'!$G$10:$G$11,"main"))&gt;=9E+099,"",IF(COUNTIFS('Tier machines'!$G$10:$G$11,"main",'Tier machines'!$L$10:$L$11,"&gt;0")=0,9E+099,SUMIFS('Tier machines'!$L$10:$L$11,'Tier machines'!$G$10:$G$11,"main")))</f>
        <v>3107.52</v>
      </c>
      <c r="I6" s="6" t="str">
        <f aca="false">IF(H6="","No catalog figure",IF(H6&gt;=D6,"OK",IF(H6&gt;=C6,"Covers lower part only","Below tier")))</f>
        <v>OK</v>
      </c>
      <c r="J6" s="11" t="s">
        <v>103</v>
      </c>
    </row>
    <row r="7" customFormat="false" ht="23.25" hidden="false" customHeight="true" outlineLevel="0" collapsed="false">
      <c r="A7" s="6" t="s">
        <v>36</v>
      </c>
      <c r="B7" s="6" t="n">
        <v>6</v>
      </c>
      <c r="C7" s="9" t="n">
        <v>2200</v>
      </c>
      <c r="D7" s="9" t="n">
        <v>3199</v>
      </c>
      <c r="E7" s="6" t="s">
        <v>38</v>
      </c>
      <c r="F7" s="6" t="s">
        <v>112</v>
      </c>
      <c r="G7" s="6" t="s">
        <v>113</v>
      </c>
      <c r="H7" s="10" t="n">
        <f aca="false">IF(IF(COUNTIFS('Tier machines'!$G$12:$G$13,"main",'Tier machines'!$L$12:$L$13,"&gt;0")=0,9E+099,SUMIFS('Tier machines'!$L$12:$L$13,'Tier machines'!$G$12:$G$13,"main"))&gt;=9E+099,"",IF(COUNTIFS('Tier machines'!$G$12:$G$13,"main",'Tier machines'!$L$12:$L$13,"&gt;0")=0,9E+099,SUMIFS('Tier machines'!$L$12:$L$13,'Tier machines'!$G$12:$G$13,"main")))</f>
        <v>5109.0816</v>
      </c>
      <c r="I7" s="6" t="str">
        <f aca="false">IF(H7="","No catalog figure",IF(H7&gt;=D7,"OK",IF(H7&gt;=C7,"Covers lower part only","Below tier")))</f>
        <v>OK</v>
      </c>
      <c r="J7" s="12" t="s">
        <v>114</v>
      </c>
    </row>
    <row r="8" customFormat="false" ht="23.25" hidden="false" customHeight="true" outlineLevel="0" collapsed="false">
      <c r="A8" s="6" t="s">
        <v>36</v>
      </c>
      <c r="B8" s="6" t="n">
        <v>7</v>
      </c>
      <c r="C8" s="9" t="n">
        <v>3200</v>
      </c>
      <c r="D8" s="9" t="n">
        <v>4499</v>
      </c>
      <c r="E8" s="6" t="s">
        <v>38</v>
      </c>
      <c r="F8" s="6" t="s">
        <v>115</v>
      </c>
      <c r="G8" s="6" t="s">
        <v>116</v>
      </c>
      <c r="H8" s="10" t="n">
        <f aca="false">IF(IF(COUNTIFS('Tier machines'!$G$14:$G$15,"main",'Tier machines'!$L$14:$L$15,"&gt;0")=0,9E+099,SUMIFS('Tier machines'!$L$14:$L$15,'Tier machines'!$G$14:$G$15,"main"))&gt;=9E+099,"",IF(COUNTIFS('Tier machines'!$G$14:$G$15,"main",'Tier machines'!$L$14:$L$15,"&gt;0")=0,9E+099,SUMIFS('Tier machines'!$L$14:$L$15,'Tier machines'!$G$14:$G$15,"main")))</f>
        <v>5109.0816</v>
      </c>
      <c r="I8" s="6" t="str">
        <f aca="false">IF(H8="","No catalog figure",IF(H8&gt;=D8,"OK",IF(H8&gt;=C8,"Covers lower part only","Below tier")))</f>
        <v>OK</v>
      </c>
      <c r="J8" s="11" t="s">
        <v>103</v>
      </c>
    </row>
    <row r="9" customFormat="false" ht="23.25" hidden="false" customHeight="true" outlineLevel="0" collapsed="false">
      <c r="A9" s="6" t="s">
        <v>36</v>
      </c>
      <c r="B9" s="6" t="n">
        <v>8</v>
      </c>
      <c r="C9" s="9" t="n">
        <v>4500</v>
      </c>
      <c r="D9" s="9" t="n">
        <v>6999</v>
      </c>
      <c r="E9" s="6" t="s">
        <v>38</v>
      </c>
      <c r="F9" s="6" t="s">
        <v>117</v>
      </c>
      <c r="G9" s="6" t="s">
        <v>118</v>
      </c>
      <c r="H9" s="10" t="n">
        <f aca="false">IF(IF(COUNTIFS('Tier machines'!$G$16:$G$17,"main",'Tier machines'!$L$16:$L$17,"&gt;0")=0,9E+099,SUMIFS('Tier machines'!$L$16:$L$17,'Tier machines'!$G$16:$G$17,"main"))&gt;=9E+099,"",IF(COUNTIFS('Tier machines'!$G$16:$G$17,"main",'Tier machines'!$L$16:$L$17,"&gt;0")=0,9E+099,SUMIFS('Tier machines'!$L$16:$L$17,'Tier machines'!$G$16:$G$17,"main")))</f>
        <v>10218.1632</v>
      </c>
      <c r="I9" s="6" t="str">
        <f aca="false">IF(H9="","No catalog figure",IF(H9&gt;=D9,"OK",IF(H9&gt;=C9,"Covers lower part only","Below tier")))</f>
        <v>OK</v>
      </c>
      <c r="J9" s="12" t="s">
        <v>119</v>
      </c>
    </row>
    <row r="10" customFormat="false" ht="23.25" hidden="false" customHeight="true" outlineLevel="0" collapsed="false">
      <c r="A10" s="6" t="s">
        <v>36</v>
      </c>
      <c r="B10" s="6" t="n">
        <v>9</v>
      </c>
      <c r="C10" s="9" t="n">
        <v>7000</v>
      </c>
      <c r="D10" s="9"/>
      <c r="E10" s="6" t="s">
        <v>38</v>
      </c>
      <c r="F10" s="6" t="s">
        <v>120</v>
      </c>
      <c r="G10" s="6" t="s">
        <v>121</v>
      </c>
      <c r="H10" s="10" t="n">
        <f aca="false">IF(IF(COUNTIFS('Tier machines'!$G$18:$G$19,"main",'Tier machines'!$L$18:$L$19,"&gt;0")=0,9E+099,SUMIFS('Tier machines'!$L$18:$L$19,'Tier machines'!$G$18:$G$19,"main"))&gt;=9E+099,"",IF(COUNTIFS('Tier machines'!$G$18:$G$19,"main",'Tier machines'!$L$18:$L$19,"&gt;0")=0,9E+099,SUMIFS('Tier machines'!$L$18:$L$19,'Tier machines'!$G$18:$G$19,"main")))</f>
        <v>15936</v>
      </c>
      <c r="I10" s="6" t="str">
        <f aca="false">IF(H10="","No catalog figure",IF(H10&gt;=C10,"OK",IF(H10&gt;=C10,"Covers lower part only","Below tier")))</f>
        <v>OK</v>
      </c>
      <c r="J10" s="11" t="s">
        <v>122</v>
      </c>
    </row>
    <row r="11" customFormat="false" ht="23.25" hidden="false" customHeight="true" outlineLevel="0" collapsed="false">
      <c r="A11" s="6" t="s">
        <v>41</v>
      </c>
      <c r="B11" s="6" t="n">
        <v>1</v>
      </c>
      <c r="C11" s="9" t="n">
        <v>200</v>
      </c>
      <c r="D11" s="9" t="n">
        <v>599</v>
      </c>
      <c r="E11" s="6" t="s">
        <v>38</v>
      </c>
      <c r="F11" s="6" t="s">
        <v>123</v>
      </c>
      <c r="G11" s="6" t="s">
        <v>124</v>
      </c>
      <c r="H11" s="10" t="n">
        <f aca="false">IF(IF(COUNTIFS('Tier machines'!$G$20:$G$20,"main",'Tier machines'!$L$20:$L$20,"&gt;0")=0,9E+099,SUMIFS('Tier machines'!$L$20:$L$20,'Tier machines'!$G$20:$G$20,"main"))&gt;=9E+099,"",IF(COUNTIFS('Tier machines'!$G$20:$G$20,"main",'Tier machines'!$L$20:$L$20,"&gt;0")=0,9E+099,SUMIFS('Tier machines'!$L$20:$L$20,'Tier machines'!$G$20:$G$20,"main")))</f>
        <v>1633.44</v>
      </c>
      <c r="I11" s="6" t="str">
        <f aca="false">IF(H11="","No catalog figure",IF(H11&gt;=D11,"OK",IF(H11&gt;=C11,"Covers lower part only","Below tier")))</f>
        <v>OK</v>
      </c>
      <c r="J11" s="11" t="s">
        <v>103</v>
      </c>
    </row>
    <row r="12" customFormat="false" ht="23.25" hidden="false" customHeight="true" outlineLevel="0" collapsed="false">
      <c r="A12" s="6" t="s">
        <v>41</v>
      </c>
      <c r="B12" s="6" t="n">
        <v>2</v>
      </c>
      <c r="C12" s="9" t="n">
        <v>600</v>
      </c>
      <c r="D12" s="9" t="n">
        <v>1399</v>
      </c>
      <c r="E12" s="6" t="s">
        <v>38</v>
      </c>
      <c r="F12" s="6" t="s">
        <v>125</v>
      </c>
      <c r="G12" s="6" t="s">
        <v>124</v>
      </c>
      <c r="H12" s="10" t="n">
        <f aca="false">IF(IF(COUNTIFS('Tier machines'!$G$21:$G$21,"main",'Tier machines'!$L$21:$L$21,"&gt;0")=0,9E+099,SUMIFS('Tier machines'!$L$21:$L$21,'Tier machines'!$G$21:$G$21,"main"))&gt;=9E+099,"",IF(COUNTIFS('Tier machines'!$G$21:$G$21,"main",'Tier machines'!$L$21:$L$21,"&gt;0")=0,9E+099,SUMIFS('Tier machines'!$L$21:$L$21,'Tier machines'!$G$21:$G$21,"main")))</f>
        <v>3107.52</v>
      </c>
      <c r="I12" s="6" t="str">
        <f aca="false">IF(H12="","No catalog figure",IF(H12&gt;=D12,"OK",IF(H12&gt;=C12,"Covers lower part only","Below tier")))</f>
        <v>OK</v>
      </c>
      <c r="J12" s="12" t="s">
        <v>126</v>
      </c>
    </row>
    <row r="13" customFormat="false" ht="23.25" hidden="false" customHeight="true" outlineLevel="0" collapsed="false">
      <c r="A13" s="6" t="s">
        <v>41</v>
      </c>
      <c r="B13" s="6" t="n">
        <v>3</v>
      </c>
      <c r="C13" s="9" t="n">
        <v>1400</v>
      </c>
      <c r="D13" s="9" t="n">
        <v>2999</v>
      </c>
      <c r="E13" s="6" t="s">
        <v>38</v>
      </c>
      <c r="F13" s="6" t="s">
        <v>127</v>
      </c>
      <c r="G13" s="6" t="s">
        <v>128</v>
      </c>
      <c r="H13" s="10" t="n">
        <f aca="false">IF(IF(COUNTIFS('Tier machines'!$G$22:$G$22,"main",'Tier machines'!$L$22:$L$22,"&gt;0")=0,9E+099,SUMIFS('Tier machines'!$L$22:$L$22,'Tier machines'!$G$22:$G$22,"main"))&gt;=9E+099,"",IF(COUNTIFS('Tier machines'!$G$22:$G$22,"main",'Tier machines'!$L$22:$L$22,"&gt;0")=0,9E+099,SUMIFS('Tier machines'!$L$22:$L$22,'Tier machines'!$G$22:$G$22,"main")))</f>
        <v>5109.0816</v>
      </c>
      <c r="I13" s="6" t="str">
        <f aca="false">IF(H13="","No catalog figure",IF(H13&gt;=D13,"OK",IF(H13&gt;=C13,"Covers lower part only","Below tier")))</f>
        <v>OK</v>
      </c>
      <c r="J13" s="11" t="s">
        <v>103</v>
      </c>
    </row>
    <row r="14" customFormat="false" ht="23.25" hidden="false" customHeight="true" outlineLevel="0" collapsed="false">
      <c r="A14" s="6" t="s">
        <v>41</v>
      </c>
      <c r="B14" s="6" t="n">
        <v>4</v>
      </c>
      <c r="C14" s="9" t="n">
        <v>3000</v>
      </c>
      <c r="D14" s="9"/>
      <c r="E14" s="6" t="s">
        <v>38</v>
      </c>
      <c r="F14" s="6" t="s">
        <v>129</v>
      </c>
      <c r="G14" s="6" t="s">
        <v>130</v>
      </c>
      <c r="H14" s="10" t="n">
        <f aca="false">IF(IF(COUNTIFS('Tier machines'!$G$23:$G$23,"main",'Tier machines'!$L$23:$L$23,"&gt;0")=0,9E+099,SUMIFS('Tier machines'!$L$23:$L$23,'Tier machines'!$G$23:$G$23,"main"))&gt;=9E+099,"",IF(COUNTIFS('Tier machines'!$G$23:$G$23,"main",'Tier machines'!$L$23:$L$23,"&gt;0")=0,9E+099,SUMIFS('Tier machines'!$L$23:$L$23,'Tier machines'!$G$23:$G$23,"main")))</f>
        <v>10218.1632</v>
      </c>
      <c r="I14" s="6" t="str">
        <f aca="false">IF(H14="","No catalog figure",IF(H14&gt;=C14,"OK",IF(H14&gt;=C14,"Covers lower part only","Below tier")))</f>
        <v>OK</v>
      </c>
      <c r="J14" s="12" t="s">
        <v>131</v>
      </c>
    </row>
    <row r="15" customFormat="false" ht="34.5" hidden="false" customHeight="true" outlineLevel="0" collapsed="false">
      <c r="A15" s="6" t="s">
        <v>45</v>
      </c>
      <c r="B15" s="6" t="n">
        <v>1</v>
      </c>
      <c r="C15" s="9" t="n">
        <v>200</v>
      </c>
      <c r="D15" s="9" t="n">
        <v>329</v>
      </c>
      <c r="E15" s="6" t="s">
        <v>47</v>
      </c>
      <c r="F15" s="6" t="s">
        <v>132</v>
      </c>
      <c r="G15" s="6" t="s">
        <v>102</v>
      </c>
      <c r="H15" s="10" t="n">
        <f aca="false">IF(IF(COUNTIFS('Tier machines'!$G$24:$G$26,"main",'Tier machines'!$L$24:$L$26,"&gt;0")=0,9E+099,SUMIFS('Tier machines'!$L$24:$L$26,'Tier machines'!$G$24:$G$26,"main"))&gt;=9E+099,"",IF(COUNTIFS('Tier machines'!$G$24:$G$26,"main",'Tier machines'!$L$24:$L$26,"&gt;0")=0,9E+099,SUMIFS('Tier machines'!$L$24:$L$26,'Tier machines'!$G$24:$G$26,"main")))</f>
        <v>2651.684</v>
      </c>
      <c r="I15" s="6" t="str">
        <f aca="false">IF(H15="","No catalog figure",IF(H15&gt;=D15,"OK",IF(H15&gt;=C15,"Covers lower part only","Below tier")))</f>
        <v>OK</v>
      </c>
      <c r="J15" s="11" t="s">
        <v>103</v>
      </c>
    </row>
    <row r="16" customFormat="false" ht="34.5" hidden="false" customHeight="true" outlineLevel="0" collapsed="false">
      <c r="A16" s="6" t="s">
        <v>45</v>
      </c>
      <c r="B16" s="6" t="n">
        <v>2</v>
      </c>
      <c r="C16" s="9" t="n">
        <v>330</v>
      </c>
      <c r="D16" s="9" t="n">
        <v>599</v>
      </c>
      <c r="E16" s="6" t="s">
        <v>47</v>
      </c>
      <c r="F16" s="6" t="s">
        <v>133</v>
      </c>
      <c r="G16" s="6" t="s">
        <v>134</v>
      </c>
      <c r="H16" s="10" t="n">
        <f aca="false">IF(IF(COUNTIFS('Tier machines'!$G$27:$G$29,"main",'Tier machines'!$L$27:$L$29,"&gt;0")=0,9E+099,SUMIFS('Tier machines'!$L$27:$L$29,'Tier machines'!$G$27:$G$29,"main"))&gt;=9E+099,"",IF(COUNTIFS('Tier machines'!$G$27:$G$29,"main",'Tier machines'!$L$27:$L$29,"&gt;0")=0,9E+099,SUMIFS('Tier machines'!$L$27:$L$29,'Tier machines'!$G$27:$G$29,"main")))</f>
        <v>2651.684</v>
      </c>
      <c r="I16" s="6" t="str">
        <f aca="false">IF(H16="","No catalog figure",IF(H16&gt;=D16,"OK",IF(H16&gt;=C16,"Covers lower part only","Below tier")))</f>
        <v>OK</v>
      </c>
      <c r="J16" s="11" t="s">
        <v>103</v>
      </c>
    </row>
    <row r="17" customFormat="false" ht="34.5" hidden="false" customHeight="true" outlineLevel="0" collapsed="false">
      <c r="A17" s="6" t="s">
        <v>45</v>
      </c>
      <c r="B17" s="6" t="n">
        <v>3</v>
      </c>
      <c r="C17" s="9" t="n">
        <v>600</v>
      </c>
      <c r="D17" s="9" t="n">
        <v>849</v>
      </c>
      <c r="E17" s="6" t="s">
        <v>47</v>
      </c>
      <c r="F17" s="6" t="s">
        <v>135</v>
      </c>
      <c r="G17" s="6" t="s">
        <v>136</v>
      </c>
      <c r="H17" s="10" t="n">
        <f aca="false">IF(IF(COUNTIFS('Tier machines'!$G$30:$G$32,"main",'Tier machines'!$L$30:$L$32,"&gt;0")=0,9E+099,SUMIFS('Tier machines'!$L$30:$L$32,'Tier machines'!$G$30:$G$32,"main"))&gt;=9E+099,"",IF(COUNTIFS('Tier machines'!$G$30:$G$32,"main",'Tier machines'!$L$30:$L$32,"&gt;0")=0,9E+099,SUMIFS('Tier machines'!$L$30:$L$32,'Tier machines'!$G$30:$G$32,"main")))</f>
        <v>2651.684</v>
      </c>
      <c r="I17" s="6" t="str">
        <f aca="false">IF(H17="","No catalog figure",IF(H17&gt;=D17,"OK",IF(H17&gt;=C17,"Covers lower part only","Below tier")))</f>
        <v>OK</v>
      </c>
      <c r="J17" s="11" t="s">
        <v>103</v>
      </c>
    </row>
    <row r="18" customFormat="false" ht="45.75" hidden="false" customHeight="true" outlineLevel="0" collapsed="false">
      <c r="A18" s="6" t="s">
        <v>45</v>
      </c>
      <c r="B18" s="6" t="n">
        <v>4</v>
      </c>
      <c r="C18" s="9" t="n">
        <v>850</v>
      </c>
      <c r="D18" s="9" t="n">
        <v>1299</v>
      </c>
      <c r="E18" s="6" t="s">
        <v>47</v>
      </c>
      <c r="F18" s="6" t="s">
        <v>137</v>
      </c>
      <c r="G18" s="6" t="s">
        <v>108</v>
      </c>
      <c r="H18" s="10" t="n">
        <f aca="false">IF(IF(COUNTIFS('Tier machines'!$G$33:$G$37,"main",'Tier machines'!$L$33:$L$37,"&gt;0")=0,9E+099,SUMIFS('Tier machines'!$L$33:$L$37,'Tier machines'!$G$33:$G$37,"main"))&gt;=9E+099,"",IF(COUNTIFS('Tier machines'!$G$33:$G$37,"main",'Tier machines'!$L$33:$L$37,"&gt;0")=0,9E+099,SUMIFS('Tier machines'!$L$33:$L$37,'Tier machines'!$G$33:$G$37,"main")))</f>
        <v>2651.684</v>
      </c>
      <c r="I18" s="6" t="str">
        <f aca="false">IF(H18="","No catalog figure",IF(H18&gt;=D18,"OK",IF(H18&gt;=C18,"Covers lower part only","Below tier")))</f>
        <v>OK</v>
      </c>
      <c r="J18" s="12" t="s">
        <v>138</v>
      </c>
    </row>
    <row r="19" customFormat="false" ht="45.75" hidden="false" customHeight="true" outlineLevel="0" collapsed="false">
      <c r="A19" s="6" t="s">
        <v>45</v>
      </c>
      <c r="B19" s="6" t="n">
        <v>5</v>
      </c>
      <c r="C19" s="9" t="n">
        <v>1300</v>
      </c>
      <c r="D19" s="9" t="n">
        <v>1999</v>
      </c>
      <c r="E19" s="6" t="s">
        <v>47</v>
      </c>
      <c r="F19" s="6" t="s">
        <v>139</v>
      </c>
      <c r="G19" s="6" t="s">
        <v>140</v>
      </c>
      <c r="H19" s="13"/>
      <c r="I19" s="13" t="s">
        <v>141</v>
      </c>
      <c r="J19" s="12" t="s">
        <v>142</v>
      </c>
    </row>
    <row r="20" customFormat="false" ht="45.75" hidden="false" customHeight="true" outlineLevel="0" collapsed="false">
      <c r="A20" s="6" t="s">
        <v>45</v>
      </c>
      <c r="B20" s="6" t="n">
        <v>6</v>
      </c>
      <c r="C20" s="9" t="n">
        <v>2000</v>
      </c>
      <c r="D20" s="9" t="n">
        <v>2999</v>
      </c>
      <c r="E20" s="6" t="s">
        <v>47</v>
      </c>
      <c r="F20" s="6" t="s">
        <v>143</v>
      </c>
      <c r="G20" s="6" t="s">
        <v>144</v>
      </c>
      <c r="H20" s="13"/>
      <c r="I20" s="13" t="s">
        <v>141</v>
      </c>
      <c r="J20" s="12" t="s">
        <v>145</v>
      </c>
    </row>
    <row r="21" customFormat="false" ht="57" hidden="false" customHeight="true" outlineLevel="0" collapsed="false">
      <c r="A21" s="6" t="s">
        <v>45</v>
      </c>
      <c r="B21" s="6" t="n">
        <v>7</v>
      </c>
      <c r="C21" s="9" t="n">
        <v>3000</v>
      </c>
      <c r="D21" s="9" t="n">
        <v>5999</v>
      </c>
      <c r="E21" s="6" t="s">
        <v>47</v>
      </c>
      <c r="F21" s="6" t="s">
        <v>146</v>
      </c>
      <c r="G21" s="6" t="s">
        <v>147</v>
      </c>
      <c r="H21" s="13"/>
      <c r="I21" s="13" t="s">
        <v>141</v>
      </c>
      <c r="J21" s="12" t="s">
        <v>148</v>
      </c>
    </row>
    <row r="22" customFormat="false" ht="45.75" hidden="false" customHeight="true" outlineLevel="0" collapsed="false">
      <c r="A22" s="6" t="s">
        <v>45</v>
      </c>
      <c r="B22" s="6" t="n">
        <v>8</v>
      </c>
      <c r="C22" s="9" t="n">
        <v>6000</v>
      </c>
      <c r="D22" s="9"/>
      <c r="E22" s="6" t="s">
        <v>47</v>
      </c>
      <c r="F22" s="6" t="s">
        <v>149</v>
      </c>
      <c r="G22" s="6" t="s">
        <v>150</v>
      </c>
      <c r="H22" s="13"/>
      <c r="I22" s="13" t="s">
        <v>141</v>
      </c>
      <c r="J22" s="11" t="s">
        <v>103</v>
      </c>
    </row>
    <row r="23" customFormat="false" ht="23.25" hidden="false" customHeight="true" outlineLevel="0" collapsed="false">
      <c r="A23" s="6" t="s">
        <v>50</v>
      </c>
      <c r="B23" s="6" t="n">
        <v>1</v>
      </c>
      <c r="C23" s="9" t="n">
        <v>200</v>
      </c>
      <c r="D23" s="9" t="n">
        <v>499</v>
      </c>
      <c r="E23" s="6" t="s">
        <v>38</v>
      </c>
      <c r="F23" s="6" t="s">
        <v>151</v>
      </c>
      <c r="G23" s="6" t="s">
        <v>152</v>
      </c>
      <c r="H23" s="10" t="n">
        <f aca="false">IF(IF(COUNTIFS('Tier machines'!$G$58:$G$58,"main",'Tier machines'!$L$58:$L$58,"&gt;0")=0,9E+099,SUMIFS('Tier machines'!$L$58:$L$58,'Tier machines'!$G$58:$G$58,"main"))&gt;=9E+099,"",IF(COUNTIFS('Tier machines'!$G$58:$G$58,"main",'Tier machines'!$L$58:$L$58,"&gt;0")=0,9E+099,SUMIFS('Tier machines'!$L$58:$L$58,'Tier machines'!$G$58:$G$58,"main")))</f>
        <v>1162.6529800653</v>
      </c>
      <c r="I23" s="6" t="str">
        <f aca="false">IF(H23="","No catalog figure",IF(H23&gt;=D23,"OK",IF(H23&gt;=C23,"Covers lower part only","Below tier")))</f>
        <v>OK</v>
      </c>
      <c r="J23" s="11" t="s">
        <v>103</v>
      </c>
    </row>
    <row r="24" customFormat="false" ht="23.25" hidden="false" customHeight="true" outlineLevel="0" collapsed="false">
      <c r="A24" s="6" t="s">
        <v>50</v>
      </c>
      <c r="B24" s="6" t="n">
        <v>2</v>
      </c>
      <c r="C24" s="9" t="n">
        <v>500</v>
      </c>
      <c r="D24" s="9" t="n">
        <v>999</v>
      </c>
      <c r="E24" s="6" t="s">
        <v>38</v>
      </c>
      <c r="F24" s="6" t="s">
        <v>153</v>
      </c>
      <c r="G24" s="6" t="s">
        <v>152</v>
      </c>
      <c r="H24" s="10" t="n">
        <f aca="false">IF(IF(COUNTIFS('Tier machines'!$G$59:$G$59,"main",'Tier machines'!$L$59:$L$59,"&gt;0")=0,9E+099,SUMIFS('Tier machines'!$L$59:$L$59,'Tier machines'!$G$59:$G$59,"main"))&gt;=9E+099,"",IF(COUNTIFS('Tier machines'!$G$59:$G$59,"main",'Tier machines'!$L$59:$L$59,"&gt;0")=0,9E+099,SUMIFS('Tier machines'!$L$59:$L$59,'Tier machines'!$G$59:$G$59,"main")))</f>
        <v>1870.00129660852</v>
      </c>
      <c r="I24" s="6" t="str">
        <f aca="false">IF(H24="","No catalog figure",IF(H24&gt;=D24,"OK",IF(H24&gt;=C24,"Covers lower part only","Below tier")))</f>
        <v>OK</v>
      </c>
      <c r="J24" s="11" t="s">
        <v>103</v>
      </c>
    </row>
    <row r="25" customFormat="false" ht="23.25" hidden="false" customHeight="true" outlineLevel="0" collapsed="false">
      <c r="A25" s="6" t="s">
        <v>50</v>
      </c>
      <c r="B25" s="6" t="n">
        <v>3</v>
      </c>
      <c r="C25" s="9" t="n">
        <v>1000</v>
      </c>
      <c r="D25" s="9" t="n">
        <v>1999</v>
      </c>
      <c r="E25" s="6" t="s">
        <v>38</v>
      </c>
      <c r="F25" s="6" t="s">
        <v>154</v>
      </c>
      <c r="G25" s="6" t="s">
        <v>152</v>
      </c>
      <c r="H25" s="10" t="n">
        <f aca="false">IF(IF(COUNTIFS('Tier machines'!$G$60:$G$60,"main",'Tier machines'!$L$60:$L$60,"&gt;0")=0,9E+099,SUMIFS('Tier machines'!$L$60:$L$60,'Tier machines'!$G$60:$G$60,"main"))&gt;=9E+099,"",IF(COUNTIFS('Tier machines'!$G$60:$G$60,"main",'Tier machines'!$L$60:$L$60,"&gt;0")=0,9E+099,SUMIFS('Tier machines'!$L$60:$L$60,'Tier machines'!$G$60:$G$60,"main")))</f>
        <v>3048.91515751389</v>
      </c>
      <c r="I25" s="6" t="str">
        <f aca="false">IF(H25="","No catalog figure",IF(H25&gt;=D25,"OK",IF(H25&gt;=C25,"Covers lower part only","Below tier")))</f>
        <v>OK</v>
      </c>
      <c r="J25" s="12" t="s">
        <v>155</v>
      </c>
    </row>
    <row r="26" customFormat="false" ht="23.25" hidden="false" customHeight="true" outlineLevel="0" collapsed="false">
      <c r="A26" s="6" t="s">
        <v>50</v>
      </c>
      <c r="B26" s="6" t="n">
        <v>4</v>
      </c>
      <c r="C26" s="9" t="n">
        <v>2000</v>
      </c>
      <c r="D26" s="9" t="n">
        <v>3499</v>
      </c>
      <c r="E26" s="6" t="s">
        <v>38</v>
      </c>
      <c r="F26" s="6" t="s">
        <v>156</v>
      </c>
      <c r="G26" s="6" t="s">
        <v>134</v>
      </c>
      <c r="H26" s="10" t="n">
        <f aca="false">IF(IF(COUNTIFS('Tier machines'!$G$61:$G$62,"main",'Tier machines'!$L$61:$L$62,"&gt;0")=0,9E+099,SUMIFS('Tier machines'!$L$61:$L$62,'Tier machines'!$G$61:$G$62,"main"))&gt;=9E+099,"",IF(COUNTIFS('Tier machines'!$G$61:$G$62,"main",'Tier machines'!$L$61:$L$62,"&gt;0")=0,9E+099,SUMIFS('Tier machines'!$L$61:$L$62,'Tier machines'!$G$61:$G$62,"main")))</f>
        <v>4918.91645412241</v>
      </c>
      <c r="I26" s="6" t="str">
        <f aca="false">IF(H26="","No catalog figure",IF(H26&gt;=D26,"OK",IF(H26&gt;=C26,"Covers lower part only","Below tier")))</f>
        <v>OK</v>
      </c>
      <c r="J26" s="12" t="s">
        <v>157</v>
      </c>
    </row>
    <row r="27" customFormat="false" ht="23.25" hidden="false" customHeight="true" outlineLevel="0" collapsed="false">
      <c r="A27" s="6" t="s">
        <v>50</v>
      </c>
      <c r="B27" s="6" t="n">
        <v>5</v>
      </c>
      <c r="C27" s="9" t="n">
        <v>3500</v>
      </c>
      <c r="D27" s="9"/>
      <c r="E27" s="6" t="s">
        <v>38</v>
      </c>
      <c r="F27" s="6" t="s">
        <v>158</v>
      </c>
      <c r="G27" s="6" t="s">
        <v>134</v>
      </c>
      <c r="H27" s="10" t="n">
        <f aca="false">IF(IF(COUNTIFS('Tier machines'!$G$63:$G$64,"main",'Tier machines'!$L$63:$L$64,"&gt;0")=0,9E+099,SUMIFS('Tier machines'!$L$63:$L$64,'Tier machines'!$G$63:$G$64,"main"))&gt;=9E+099,"",IF(COUNTIFS('Tier machines'!$G$63:$G$64,"main",'Tier machines'!$L$63:$L$64,"&gt;0")=0,9E+099,SUMIFS('Tier machines'!$L$63:$L$64,'Tier machines'!$G$63:$G$64,"main")))</f>
        <v>8524.76678040883</v>
      </c>
      <c r="I27" s="6" t="str">
        <f aca="false">IF(H27="","No catalog figure",IF(H27&gt;=C27,"OK",IF(H27&gt;=C27,"Covers lower part only","Below tier")))</f>
        <v>OK</v>
      </c>
      <c r="J27" s="11" t="s">
        <v>103</v>
      </c>
    </row>
    <row r="28" customFormat="false" ht="23.25" hidden="false" customHeight="true" outlineLevel="0" collapsed="false">
      <c r="A28" s="6" t="s">
        <v>54</v>
      </c>
      <c r="B28" s="6" t="n">
        <v>1</v>
      </c>
      <c r="C28" s="9" t="n">
        <v>200</v>
      </c>
      <c r="D28" s="9" t="n">
        <v>499</v>
      </c>
      <c r="E28" s="6" t="s">
        <v>38</v>
      </c>
      <c r="F28" s="6" t="s">
        <v>159</v>
      </c>
      <c r="G28" s="6" t="s">
        <v>160</v>
      </c>
      <c r="H28" s="10" t="n">
        <f aca="false">IF(IF(COUNTIFS('Tier machines'!$G$65:$G$66,"main",'Tier machines'!$L$65:$L$66,"&gt;0")=0,9E+099,SUMIFS('Tier machines'!$L$65:$L$66,'Tier machines'!$G$65:$G$66,"main"))&gt;=9E+099,"",IF(COUNTIFS('Tier machines'!$G$65:$G$66,"main",'Tier machines'!$L$65:$L$66,"&gt;0")=0,9E+099,SUMIFS('Tier machines'!$L$65:$L$66,'Tier machines'!$G$65:$G$66,"main")))</f>
        <v>560.1504</v>
      </c>
      <c r="I28" s="6" t="str">
        <f aca="false">IF(H28="","No catalog figure",IF(H28&gt;=D28,"OK",IF(H28&gt;=C28,"Covers lower part only","Below tier")))</f>
        <v>OK</v>
      </c>
      <c r="J28" s="11" t="s">
        <v>103</v>
      </c>
    </row>
    <row r="29" customFormat="false" ht="23.25" hidden="false" customHeight="true" outlineLevel="0" collapsed="false">
      <c r="A29" s="6" t="s">
        <v>54</v>
      </c>
      <c r="B29" s="6" t="n">
        <v>2</v>
      </c>
      <c r="C29" s="9" t="n">
        <v>500</v>
      </c>
      <c r="D29" s="9" t="n">
        <v>999</v>
      </c>
      <c r="E29" s="6" t="s">
        <v>38</v>
      </c>
      <c r="F29" s="6" t="s">
        <v>161</v>
      </c>
      <c r="G29" s="6" t="s">
        <v>162</v>
      </c>
      <c r="H29" s="10" t="n">
        <f aca="false">IF(IF(COUNTIFS('Tier machines'!$G$67:$G$69,"main",'Tier machines'!$L$67:$L$69,"&gt;0")=0,9E+099,SUMIFS('Tier machines'!$L$67:$L$69,'Tier machines'!$G$67:$G$69,"main"))&gt;=9E+099,"",IF(COUNTIFS('Tier machines'!$G$67:$G$69,"main",'Tier machines'!$L$67:$L$69,"&gt;0")=0,9E+099,SUMIFS('Tier machines'!$L$67:$L$69,'Tier machines'!$G$67:$G$69,"main")))</f>
        <v>2346.576</v>
      </c>
      <c r="I29" s="6" t="str">
        <f aca="false">IF(H29="","No catalog figure",IF(H29&gt;=D29,"OK",IF(H29&gt;=C29,"Covers lower part only","Below tier")))</f>
        <v>OK</v>
      </c>
      <c r="J29" s="12" t="s">
        <v>163</v>
      </c>
    </row>
    <row r="30" customFormat="false" ht="23.25" hidden="false" customHeight="true" outlineLevel="0" collapsed="false">
      <c r="A30" s="6" t="s">
        <v>54</v>
      </c>
      <c r="B30" s="6" t="n">
        <v>3</v>
      </c>
      <c r="C30" s="9" t="n">
        <v>1000</v>
      </c>
      <c r="D30" s="9" t="n">
        <v>1999</v>
      </c>
      <c r="E30" s="6" t="s">
        <v>38</v>
      </c>
      <c r="F30" s="6" t="s">
        <v>164</v>
      </c>
      <c r="G30" s="6" t="s">
        <v>111</v>
      </c>
      <c r="H30" s="10" t="n">
        <f aca="false">IF(IF(COUNTIFS('Tier machines'!$G$70:$G$72,"main",'Tier machines'!$L$70:$L$72,"&gt;0")=0,9E+099,SUMIFS('Tier machines'!$L$70:$L$72,'Tier machines'!$G$70:$G$72,"main"))&gt;=9E+099,"",IF(COUNTIFS('Tier machines'!$G$70:$G$72,"main",'Tier machines'!$L$70:$L$72,"&gt;0")=0,9E+099,SUMIFS('Tier machines'!$L$70:$L$72,'Tier machines'!$G$70:$G$72,"main")))</f>
        <v>3406.32</v>
      </c>
      <c r="I30" s="6" t="str">
        <f aca="false">IF(H30="","No catalog figure",IF(H30&gt;=D30,"OK",IF(H30&gt;=C30,"Covers lower part only","Below tier")))</f>
        <v>OK</v>
      </c>
      <c r="J30" s="11" t="s">
        <v>103</v>
      </c>
    </row>
    <row r="31" customFormat="false" ht="23.25" hidden="false" customHeight="true" outlineLevel="0" collapsed="false">
      <c r="A31" s="6" t="s">
        <v>54</v>
      </c>
      <c r="B31" s="6" t="n">
        <v>4</v>
      </c>
      <c r="C31" s="9" t="n">
        <v>2000</v>
      </c>
      <c r="D31" s="9"/>
      <c r="E31" s="6" t="s">
        <v>38</v>
      </c>
      <c r="F31" s="6" t="s">
        <v>165</v>
      </c>
      <c r="G31" s="6" t="s">
        <v>166</v>
      </c>
      <c r="H31" s="10" t="n">
        <f aca="false">IF(IF(COUNTIFS('Tier machines'!$G$73:$G$75,"main",'Tier machines'!$L$73:$L$75,"&gt;0")=0,9E+099,SUMIFS('Tier machines'!$L$73:$L$75,'Tier machines'!$G$73:$G$75,"main"))&gt;=9E+099,"",IF(COUNTIFS('Tier machines'!$G$73:$G$75,"main",'Tier machines'!$L$73:$L$75,"&gt;0")=0,9E+099,SUMIFS('Tier machines'!$L$73:$L$75,'Tier machines'!$G$73:$G$75,"main")))</f>
        <v>3406.32</v>
      </c>
      <c r="I31" s="6" t="str">
        <f aca="false">IF(H31="","No catalog figure",IF(H31&gt;=C31,"OK",IF(H31&gt;=C31,"Covers lower part only","Below tier")))</f>
        <v>OK</v>
      </c>
      <c r="J31" s="11" t="s">
        <v>103</v>
      </c>
    </row>
    <row r="32" customFormat="false" ht="23.25" hidden="false" customHeight="true" outlineLevel="0" collapsed="false">
      <c r="A32" s="6" t="s">
        <v>58</v>
      </c>
      <c r="B32" s="6" t="n">
        <v>1</v>
      </c>
      <c r="C32" s="9" t="n">
        <v>200</v>
      </c>
      <c r="D32" s="9" t="n">
        <v>280</v>
      </c>
      <c r="E32" s="6" t="s">
        <v>60</v>
      </c>
      <c r="F32" s="6" t="s">
        <v>167</v>
      </c>
      <c r="G32" s="6" t="s">
        <v>124</v>
      </c>
      <c r="H32" s="10" t="n">
        <f aca="false">IF(MIN(IF(COUNTIFS('Tier machines'!$G$76:$G$77,"haul",'Tier machines'!$L$76:$L$77,"&gt;0")=0,9E+099,SUMIFS('Tier machines'!$L$76:$L$77,'Tier machines'!$G$76:$G$77,"haul")),IF(COUNTIFS('Tier machines'!$G$76:$G$77,"load",'Tier machines'!$L$76:$L$77,"&gt;0")=0,9E+099,SUMIFS('Tier machines'!$L$76:$L$77,'Tier machines'!$G$76:$G$77,"load")))&gt;=9E+099,"",MIN(IF(COUNTIFS('Tier machines'!$G$76:$G$77,"haul",'Tier machines'!$L$76:$L$77,"&gt;0")=0,9E+099,SUMIFS('Tier machines'!$L$76:$L$77,'Tier machines'!$G$76:$G$77,"haul")),IF(COUNTIFS('Tier machines'!$G$76:$G$77,"load",'Tier machines'!$L$76:$L$77,"&gt;0")=0,9E+099,SUMIFS('Tier machines'!$L$76:$L$77,'Tier machines'!$G$76:$G$77,"load"))))</f>
        <v>280</v>
      </c>
      <c r="I32" s="6" t="str">
        <f aca="false">IF(H32="","No catalog figure",IF(H32&gt;=D32,"OK",IF(H32&gt;=C32,"Covers lower part only","Below tier")))</f>
        <v>OK</v>
      </c>
      <c r="J32" s="11" t="s">
        <v>168</v>
      </c>
    </row>
    <row r="33" customFormat="false" ht="23.25" hidden="false" customHeight="true" outlineLevel="0" collapsed="false">
      <c r="A33" s="6" t="s">
        <v>58</v>
      </c>
      <c r="B33" s="6" t="n">
        <v>2</v>
      </c>
      <c r="C33" s="9" t="n">
        <v>281</v>
      </c>
      <c r="D33" s="9" t="n">
        <v>420</v>
      </c>
      <c r="E33" s="6" t="s">
        <v>60</v>
      </c>
      <c r="F33" s="6" t="s">
        <v>169</v>
      </c>
      <c r="G33" s="6" t="s">
        <v>124</v>
      </c>
      <c r="H33" s="10" t="n">
        <f aca="false">IF(MIN(IF(COUNTIFS('Tier machines'!$G$78:$G$79,"haul",'Tier machines'!$L$78:$L$79,"&gt;0")=0,9E+099,SUMIFS('Tier machines'!$L$78:$L$79,'Tier machines'!$G$78:$G$79,"haul")),IF(COUNTIFS('Tier machines'!$G$78:$G$79,"load",'Tier machines'!$L$78:$L$79,"&gt;0")=0,9E+099,SUMIFS('Tier machines'!$L$78:$L$79,'Tier machines'!$G$78:$G$79,"load")))&gt;=9E+099,"",MIN(IF(COUNTIFS('Tier machines'!$G$78:$G$79,"haul",'Tier machines'!$L$78:$L$79,"&gt;0")=0,9E+099,SUMIFS('Tier machines'!$L$78:$L$79,'Tier machines'!$G$78:$G$79,"haul")),IF(COUNTIFS('Tier machines'!$G$78:$G$79,"load",'Tier machines'!$L$78:$L$79,"&gt;0")=0,9E+099,SUMIFS('Tier machines'!$L$78:$L$79,'Tier machines'!$G$78:$G$79,"load"))))</f>
        <v>420</v>
      </c>
      <c r="I33" s="6" t="str">
        <f aca="false">IF(H33="","No catalog figure",IF(H33&gt;=D33,"OK",IF(H33&gt;=C33,"Covers lower part only","Below tier")))</f>
        <v>OK</v>
      </c>
      <c r="J33" s="11" t="s">
        <v>170</v>
      </c>
    </row>
    <row r="34" customFormat="false" ht="23.25" hidden="false" customHeight="true" outlineLevel="0" collapsed="false">
      <c r="A34" s="6" t="s">
        <v>58</v>
      </c>
      <c r="B34" s="6" t="n">
        <v>3</v>
      </c>
      <c r="C34" s="9" t="n">
        <v>421</v>
      </c>
      <c r="D34" s="9" t="n">
        <v>560</v>
      </c>
      <c r="E34" s="6" t="s">
        <v>60</v>
      </c>
      <c r="F34" s="6" t="s">
        <v>171</v>
      </c>
      <c r="G34" s="6" t="s">
        <v>124</v>
      </c>
      <c r="H34" s="10" t="n">
        <f aca="false">IF(MIN(IF(COUNTIFS('Tier machines'!$G$80:$G$81,"haul",'Tier machines'!$L$80:$L$81,"&gt;0")=0,9E+099,SUMIFS('Tier machines'!$L$80:$L$81,'Tier machines'!$G$80:$G$81,"haul")),IF(COUNTIFS('Tier machines'!$G$80:$G$81,"load",'Tier machines'!$L$80:$L$81,"&gt;0")=0,9E+099,SUMIFS('Tier machines'!$L$80:$L$81,'Tier machines'!$G$80:$G$81,"load")))&gt;=9E+099,"",MIN(IF(COUNTIFS('Tier machines'!$G$80:$G$81,"haul",'Tier machines'!$L$80:$L$81,"&gt;0")=0,9E+099,SUMIFS('Tier machines'!$L$80:$L$81,'Tier machines'!$G$80:$G$81,"haul")),IF(COUNTIFS('Tier machines'!$G$80:$G$81,"load",'Tier machines'!$L$80:$L$81,"&gt;0")=0,9E+099,SUMIFS('Tier machines'!$L$80:$L$81,'Tier machines'!$G$80:$G$81,"load"))))</f>
        <v>560</v>
      </c>
      <c r="I34" s="6" t="str">
        <f aca="false">IF(H34="","No catalog figure",IF(H34&gt;=D34,"OK",IF(H34&gt;=C34,"Covers lower part only","Below tier")))</f>
        <v>OK</v>
      </c>
      <c r="J34" s="11" t="s">
        <v>172</v>
      </c>
    </row>
    <row r="35" customFormat="false" ht="23.25" hidden="false" customHeight="true" outlineLevel="0" collapsed="false">
      <c r="A35" s="6" t="s">
        <v>58</v>
      </c>
      <c r="B35" s="6" t="n">
        <v>4</v>
      </c>
      <c r="C35" s="9" t="n">
        <v>561</v>
      </c>
      <c r="D35" s="9" t="n">
        <v>700</v>
      </c>
      <c r="E35" s="6" t="s">
        <v>60</v>
      </c>
      <c r="F35" s="6" t="s">
        <v>173</v>
      </c>
      <c r="G35" s="6" t="s">
        <v>124</v>
      </c>
      <c r="H35" s="10" t="n">
        <f aca="false">IF(MIN(IF(COUNTIFS('Tier machines'!$G$82:$G$83,"haul",'Tier machines'!$L$82:$L$83,"&gt;0")=0,9E+099,SUMIFS('Tier machines'!$L$82:$L$83,'Tier machines'!$G$82:$G$83,"haul")),IF(COUNTIFS('Tier machines'!$G$82:$G$83,"load",'Tier machines'!$L$82:$L$83,"&gt;0")=0,9E+099,SUMIFS('Tier machines'!$L$82:$L$83,'Tier machines'!$G$82:$G$83,"load")))&gt;=9E+099,"",MIN(IF(COUNTIFS('Tier machines'!$G$82:$G$83,"haul",'Tier machines'!$L$82:$L$83,"&gt;0")=0,9E+099,SUMIFS('Tier machines'!$L$82:$L$83,'Tier machines'!$G$82:$G$83,"haul")),IF(COUNTIFS('Tier machines'!$G$82:$G$83,"load",'Tier machines'!$L$82:$L$83,"&gt;0")=0,9E+099,SUMIFS('Tier machines'!$L$82:$L$83,'Tier machines'!$G$82:$G$83,"load"))))</f>
        <v>700</v>
      </c>
      <c r="I35" s="6" t="str">
        <f aca="false">IF(H35="","No catalog figure",IF(H35&gt;=D35,"OK",IF(H35&gt;=C35,"Covers lower part only","Below tier")))</f>
        <v>OK</v>
      </c>
      <c r="J35" s="11" t="s">
        <v>174</v>
      </c>
    </row>
    <row r="36" customFormat="false" ht="23.25" hidden="false" customHeight="true" outlineLevel="0" collapsed="false">
      <c r="A36" s="6" t="s">
        <v>58</v>
      </c>
      <c r="B36" s="6" t="n">
        <v>5</v>
      </c>
      <c r="C36" s="9" t="n">
        <v>701</v>
      </c>
      <c r="D36" s="9" t="n">
        <v>840</v>
      </c>
      <c r="E36" s="6" t="s">
        <v>60</v>
      </c>
      <c r="F36" s="6" t="s">
        <v>175</v>
      </c>
      <c r="G36" s="6" t="s">
        <v>124</v>
      </c>
      <c r="H36" s="10" t="n">
        <f aca="false">IF(MIN(IF(COUNTIFS('Tier machines'!$G$84:$G$85,"haul",'Tier machines'!$L$84:$L$85,"&gt;0")=0,9E+099,SUMIFS('Tier machines'!$L$84:$L$85,'Tier machines'!$G$84:$G$85,"haul")),IF(COUNTIFS('Tier machines'!$G$84:$G$85,"load",'Tier machines'!$L$84:$L$85,"&gt;0")=0,9E+099,SUMIFS('Tier machines'!$L$84:$L$85,'Tier machines'!$G$84:$G$85,"load")))&gt;=9E+099,"",MIN(IF(COUNTIFS('Tier machines'!$G$84:$G$85,"haul",'Tier machines'!$L$84:$L$85,"&gt;0")=0,9E+099,SUMIFS('Tier machines'!$L$84:$L$85,'Tier machines'!$G$84:$G$85,"haul")),IF(COUNTIFS('Tier machines'!$G$84:$G$85,"load",'Tier machines'!$L$84:$L$85,"&gt;0")=0,9E+099,SUMIFS('Tier machines'!$L$84:$L$85,'Tier machines'!$G$84:$G$85,"load"))))</f>
        <v>840</v>
      </c>
      <c r="I36" s="6" t="str">
        <f aca="false">IF(H36="","No catalog figure",IF(H36&gt;=D36,"OK",IF(H36&gt;=C36,"Covers lower part only","Below tier")))</f>
        <v>OK</v>
      </c>
      <c r="J36" s="11" t="s">
        <v>176</v>
      </c>
    </row>
    <row r="37" customFormat="false" ht="23.25" hidden="false" customHeight="true" outlineLevel="0" collapsed="false">
      <c r="A37" s="6" t="s">
        <v>58</v>
      </c>
      <c r="B37" s="6" t="n">
        <v>6</v>
      </c>
      <c r="C37" s="9" t="n">
        <v>841</v>
      </c>
      <c r="D37" s="9" t="n">
        <v>1120</v>
      </c>
      <c r="E37" s="6" t="s">
        <v>60</v>
      </c>
      <c r="F37" s="6" t="s">
        <v>177</v>
      </c>
      <c r="G37" s="6" t="s">
        <v>124</v>
      </c>
      <c r="H37" s="10" t="n">
        <f aca="false">IF(MIN(IF(COUNTIFS('Tier machines'!$G$86:$G$87,"haul",'Tier machines'!$L$86:$L$87,"&gt;0")=0,9E+099,SUMIFS('Tier machines'!$L$86:$L$87,'Tier machines'!$G$86:$G$87,"haul")),IF(COUNTIFS('Tier machines'!$G$86:$G$87,"load",'Tier machines'!$L$86:$L$87,"&gt;0")=0,9E+099,SUMIFS('Tier machines'!$L$86:$L$87,'Tier machines'!$G$86:$G$87,"load")))&gt;=9E+099,"",MIN(IF(COUNTIFS('Tier machines'!$G$86:$G$87,"haul",'Tier machines'!$L$86:$L$87,"&gt;0")=0,9E+099,SUMIFS('Tier machines'!$L$86:$L$87,'Tier machines'!$G$86:$G$87,"haul")),IF(COUNTIFS('Tier machines'!$G$86:$G$87,"load",'Tier machines'!$L$86:$L$87,"&gt;0")=0,9E+099,SUMIFS('Tier machines'!$L$86:$L$87,'Tier machines'!$G$86:$G$87,"load"))))</f>
        <v>1120</v>
      </c>
      <c r="I37" s="6" t="str">
        <f aca="false">IF(H37="","No catalog figure",IF(H37&gt;=D37,"OK",IF(H37&gt;=C37,"Covers lower part only","Below tier")))</f>
        <v>OK</v>
      </c>
      <c r="J37" s="11" t="s">
        <v>178</v>
      </c>
    </row>
    <row r="38" customFormat="false" ht="23.25" hidden="false" customHeight="true" outlineLevel="0" collapsed="false">
      <c r="A38" s="6" t="s">
        <v>58</v>
      </c>
      <c r="B38" s="6" t="n">
        <v>7</v>
      </c>
      <c r="C38" s="9" t="n">
        <v>1121</v>
      </c>
      <c r="D38" s="9" t="n">
        <v>1400</v>
      </c>
      <c r="E38" s="6" t="s">
        <v>60</v>
      </c>
      <c r="F38" s="6" t="s">
        <v>179</v>
      </c>
      <c r="G38" s="6" t="s">
        <v>180</v>
      </c>
      <c r="H38" s="10" t="n">
        <f aca="false">IF(MIN(IF(COUNTIFS('Tier machines'!$G$88:$G$89,"haul",'Tier machines'!$L$88:$L$89,"&gt;0")=0,9E+099,SUMIFS('Tier machines'!$L$88:$L$89,'Tier machines'!$G$88:$G$89,"haul")),IF(COUNTIFS('Tier machines'!$G$88:$G$89,"load",'Tier machines'!$L$88:$L$89,"&gt;0")=0,9E+099,SUMIFS('Tier machines'!$L$88:$L$89,'Tier machines'!$G$88:$G$89,"load")))&gt;=9E+099,"",MIN(IF(COUNTIFS('Tier machines'!$G$88:$G$89,"haul",'Tier machines'!$L$88:$L$89,"&gt;0")=0,9E+099,SUMIFS('Tier machines'!$L$88:$L$89,'Tier machines'!$G$88:$G$89,"haul")),IF(COUNTIFS('Tier machines'!$G$88:$G$89,"load",'Tier machines'!$L$88:$L$89,"&gt;0")=0,9E+099,SUMIFS('Tier machines'!$L$88:$L$89,'Tier machines'!$G$88:$G$89,"load"))))</f>
        <v>1400</v>
      </c>
      <c r="I38" s="6" t="str">
        <f aca="false">IF(H38="","No catalog figure",IF(H38&gt;=D38,"OK",IF(H38&gt;=C38,"Covers lower part only","Below tier")))</f>
        <v>OK</v>
      </c>
      <c r="J38" s="11" t="s">
        <v>181</v>
      </c>
    </row>
    <row r="39" customFormat="false" ht="23.25" hidden="false" customHeight="true" outlineLevel="0" collapsed="false">
      <c r="A39" s="6" t="s">
        <v>58</v>
      </c>
      <c r="B39" s="6" t="n">
        <v>8</v>
      </c>
      <c r="C39" s="9" t="n">
        <v>1401</v>
      </c>
      <c r="D39" s="9" t="n">
        <v>1680</v>
      </c>
      <c r="E39" s="6" t="s">
        <v>60</v>
      </c>
      <c r="F39" s="6" t="s">
        <v>182</v>
      </c>
      <c r="G39" s="6" t="s">
        <v>180</v>
      </c>
      <c r="H39" s="10" t="n">
        <f aca="false">IF(MIN(IF(COUNTIFS('Tier machines'!$G$90:$G$91,"haul",'Tier machines'!$L$90:$L$91,"&gt;0")=0,9E+099,SUMIFS('Tier machines'!$L$90:$L$91,'Tier machines'!$G$90:$G$91,"haul")),IF(COUNTIFS('Tier machines'!$G$90:$G$91,"load",'Tier machines'!$L$90:$L$91,"&gt;0")=0,9E+099,SUMIFS('Tier machines'!$L$90:$L$91,'Tier machines'!$G$90:$G$91,"load")))&gt;=9E+099,"",MIN(IF(COUNTIFS('Tier machines'!$G$90:$G$91,"haul",'Tier machines'!$L$90:$L$91,"&gt;0")=0,9E+099,SUMIFS('Tier machines'!$L$90:$L$91,'Tier machines'!$G$90:$G$91,"haul")),IF(COUNTIFS('Tier machines'!$G$90:$G$91,"load",'Tier machines'!$L$90:$L$91,"&gt;0")=0,9E+099,SUMIFS('Tier machines'!$L$90:$L$91,'Tier machines'!$G$90:$G$91,"load"))))</f>
        <v>1680</v>
      </c>
      <c r="I39" s="6" t="str">
        <f aca="false">IF(H39="","No catalog figure",IF(H39&gt;=D39,"OK",IF(H39&gt;=C39,"Covers lower part only","Below tier")))</f>
        <v>OK</v>
      </c>
      <c r="J39" s="11" t="s">
        <v>183</v>
      </c>
    </row>
    <row r="40" customFormat="false" ht="23.25" hidden="false" customHeight="true" outlineLevel="0" collapsed="false">
      <c r="A40" s="6" t="s">
        <v>58</v>
      </c>
      <c r="B40" s="6" t="n">
        <v>9</v>
      </c>
      <c r="C40" s="9" t="n">
        <v>1681</v>
      </c>
      <c r="D40" s="9" t="n">
        <v>2100</v>
      </c>
      <c r="E40" s="6" t="s">
        <v>60</v>
      </c>
      <c r="F40" s="6" t="s">
        <v>184</v>
      </c>
      <c r="G40" s="6" t="s">
        <v>180</v>
      </c>
      <c r="H40" s="10" t="n">
        <f aca="false">IF(MIN(IF(COUNTIFS('Tier machines'!$G$92:$G$93,"haul",'Tier machines'!$L$92:$L$93,"&gt;0")=0,9E+099,SUMIFS('Tier machines'!$L$92:$L$93,'Tier machines'!$G$92:$G$93,"haul")),IF(COUNTIFS('Tier machines'!$G$92:$G$93,"load",'Tier machines'!$L$92:$L$93,"&gt;0")=0,9E+099,SUMIFS('Tier machines'!$L$92:$L$93,'Tier machines'!$G$92:$G$93,"load")))&gt;=9E+099,"",MIN(IF(COUNTIFS('Tier machines'!$G$92:$G$93,"haul",'Tier machines'!$L$92:$L$93,"&gt;0")=0,9E+099,SUMIFS('Tier machines'!$L$92:$L$93,'Tier machines'!$G$92:$G$93,"haul")),IF(COUNTIFS('Tier machines'!$G$92:$G$93,"load",'Tier machines'!$L$92:$L$93,"&gt;0")=0,9E+099,SUMIFS('Tier machines'!$L$92:$L$93,'Tier machines'!$G$92:$G$93,"load"))))</f>
        <v>2100</v>
      </c>
      <c r="I40" s="6" t="str">
        <f aca="false">IF(H40="","No catalog figure",IF(H40&gt;=D40,"OK",IF(H40&gt;=C40,"Covers lower part only","Below tier")))</f>
        <v>OK</v>
      </c>
      <c r="J40" s="11" t="s">
        <v>185</v>
      </c>
    </row>
    <row r="41" customFormat="false" ht="23.25" hidden="false" customHeight="true" outlineLevel="0" collapsed="false">
      <c r="A41" s="6" t="s">
        <v>58</v>
      </c>
      <c r="B41" s="6" t="n">
        <v>10</v>
      </c>
      <c r="C41" s="9" t="n">
        <v>2101</v>
      </c>
      <c r="D41" s="9" t="n">
        <v>2520</v>
      </c>
      <c r="E41" s="6" t="s">
        <v>60</v>
      </c>
      <c r="F41" s="6" t="s">
        <v>186</v>
      </c>
      <c r="G41" s="6" t="s">
        <v>180</v>
      </c>
      <c r="H41" s="10" t="n">
        <f aca="false">IF(MIN(IF(COUNTIFS('Tier machines'!$G$94:$G$95,"haul",'Tier machines'!$L$94:$L$95,"&gt;0")=0,9E+099,SUMIFS('Tier machines'!$L$94:$L$95,'Tier machines'!$G$94:$G$95,"haul")),IF(COUNTIFS('Tier machines'!$G$94:$G$95,"load",'Tier machines'!$L$94:$L$95,"&gt;0")=0,9E+099,SUMIFS('Tier machines'!$L$94:$L$95,'Tier machines'!$G$94:$G$95,"load")))&gt;=9E+099,"",MIN(IF(COUNTIFS('Tier machines'!$G$94:$G$95,"haul",'Tier machines'!$L$94:$L$95,"&gt;0")=0,9E+099,SUMIFS('Tier machines'!$L$94:$L$95,'Tier machines'!$G$94:$G$95,"haul")),IF(COUNTIFS('Tier machines'!$G$94:$G$95,"load",'Tier machines'!$L$94:$L$95,"&gt;0")=0,9E+099,SUMIFS('Tier machines'!$L$94:$L$95,'Tier machines'!$G$94:$G$95,"load"))))</f>
        <v>2520</v>
      </c>
      <c r="I41" s="6" t="str">
        <f aca="false">IF(H41="","No catalog figure",IF(H41&gt;=D41,"OK",IF(H41&gt;=C41,"Covers lower part only","Below tier")))</f>
        <v>OK</v>
      </c>
      <c r="J41" s="11" t="s">
        <v>187</v>
      </c>
    </row>
    <row r="42" customFormat="false" ht="23.25" hidden="false" customHeight="true" outlineLevel="0" collapsed="false">
      <c r="A42" s="6" t="s">
        <v>58</v>
      </c>
      <c r="B42" s="6" t="n">
        <v>11</v>
      </c>
      <c r="C42" s="9" t="n">
        <v>2521</v>
      </c>
      <c r="D42" s="9"/>
      <c r="E42" s="6" t="s">
        <v>60</v>
      </c>
      <c r="F42" s="6" t="s">
        <v>188</v>
      </c>
      <c r="G42" s="6" t="s">
        <v>180</v>
      </c>
      <c r="H42" s="10" t="n">
        <f aca="false">IF(MIN(IF(COUNTIFS('Tier machines'!$G$96:$G$97,"haul",'Tier machines'!$L$96:$L$97,"&gt;0")=0,9E+099,SUMIFS('Tier machines'!$L$96:$L$97,'Tier machines'!$G$96:$G$97,"haul")),IF(COUNTIFS('Tier machines'!$G$96:$G$97,"load",'Tier machines'!$L$96:$L$97,"&gt;0")=0,9E+099,SUMIFS('Tier machines'!$L$96:$L$97,'Tier machines'!$G$96:$G$97,"load")))&gt;=9E+099,"",MIN(IF(COUNTIFS('Tier machines'!$G$96:$G$97,"haul",'Tier machines'!$L$96:$L$97,"&gt;0")=0,9E+099,SUMIFS('Tier machines'!$L$96:$L$97,'Tier machines'!$G$96:$G$97,"haul")),IF(COUNTIFS('Tier machines'!$G$96:$G$97,"load",'Tier machines'!$L$96:$L$97,"&gt;0")=0,9E+099,SUMIFS('Tier machines'!$L$96:$L$97,'Tier machines'!$G$96:$G$97,"load"))))</f>
        <v>3080</v>
      </c>
      <c r="I42" s="6" t="str">
        <f aca="false">IF(H42="","No catalog figure",IF(H42&gt;=C42,"OK",IF(H42&gt;=C42,"Covers lower part only","Below tier")))</f>
        <v>OK</v>
      </c>
      <c r="J42" s="11" t="s">
        <v>189</v>
      </c>
    </row>
    <row r="43" customFormat="false" ht="15" hidden="false" customHeight="true" outlineLevel="0" collapsed="false">
      <c r="A43" s="6" t="s">
        <v>63</v>
      </c>
      <c r="B43" s="6" t="n">
        <v>1</v>
      </c>
      <c r="C43" s="9" t="n">
        <v>200</v>
      </c>
      <c r="D43" s="9" t="n">
        <v>280</v>
      </c>
      <c r="E43" s="6" t="s">
        <v>60</v>
      </c>
      <c r="F43" s="6" t="s">
        <v>190</v>
      </c>
      <c r="G43" s="6" t="s">
        <v>191</v>
      </c>
      <c r="H43" s="10" t="n">
        <f aca="false">IF(IF(COUNTIFS('Tier machines'!$G$98:$G$98,"haul",'Tier machines'!$L$98:$L$98,"&gt;0")=0,9E+099,SUMIFS('Tier machines'!$L$98:$L$98,'Tier machines'!$G$98:$G$98,"haul"))&gt;=9E+099,"",IF(COUNTIFS('Tier machines'!$G$98:$G$98,"haul",'Tier machines'!$L$98:$L$98,"&gt;0")=0,9E+099,SUMIFS('Tier machines'!$L$98:$L$98,'Tier machines'!$G$98:$G$98,"haul")))</f>
        <v>280</v>
      </c>
      <c r="I43" s="6" t="str">
        <f aca="false">IF(H43="","No catalog figure",IF(H43&gt;=D43,"OK",IF(H43&gt;=C43,"Covers lower part only","Below tier")))</f>
        <v>OK</v>
      </c>
      <c r="J43" s="11" t="s">
        <v>168</v>
      </c>
    </row>
    <row r="44" customFormat="false" ht="15" hidden="false" customHeight="true" outlineLevel="0" collapsed="false">
      <c r="A44" s="6" t="s">
        <v>63</v>
      </c>
      <c r="B44" s="6" t="n">
        <v>2</v>
      </c>
      <c r="C44" s="9" t="n">
        <v>281</v>
      </c>
      <c r="D44" s="9" t="n">
        <v>420</v>
      </c>
      <c r="E44" s="6" t="s">
        <v>60</v>
      </c>
      <c r="F44" s="6" t="s">
        <v>192</v>
      </c>
      <c r="G44" s="6" t="s">
        <v>191</v>
      </c>
      <c r="H44" s="10" t="n">
        <f aca="false">IF(IF(COUNTIFS('Tier machines'!$G$99:$G$99,"haul",'Tier machines'!$L$99:$L$99,"&gt;0")=0,9E+099,SUMIFS('Tier machines'!$L$99:$L$99,'Tier machines'!$G$99:$G$99,"haul"))&gt;=9E+099,"",IF(COUNTIFS('Tier machines'!$G$99:$G$99,"haul",'Tier machines'!$L$99:$L$99,"&gt;0")=0,9E+099,SUMIFS('Tier machines'!$L$99:$L$99,'Tier machines'!$G$99:$G$99,"haul")))</f>
        <v>420</v>
      </c>
      <c r="I44" s="6" t="str">
        <f aca="false">IF(H44="","No catalog figure",IF(H44&gt;=D44,"OK",IF(H44&gt;=C44,"Covers lower part only","Below tier")))</f>
        <v>OK</v>
      </c>
      <c r="J44" s="11" t="s">
        <v>170</v>
      </c>
    </row>
    <row r="45" customFormat="false" ht="15" hidden="false" customHeight="true" outlineLevel="0" collapsed="false">
      <c r="A45" s="6" t="s">
        <v>63</v>
      </c>
      <c r="B45" s="6" t="n">
        <v>3</v>
      </c>
      <c r="C45" s="9" t="n">
        <v>421</v>
      </c>
      <c r="D45" s="9" t="n">
        <v>560</v>
      </c>
      <c r="E45" s="6" t="s">
        <v>60</v>
      </c>
      <c r="F45" s="6" t="s">
        <v>193</v>
      </c>
      <c r="G45" s="6" t="s">
        <v>191</v>
      </c>
      <c r="H45" s="10" t="n">
        <f aca="false">IF(IF(COUNTIFS('Tier machines'!$G$100:$G$100,"haul",'Tier machines'!$L$100:$L$100,"&gt;0")=0,9E+099,SUMIFS('Tier machines'!$L$100:$L$100,'Tier machines'!$G$100:$G$100,"haul"))&gt;=9E+099,"",IF(COUNTIFS('Tier machines'!$G$100:$G$100,"haul",'Tier machines'!$L$100:$L$100,"&gt;0")=0,9E+099,SUMIFS('Tier machines'!$L$100:$L$100,'Tier machines'!$G$100:$G$100,"haul")))</f>
        <v>560</v>
      </c>
      <c r="I45" s="6" t="str">
        <f aca="false">IF(H45="","No catalog figure",IF(H45&gt;=D45,"OK",IF(H45&gt;=C45,"Covers lower part only","Below tier")))</f>
        <v>OK</v>
      </c>
      <c r="J45" s="11" t="s">
        <v>172</v>
      </c>
    </row>
    <row r="46" customFormat="false" ht="15" hidden="false" customHeight="true" outlineLevel="0" collapsed="false">
      <c r="A46" s="6" t="s">
        <v>63</v>
      </c>
      <c r="B46" s="6" t="n">
        <v>4</v>
      </c>
      <c r="C46" s="9" t="n">
        <v>561</v>
      </c>
      <c r="D46" s="9" t="n">
        <v>700</v>
      </c>
      <c r="E46" s="6" t="s">
        <v>60</v>
      </c>
      <c r="F46" s="6" t="s">
        <v>194</v>
      </c>
      <c r="G46" s="6" t="s">
        <v>191</v>
      </c>
      <c r="H46" s="10" t="n">
        <f aca="false">IF(IF(COUNTIFS('Tier machines'!$G$101:$G$101,"haul",'Tier machines'!$L$101:$L$101,"&gt;0")=0,9E+099,SUMIFS('Tier machines'!$L$101:$L$101,'Tier machines'!$G$101:$G$101,"haul"))&gt;=9E+099,"",IF(COUNTIFS('Tier machines'!$G$101:$G$101,"haul",'Tier machines'!$L$101:$L$101,"&gt;0")=0,9E+099,SUMIFS('Tier machines'!$L$101:$L$101,'Tier machines'!$G$101:$G$101,"haul")))</f>
        <v>700</v>
      </c>
      <c r="I46" s="6" t="str">
        <f aca="false">IF(H46="","No catalog figure",IF(H46&gt;=D46,"OK",IF(H46&gt;=C46,"Covers lower part only","Below tier")))</f>
        <v>OK</v>
      </c>
      <c r="J46" s="11" t="s">
        <v>174</v>
      </c>
    </row>
    <row r="47" customFormat="false" ht="15" hidden="false" customHeight="true" outlineLevel="0" collapsed="false">
      <c r="A47" s="6" t="s">
        <v>63</v>
      </c>
      <c r="B47" s="6" t="n">
        <v>5</v>
      </c>
      <c r="C47" s="9" t="n">
        <v>701</v>
      </c>
      <c r="D47" s="9" t="n">
        <v>840</v>
      </c>
      <c r="E47" s="6" t="s">
        <v>60</v>
      </c>
      <c r="F47" s="6" t="s">
        <v>195</v>
      </c>
      <c r="G47" s="6" t="s">
        <v>191</v>
      </c>
      <c r="H47" s="10" t="n">
        <f aca="false">IF(IF(COUNTIFS('Tier machines'!$G$102:$G$102,"haul",'Tier machines'!$L$102:$L$102,"&gt;0")=0,9E+099,SUMIFS('Tier machines'!$L$102:$L$102,'Tier machines'!$G$102:$G$102,"haul"))&gt;=9E+099,"",IF(COUNTIFS('Tier machines'!$G$102:$G$102,"haul",'Tier machines'!$L$102:$L$102,"&gt;0")=0,9E+099,SUMIFS('Tier machines'!$L$102:$L$102,'Tier machines'!$G$102:$G$102,"haul")))</f>
        <v>840</v>
      </c>
      <c r="I47" s="6" t="str">
        <f aca="false">IF(H47="","No catalog figure",IF(H47&gt;=D47,"OK",IF(H47&gt;=C47,"Covers lower part only","Below tier")))</f>
        <v>OK</v>
      </c>
      <c r="J47" s="11" t="s">
        <v>176</v>
      </c>
    </row>
    <row r="48" customFormat="false" ht="15" hidden="false" customHeight="true" outlineLevel="0" collapsed="false">
      <c r="A48" s="6" t="s">
        <v>63</v>
      </c>
      <c r="B48" s="6" t="n">
        <v>6</v>
      </c>
      <c r="C48" s="9" t="n">
        <v>841</v>
      </c>
      <c r="D48" s="9" t="n">
        <v>1120</v>
      </c>
      <c r="E48" s="6" t="s">
        <v>60</v>
      </c>
      <c r="F48" s="6" t="s">
        <v>196</v>
      </c>
      <c r="G48" s="6" t="s">
        <v>191</v>
      </c>
      <c r="H48" s="10" t="n">
        <f aca="false">IF(IF(COUNTIFS('Tier machines'!$G$103:$G$103,"haul",'Tier machines'!$L$103:$L$103,"&gt;0")=0,9E+099,SUMIFS('Tier machines'!$L$103:$L$103,'Tier machines'!$G$103:$G$103,"haul"))&gt;=9E+099,"",IF(COUNTIFS('Tier machines'!$G$103:$G$103,"haul",'Tier machines'!$L$103:$L$103,"&gt;0")=0,9E+099,SUMIFS('Tier machines'!$L$103:$L$103,'Tier machines'!$G$103:$G$103,"haul")))</f>
        <v>1120</v>
      </c>
      <c r="I48" s="6" t="str">
        <f aca="false">IF(H48="","No catalog figure",IF(H48&gt;=D48,"OK",IF(H48&gt;=C48,"Covers lower part only","Below tier")))</f>
        <v>OK</v>
      </c>
      <c r="J48" s="11" t="s">
        <v>178</v>
      </c>
    </row>
    <row r="49" customFormat="false" ht="15" hidden="false" customHeight="true" outlineLevel="0" collapsed="false">
      <c r="A49" s="6" t="s">
        <v>63</v>
      </c>
      <c r="B49" s="6" t="n">
        <v>7</v>
      </c>
      <c r="C49" s="9" t="n">
        <v>1121</v>
      </c>
      <c r="D49" s="9" t="n">
        <v>1400</v>
      </c>
      <c r="E49" s="6" t="s">
        <v>60</v>
      </c>
      <c r="F49" s="6" t="s">
        <v>197</v>
      </c>
      <c r="G49" s="6" t="s">
        <v>191</v>
      </c>
      <c r="H49" s="10" t="n">
        <f aca="false">IF(IF(COUNTIFS('Tier machines'!$G$104:$G$104,"haul",'Tier machines'!$L$104:$L$104,"&gt;0")=0,9E+099,SUMIFS('Tier machines'!$L$104:$L$104,'Tier machines'!$G$104:$G$104,"haul"))&gt;=9E+099,"",IF(COUNTIFS('Tier machines'!$G$104:$G$104,"haul",'Tier machines'!$L$104:$L$104,"&gt;0")=0,9E+099,SUMIFS('Tier machines'!$L$104:$L$104,'Tier machines'!$G$104:$G$104,"haul")))</f>
        <v>1400</v>
      </c>
      <c r="I49" s="6" t="str">
        <f aca="false">IF(H49="","No catalog figure",IF(H49&gt;=D49,"OK",IF(H49&gt;=C49,"Covers lower part only","Below tier")))</f>
        <v>OK</v>
      </c>
      <c r="J49" s="11" t="s">
        <v>181</v>
      </c>
    </row>
    <row r="50" customFormat="false" ht="15" hidden="false" customHeight="true" outlineLevel="0" collapsed="false">
      <c r="A50" s="6" t="s">
        <v>63</v>
      </c>
      <c r="B50" s="6" t="n">
        <v>8</v>
      </c>
      <c r="C50" s="9" t="n">
        <v>1401</v>
      </c>
      <c r="D50" s="9" t="n">
        <v>1680</v>
      </c>
      <c r="E50" s="6" t="s">
        <v>60</v>
      </c>
      <c r="F50" s="6" t="s">
        <v>198</v>
      </c>
      <c r="G50" s="6" t="s">
        <v>191</v>
      </c>
      <c r="H50" s="10" t="n">
        <f aca="false">IF(IF(COUNTIFS('Tier machines'!$G$105:$G$105,"haul",'Tier machines'!$L$105:$L$105,"&gt;0")=0,9E+099,SUMIFS('Tier machines'!$L$105:$L$105,'Tier machines'!$G$105:$G$105,"haul"))&gt;=9E+099,"",IF(COUNTIFS('Tier machines'!$G$105:$G$105,"haul",'Tier machines'!$L$105:$L$105,"&gt;0")=0,9E+099,SUMIFS('Tier machines'!$L$105:$L$105,'Tier machines'!$G$105:$G$105,"haul")))</f>
        <v>1680</v>
      </c>
      <c r="I50" s="6" t="str">
        <f aca="false">IF(H50="","No catalog figure",IF(H50&gt;=D50,"OK",IF(H50&gt;=C50,"Covers lower part only","Below tier")))</f>
        <v>OK</v>
      </c>
      <c r="J50" s="11" t="s">
        <v>183</v>
      </c>
    </row>
    <row r="51" customFormat="false" ht="15" hidden="false" customHeight="true" outlineLevel="0" collapsed="false">
      <c r="A51" s="6" t="s">
        <v>63</v>
      </c>
      <c r="B51" s="6" t="n">
        <v>9</v>
      </c>
      <c r="C51" s="9" t="n">
        <v>1681</v>
      </c>
      <c r="D51" s="9" t="n">
        <v>2100</v>
      </c>
      <c r="E51" s="6" t="s">
        <v>60</v>
      </c>
      <c r="F51" s="6" t="s">
        <v>199</v>
      </c>
      <c r="G51" s="6" t="s">
        <v>191</v>
      </c>
      <c r="H51" s="10" t="n">
        <f aca="false">IF(IF(COUNTIFS('Tier machines'!$G$106:$G$106,"haul",'Tier machines'!$L$106:$L$106,"&gt;0")=0,9E+099,SUMIFS('Tier machines'!$L$106:$L$106,'Tier machines'!$G$106:$G$106,"haul"))&gt;=9E+099,"",IF(COUNTIFS('Tier machines'!$G$106:$G$106,"haul",'Tier machines'!$L$106:$L$106,"&gt;0")=0,9E+099,SUMIFS('Tier machines'!$L$106:$L$106,'Tier machines'!$G$106:$G$106,"haul")))</f>
        <v>2100</v>
      </c>
      <c r="I51" s="6" t="str">
        <f aca="false">IF(H51="","No catalog figure",IF(H51&gt;=D51,"OK",IF(H51&gt;=C51,"Covers lower part only","Below tier")))</f>
        <v>OK</v>
      </c>
      <c r="J51" s="11" t="s">
        <v>185</v>
      </c>
    </row>
    <row r="52" customFormat="false" ht="15" hidden="false" customHeight="true" outlineLevel="0" collapsed="false">
      <c r="A52" s="6" t="s">
        <v>63</v>
      </c>
      <c r="B52" s="6" t="n">
        <v>10</v>
      </c>
      <c r="C52" s="9" t="n">
        <v>2101</v>
      </c>
      <c r="D52" s="9" t="n">
        <v>2520</v>
      </c>
      <c r="E52" s="6" t="s">
        <v>60</v>
      </c>
      <c r="F52" s="6" t="s">
        <v>200</v>
      </c>
      <c r="G52" s="6" t="s">
        <v>191</v>
      </c>
      <c r="H52" s="10" t="n">
        <f aca="false">IF(IF(COUNTIFS('Tier machines'!$G$107:$G$107,"haul",'Tier machines'!$L$107:$L$107,"&gt;0")=0,9E+099,SUMIFS('Tier machines'!$L$107:$L$107,'Tier machines'!$G$107:$G$107,"haul"))&gt;=9E+099,"",IF(COUNTIFS('Tier machines'!$G$107:$G$107,"haul",'Tier machines'!$L$107:$L$107,"&gt;0")=0,9E+099,SUMIFS('Tier machines'!$L$107:$L$107,'Tier machines'!$G$107:$G$107,"haul")))</f>
        <v>2520</v>
      </c>
      <c r="I52" s="6" t="str">
        <f aca="false">IF(H52="","No catalog figure",IF(H52&gt;=D52,"OK",IF(H52&gt;=C52,"Covers lower part only","Below tier")))</f>
        <v>OK</v>
      </c>
      <c r="J52" s="11" t="s">
        <v>187</v>
      </c>
    </row>
    <row r="53" customFormat="false" ht="15" hidden="false" customHeight="true" outlineLevel="0" collapsed="false">
      <c r="A53" s="6" t="s">
        <v>63</v>
      </c>
      <c r="B53" s="6" t="n">
        <v>11</v>
      </c>
      <c r="C53" s="9" t="n">
        <v>2521</v>
      </c>
      <c r="D53" s="9"/>
      <c r="E53" s="6" t="s">
        <v>60</v>
      </c>
      <c r="F53" s="6" t="s">
        <v>201</v>
      </c>
      <c r="G53" s="6" t="s">
        <v>191</v>
      </c>
      <c r="H53" s="10" t="n">
        <f aca="false">IF(IF(COUNTIFS('Tier machines'!$G$108:$G$108,"haul",'Tier machines'!$L$108:$L$108,"&gt;0")=0,9E+099,SUMIFS('Tier machines'!$L$108:$L$108,'Tier machines'!$G$108:$G$108,"haul"))&gt;=9E+099,"",IF(COUNTIFS('Tier machines'!$G$108:$G$108,"haul",'Tier machines'!$L$108:$L$108,"&gt;0")=0,9E+099,SUMIFS('Tier machines'!$L$108:$L$108,'Tier machines'!$G$108:$G$108,"haul")))</f>
        <v>3080</v>
      </c>
      <c r="I53" s="6" t="str">
        <f aca="false">IF(H53="","No catalog figure",IF(H53&gt;=C53,"OK",IF(H53&gt;=C53,"Covers lower part only","Below tier")))</f>
        <v>OK</v>
      </c>
      <c r="J53" s="11" t="s">
        <v>189</v>
      </c>
    </row>
    <row r="54" customFormat="false" ht="15" hidden="false" customHeight="true" outlineLevel="0" collapsed="false">
      <c r="A54" s="6" t="s">
        <v>67</v>
      </c>
      <c r="B54" s="6" t="n">
        <v>1</v>
      </c>
      <c r="C54" s="9" t="n">
        <v>200</v>
      </c>
      <c r="D54" s="9" t="n">
        <v>280</v>
      </c>
      <c r="E54" s="6" t="s">
        <v>60</v>
      </c>
      <c r="F54" s="6" t="s">
        <v>190</v>
      </c>
      <c r="G54" s="6" t="s">
        <v>202</v>
      </c>
      <c r="H54" s="10" t="n">
        <f aca="false">IF(IF(COUNTIFS('Tier machines'!$G$109:$G$109,"haul",'Tier machines'!$L$109:$L$109,"&gt;0")=0,9E+099,SUMIFS('Tier machines'!$L$109:$L$109,'Tier machines'!$G$109:$G$109,"haul"))&gt;=9E+099,"",IF(COUNTIFS('Tier machines'!$G$109:$G$109,"haul",'Tier machines'!$L$109:$L$109,"&gt;0")=0,9E+099,SUMIFS('Tier machines'!$L$109:$L$109,'Tier machines'!$G$109:$G$109,"haul")))</f>
        <v>280</v>
      </c>
      <c r="I54" s="6" t="str">
        <f aca="false">IF(H54="","No catalog figure",IF(H54&gt;=D54,"OK",IF(H54&gt;=C54,"Covers lower part only","Below tier")))</f>
        <v>OK</v>
      </c>
      <c r="J54" s="11" t="s">
        <v>168</v>
      </c>
    </row>
    <row r="55" customFormat="false" ht="15" hidden="false" customHeight="true" outlineLevel="0" collapsed="false">
      <c r="A55" s="6" t="s">
        <v>67</v>
      </c>
      <c r="B55" s="6" t="n">
        <v>2</v>
      </c>
      <c r="C55" s="9" t="n">
        <v>281</v>
      </c>
      <c r="D55" s="9" t="n">
        <v>420</v>
      </c>
      <c r="E55" s="6" t="s">
        <v>60</v>
      </c>
      <c r="F55" s="6" t="s">
        <v>192</v>
      </c>
      <c r="G55" s="6" t="s">
        <v>202</v>
      </c>
      <c r="H55" s="10" t="n">
        <f aca="false">IF(IF(COUNTIFS('Tier machines'!$G$110:$G$110,"haul",'Tier machines'!$L$110:$L$110,"&gt;0")=0,9E+099,SUMIFS('Tier machines'!$L$110:$L$110,'Tier machines'!$G$110:$G$110,"haul"))&gt;=9E+099,"",IF(COUNTIFS('Tier machines'!$G$110:$G$110,"haul",'Tier machines'!$L$110:$L$110,"&gt;0")=0,9E+099,SUMIFS('Tier machines'!$L$110:$L$110,'Tier machines'!$G$110:$G$110,"haul")))</f>
        <v>420</v>
      </c>
      <c r="I55" s="6" t="str">
        <f aca="false">IF(H55="","No catalog figure",IF(H55&gt;=D55,"OK",IF(H55&gt;=C55,"Covers lower part only","Below tier")))</f>
        <v>OK</v>
      </c>
      <c r="J55" s="11" t="s">
        <v>170</v>
      </c>
    </row>
    <row r="56" customFormat="false" ht="15" hidden="false" customHeight="true" outlineLevel="0" collapsed="false">
      <c r="A56" s="6" t="s">
        <v>67</v>
      </c>
      <c r="B56" s="6" t="n">
        <v>3</v>
      </c>
      <c r="C56" s="9" t="n">
        <v>421</v>
      </c>
      <c r="D56" s="9" t="n">
        <v>560</v>
      </c>
      <c r="E56" s="6" t="s">
        <v>60</v>
      </c>
      <c r="F56" s="6" t="s">
        <v>193</v>
      </c>
      <c r="G56" s="6" t="s">
        <v>202</v>
      </c>
      <c r="H56" s="10" t="n">
        <f aca="false">IF(IF(COUNTIFS('Tier machines'!$G$111:$G$111,"haul",'Tier machines'!$L$111:$L$111,"&gt;0")=0,9E+099,SUMIFS('Tier machines'!$L$111:$L$111,'Tier machines'!$G$111:$G$111,"haul"))&gt;=9E+099,"",IF(COUNTIFS('Tier machines'!$G$111:$G$111,"haul",'Tier machines'!$L$111:$L$111,"&gt;0")=0,9E+099,SUMIFS('Tier machines'!$L$111:$L$111,'Tier machines'!$G$111:$G$111,"haul")))</f>
        <v>560</v>
      </c>
      <c r="I56" s="6" t="str">
        <f aca="false">IF(H56="","No catalog figure",IF(H56&gt;=D56,"OK",IF(H56&gt;=C56,"Covers lower part only","Below tier")))</f>
        <v>OK</v>
      </c>
      <c r="J56" s="11" t="s">
        <v>172</v>
      </c>
    </row>
    <row r="57" customFormat="false" ht="15" hidden="false" customHeight="true" outlineLevel="0" collapsed="false">
      <c r="A57" s="6" t="s">
        <v>67</v>
      </c>
      <c r="B57" s="6" t="n">
        <v>4</v>
      </c>
      <c r="C57" s="9" t="n">
        <v>561</v>
      </c>
      <c r="D57" s="9" t="n">
        <v>700</v>
      </c>
      <c r="E57" s="6" t="s">
        <v>60</v>
      </c>
      <c r="F57" s="6" t="s">
        <v>194</v>
      </c>
      <c r="G57" s="6" t="s">
        <v>202</v>
      </c>
      <c r="H57" s="10" t="n">
        <f aca="false">IF(IF(COUNTIFS('Tier machines'!$G$112:$G$112,"haul",'Tier machines'!$L$112:$L$112,"&gt;0")=0,9E+099,SUMIFS('Tier machines'!$L$112:$L$112,'Tier machines'!$G$112:$G$112,"haul"))&gt;=9E+099,"",IF(COUNTIFS('Tier machines'!$G$112:$G$112,"haul",'Tier machines'!$L$112:$L$112,"&gt;0")=0,9E+099,SUMIFS('Tier machines'!$L$112:$L$112,'Tier machines'!$G$112:$G$112,"haul")))</f>
        <v>700</v>
      </c>
      <c r="I57" s="6" t="str">
        <f aca="false">IF(H57="","No catalog figure",IF(H57&gt;=D57,"OK",IF(H57&gt;=C57,"Covers lower part only","Below tier")))</f>
        <v>OK</v>
      </c>
      <c r="J57" s="11" t="s">
        <v>174</v>
      </c>
    </row>
    <row r="58" customFormat="false" ht="15" hidden="false" customHeight="true" outlineLevel="0" collapsed="false">
      <c r="A58" s="6" t="s">
        <v>67</v>
      </c>
      <c r="B58" s="6" t="n">
        <v>5</v>
      </c>
      <c r="C58" s="9" t="n">
        <v>701</v>
      </c>
      <c r="D58" s="9" t="n">
        <v>840</v>
      </c>
      <c r="E58" s="6" t="s">
        <v>60</v>
      </c>
      <c r="F58" s="6" t="s">
        <v>195</v>
      </c>
      <c r="G58" s="6" t="s">
        <v>202</v>
      </c>
      <c r="H58" s="10" t="n">
        <f aca="false">IF(IF(COUNTIFS('Tier machines'!$G$113:$G$113,"haul",'Tier machines'!$L$113:$L$113,"&gt;0")=0,9E+099,SUMIFS('Tier machines'!$L$113:$L$113,'Tier machines'!$G$113:$G$113,"haul"))&gt;=9E+099,"",IF(COUNTIFS('Tier machines'!$G$113:$G$113,"haul",'Tier machines'!$L$113:$L$113,"&gt;0")=0,9E+099,SUMIFS('Tier machines'!$L$113:$L$113,'Tier machines'!$G$113:$G$113,"haul")))</f>
        <v>840</v>
      </c>
      <c r="I58" s="6" t="str">
        <f aca="false">IF(H58="","No catalog figure",IF(H58&gt;=D58,"OK",IF(H58&gt;=C58,"Covers lower part only","Below tier")))</f>
        <v>OK</v>
      </c>
      <c r="J58" s="11" t="s">
        <v>176</v>
      </c>
    </row>
    <row r="59" customFormat="false" ht="15" hidden="false" customHeight="true" outlineLevel="0" collapsed="false">
      <c r="A59" s="6" t="s">
        <v>67</v>
      </c>
      <c r="B59" s="6" t="n">
        <v>6</v>
      </c>
      <c r="C59" s="9" t="n">
        <v>841</v>
      </c>
      <c r="D59" s="9" t="n">
        <v>1120</v>
      </c>
      <c r="E59" s="6" t="s">
        <v>60</v>
      </c>
      <c r="F59" s="6" t="s">
        <v>196</v>
      </c>
      <c r="G59" s="6" t="s">
        <v>202</v>
      </c>
      <c r="H59" s="10" t="n">
        <f aca="false">IF(IF(COUNTIFS('Tier machines'!$G$114:$G$114,"haul",'Tier machines'!$L$114:$L$114,"&gt;0")=0,9E+099,SUMIFS('Tier machines'!$L$114:$L$114,'Tier machines'!$G$114:$G$114,"haul"))&gt;=9E+099,"",IF(COUNTIFS('Tier machines'!$G$114:$G$114,"haul",'Tier machines'!$L$114:$L$114,"&gt;0")=0,9E+099,SUMIFS('Tier machines'!$L$114:$L$114,'Tier machines'!$G$114:$G$114,"haul")))</f>
        <v>1120</v>
      </c>
      <c r="I59" s="6" t="str">
        <f aca="false">IF(H59="","No catalog figure",IF(H59&gt;=D59,"OK",IF(H59&gt;=C59,"Covers lower part only","Below tier")))</f>
        <v>OK</v>
      </c>
      <c r="J59" s="11" t="s">
        <v>178</v>
      </c>
    </row>
    <row r="60" customFormat="false" ht="15" hidden="false" customHeight="true" outlineLevel="0" collapsed="false">
      <c r="A60" s="6" t="s">
        <v>67</v>
      </c>
      <c r="B60" s="6" t="n">
        <v>7</v>
      </c>
      <c r="C60" s="9" t="n">
        <v>1121</v>
      </c>
      <c r="D60" s="9" t="n">
        <v>1400</v>
      </c>
      <c r="E60" s="6" t="s">
        <v>60</v>
      </c>
      <c r="F60" s="6" t="s">
        <v>197</v>
      </c>
      <c r="G60" s="6" t="s">
        <v>202</v>
      </c>
      <c r="H60" s="10" t="n">
        <f aca="false">IF(IF(COUNTIFS('Tier machines'!$G$115:$G$115,"haul",'Tier machines'!$L$115:$L$115,"&gt;0")=0,9E+099,SUMIFS('Tier machines'!$L$115:$L$115,'Tier machines'!$G$115:$G$115,"haul"))&gt;=9E+099,"",IF(COUNTIFS('Tier machines'!$G$115:$G$115,"haul",'Tier machines'!$L$115:$L$115,"&gt;0")=0,9E+099,SUMIFS('Tier machines'!$L$115:$L$115,'Tier machines'!$G$115:$G$115,"haul")))</f>
        <v>1400</v>
      </c>
      <c r="I60" s="6" t="str">
        <f aca="false">IF(H60="","No catalog figure",IF(H60&gt;=D60,"OK",IF(H60&gt;=C60,"Covers lower part only","Below tier")))</f>
        <v>OK</v>
      </c>
      <c r="J60" s="11" t="s">
        <v>181</v>
      </c>
    </row>
    <row r="61" customFormat="false" ht="15" hidden="false" customHeight="true" outlineLevel="0" collapsed="false">
      <c r="A61" s="6" t="s">
        <v>67</v>
      </c>
      <c r="B61" s="6" t="n">
        <v>8</v>
      </c>
      <c r="C61" s="9" t="n">
        <v>1401</v>
      </c>
      <c r="D61" s="9" t="n">
        <v>1680</v>
      </c>
      <c r="E61" s="6" t="s">
        <v>60</v>
      </c>
      <c r="F61" s="6" t="s">
        <v>198</v>
      </c>
      <c r="G61" s="6" t="s">
        <v>202</v>
      </c>
      <c r="H61" s="10" t="n">
        <f aca="false">IF(IF(COUNTIFS('Tier machines'!$G$116:$G$116,"haul",'Tier machines'!$L$116:$L$116,"&gt;0")=0,9E+099,SUMIFS('Tier machines'!$L$116:$L$116,'Tier machines'!$G$116:$G$116,"haul"))&gt;=9E+099,"",IF(COUNTIFS('Tier machines'!$G$116:$G$116,"haul",'Tier machines'!$L$116:$L$116,"&gt;0")=0,9E+099,SUMIFS('Tier machines'!$L$116:$L$116,'Tier machines'!$G$116:$G$116,"haul")))</f>
        <v>1680</v>
      </c>
      <c r="I61" s="6" t="str">
        <f aca="false">IF(H61="","No catalog figure",IF(H61&gt;=D61,"OK",IF(H61&gt;=C61,"Covers lower part only","Below tier")))</f>
        <v>OK</v>
      </c>
      <c r="J61" s="11" t="s">
        <v>183</v>
      </c>
    </row>
    <row r="62" customFormat="false" ht="15" hidden="false" customHeight="true" outlineLevel="0" collapsed="false">
      <c r="A62" s="6" t="s">
        <v>67</v>
      </c>
      <c r="B62" s="6" t="n">
        <v>9</v>
      </c>
      <c r="C62" s="9" t="n">
        <v>1681</v>
      </c>
      <c r="D62" s="9" t="n">
        <v>2100</v>
      </c>
      <c r="E62" s="6" t="s">
        <v>60</v>
      </c>
      <c r="F62" s="6" t="s">
        <v>199</v>
      </c>
      <c r="G62" s="6" t="s">
        <v>202</v>
      </c>
      <c r="H62" s="10" t="n">
        <f aca="false">IF(IF(COUNTIFS('Tier machines'!$G$117:$G$117,"haul",'Tier machines'!$L$117:$L$117,"&gt;0")=0,9E+099,SUMIFS('Tier machines'!$L$117:$L$117,'Tier machines'!$G$117:$G$117,"haul"))&gt;=9E+099,"",IF(COUNTIFS('Tier machines'!$G$117:$G$117,"haul",'Tier machines'!$L$117:$L$117,"&gt;0")=0,9E+099,SUMIFS('Tier machines'!$L$117:$L$117,'Tier machines'!$G$117:$G$117,"haul")))</f>
        <v>2100</v>
      </c>
      <c r="I62" s="6" t="str">
        <f aca="false">IF(H62="","No catalog figure",IF(H62&gt;=D62,"OK",IF(H62&gt;=C62,"Covers lower part only","Below tier")))</f>
        <v>OK</v>
      </c>
      <c r="J62" s="11" t="s">
        <v>185</v>
      </c>
    </row>
    <row r="63" customFormat="false" ht="15" hidden="false" customHeight="true" outlineLevel="0" collapsed="false">
      <c r="A63" s="6" t="s">
        <v>67</v>
      </c>
      <c r="B63" s="6" t="n">
        <v>10</v>
      </c>
      <c r="C63" s="9" t="n">
        <v>2101</v>
      </c>
      <c r="D63" s="9" t="n">
        <v>2520</v>
      </c>
      <c r="E63" s="6" t="s">
        <v>60</v>
      </c>
      <c r="F63" s="6" t="s">
        <v>200</v>
      </c>
      <c r="G63" s="6" t="s">
        <v>202</v>
      </c>
      <c r="H63" s="10" t="n">
        <f aca="false">IF(IF(COUNTIFS('Tier machines'!$G$118:$G$118,"haul",'Tier machines'!$L$118:$L$118,"&gt;0")=0,9E+099,SUMIFS('Tier machines'!$L$118:$L$118,'Tier machines'!$G$118:$G$118,"haul"))&gt;=9E+099,"",IF(COUNTIFS('Tier machines'!$G$118:$G$118,"haul",'Tier machines'!$L$118:$L$118,"&gt;0")=0,9E+099,SUMIFS('Tier machines'!$L$118:$L$118,'Tier machines'!$G$118:$G$118,"haul")))</f>
        <v>2520</v>
      </c>
      <c r="I63" s="6" t="str">
        <f aca="false">IF(H63="","No catalog figure",IF(H63&gt;=D63,"OK",IF(H63&gt;=C63,"Covers lower part only","Below tier")))</f>
        <v>OK</v>
      </c>
      <c r="J63" s="11" t="s">
        <v>187</v>
      </c>
    </row>
    <row r="64" customFormat="false" ht="15" hidden="false" customHeight="true" outlineLevel="0" collapsed="false">
      <c r="A64" s="6" t="s">
        <v>67</v>
      </c>
      <c r="B64" s="6" t="n">
        <v>11</v>
      </c>
      <c r="C64" s="9" t="n">
        <v>2521</v>
      </c>
      <c r="D64" s="9"/>
      <c r="E64" s="6" t="s">
        <v>60</v>
      </c>
      <c r="F64" s="6" t="s">
        <v>201</v>
      </c>
      <c r="G64" s="6" t="s">
        <v>202</v>
      </c>
      <c r="H64" s="10" t="n">
        <f aca="false">IF(IF(COUNTIFS('Tier machines'!$G$119:$G$119,"haul",'Tier machines'!$L$119:$L$119,"&gt;0")=0,9E+099,SUMIFS('Tier machines'!$L$119:$L$119,'Tier machines'!$G$119:$G$119,"haul"))&gt;=9E+099,"",IF(COUNTIFS('Tier machines'!$G$119:$G$119,"haul",'Tier machines'!$L$119:$L$119,"&gt;0")=0,9E+099,SUMIFS('Tier machines'!$L$119:$L$119,'Tier machines'!$G$119:$G$119,"haul")))</f>
        <v>3080</v>
      </c>
      <c r="I64" s="6" t="str">
        <f aca="false">IF(H64="","No catalog figure",IF(H64&gt;=C64,"OK",IF(H64&gt;=C64,"Covers lower part only","Below tier")))</f>
        <v>OK</v>
      </c>
      <c r="J64" s="11" t="s">
        <v>189</v>
      </c>
    </row>
    <row r="65" customFormat="false" ht="23.25" hidden="false" customHeight="true" outlineLevel="0" collapsed="false">
      <c r="A65" s="6" t="s">
        <v>71</v>
      </c>
      <c r="B65" s="6" t="n">
        <v>1</v>
      </c>
      <c r="C65" s="9" t="n">
        <v>30</v>
      </c>
      <c r="D65" s="9" t="n">
        <v>79</v>
      </c>
      <c r="E65" s="6" t="s">
        <v>38</v>
      </c>
      <c r="F65" s="6" t="s">
        <v>203</v>
      </c>
      <c r="G65" s="6" t="s">
        <v>204</v>
      </c>
      <c r="H65" s="13"/>
      <c r="I65" s="13" t="s">
        <v>141</v>
      </c>
      <c r="J65" s="12" t="s">
        <v>205</v>
      </c>
    </row>
    <row r="66" customFormat="false" ht="34.5" hidden="false" customHeight="true" outlineLevel="0" collapsed="false">
      <c r="A66" s="6" t="s">
        <v>71</v>
      </c>
      <c r="B66" s="6" t="n">
        <v>2</v>
      </c>
      <c r="C66" s="9" t="n">
        <v>80</v>
      </c>
      <c r="D66" s="9" t="n">
        <v>149</v>
      </c>
      <c r="E66" s="6" t="s">
        <v>38</v>
      </c>
      <c r="F66" s="6" t="s">
        <v>206</v>
      </c>
      <c r="G66" s="6" t="s">
        <v>136</v>
      </c>
      <c r="H66" s="13"/>
      <c r="I66" s="13" t="s">
        <v>141</v>
      </c>
      <c r="J66" s="11" t="s">
        <v>103</v>
      </c>
    </row>
    <row r="67" customFormat="false" ht="34.5" hidden="false" customHeight="true" outlineLevel="0" collapsed="false">
      <c r="A67" s="6" t="s">
        <v>71</v>
      </c>
      <c r="B67" s="6" t="n">
        <v>3</v>
      </c>
      <c r="C67" s="9" t="n">
        <v>150</v>
      </c>
      <c r="D67" s="9" t="n">
        <v>299</v>
      </c>
      <c r="E67" s="6" t="s">
        <v>38</v>
      </c>
      <c r="F67" s="6" t="s">
        <v>207</v>
      </c>
      <c r="G67" s="6" t="s">
        <v>208</v>
      </c>
      <c r="H67" s="13"/>
      <c r="I67" s="13" t="s">
        <v>141</v>
      </c>
      <c r="J67" s="11" t="s">
        <v>103</v>
      </c>
    </row>
    <row r="68" customFormat="false" ht="34.5" hidden="false" customHeight="true" outlineLevel="0" collapsed="false">
      <c r="A68" s="6" t="s">
        <v>71</v>
      </c>
      <c r="B68" s="6" t="n">
        <v>4</v>
      </c>
      <c r="C68" s="9" t="n">
        <v>300</v>
      </c>
      <c r="D68" s="9"/>
      <c r="E68" s="6" t="s">
        <v>38</v>
      </c>
      <c r="F68" s="6" t="s">
        <v>209</v>
      </c>
      <c r="G68" s="6" t="s">
        <v>210</v>
      </c>
      <c r="H68" s="13"/>
      <c r="I68" s="13" t="s">
        <v>141</v>
      </c>
      <c r="J68" s="11" t="s">
        <v>103</v>
      </c>
    </row>
    <row r="69" customFormat="false" ht="23.25" hidden="false" customHeight="true" outlineLevel="0" collapsed="false">
      <c r="A69" s="6" t="s">
        <v>75</v>
      </c>
      <c r="B69" s="6" t="n">
        <v>1</v>
      </c>
      <c r="C69" s="9" t="n">
        <v>200</v>
      </c>
      <c r="D69" s="9" t="n">
        <v>599</v>
      </c>
      <c r="E69" s="6" t="s">
        <v>38</v>
      </c>
      <c r="F69" s="6" t="s">
        <v>211</v>
      </c>
      <c r="G69" s="6" t="s">
        <v>212</v>
      </c>
      <c r="H69" s="10" t="n">
        <f aca="false">IF(IF(COUNTIFS('Tier machines'!$G$131:$G$131,"main",'Tier machines'!$L$131:$L$131,"&gt;0")=0,9E+099,SUMIFS('Tier machines'!$L$131:$L$131,'Tier machines'!$G$131:$G$131,"main"))&gt;=9E+099,"",IF(COUNTIFS('Tier machines'!$G$131:$G$131,"main",'Tier machines'!$L$131:$L$131,"&gt;0")=0,9E+099,SUMIFS('Tier machines'!$L$131:$L$131,'Tier machines'!$G$131:$G$131,"main")))</f>
        <v>3000</v>
      </c>
      <c r="I69" s="6" t="str">
        <f aca="false">IF(H69="","No catalog figure",IF(H69&gt;=D69,"OK",IF(H69&gt;=C69,"Covers lower part only","Below tier")))</f>
        <v>OK</v>
      </c>
      <c r="J69" s="12" t="s">
        <v>213</v>
      </c>
    </row>
    <row r="70" customFormat="false" ht="23.25" hidden="false" customHeight="true" outlineLevel="0" collapsed="false">
      <c r="A70" s="6" t="s">
        <v>75</v>
      </c>
      <c r="B70" s="6" t="n">
        <v>2</v>
      </c>
      <c r="C70" s="9" t="n">
        <v>600</v>
      </c>
      <c r="D70" s="9"/>
      <c r="E70" s="6" t="s">
        <v>38</v>
      </c>
      <c r="F70" s="6" t="s">
        <v>214</v>
      </c>
      <c r="G70" s="6" t="s">
        <v>215</v>
      </c>
      <c r="H70" s="10" t="n">
        <f aca="false">IF(IF(COUNTIFS('Tier machines'!$G$132:$G$132,"main",'Tier machines'!$L$132:$L$132,"&gt;0")=0,9E+099,SUMIFS('Tier machines'!$L$132:$L$132,'Tier machines'!$G$132:$G$132,"main"))&gt;=9E+099,"",IF(COUNTIFS('Tier machines'!$G$132:$G$132,"main",'Tier machines'!$L$132:$L$132,"&gt;0")=0,9E+099,SUMIFS('Tier machines'!$L$132:$L$132,'Tier machines'!$G$132:$G$132,"main")))</f>
        <v>6000</v>
      </c>
      <c r="I70" s="6" t="str">
        <f aca="false">IF(H70="","No catalog figure",IF(H70&gt;=C70,"OK",IF(H70&gt;=C70,"Covers lower part only","Below tier")))</f>
        <v>OK</v>
      </c>
      <c r="J70" s="11" t="s">
        <v>103</v>
      </c>
    </row>
    <row r="71" customFormat="false" ht="23.25" hidden="false" customHeight="true" outlineLevel="0" collapsed="false">
      <c r="A71" s="6" t="s">
        <v>79</v>
      </c>
      <c r="B71" s="6" t="n">
        <v>1</v>
      </c>
      <c r="C71" s="9" t="n">
        <v>2000</v>
      </c>
      <c r="D71" s="9" t="n">
        <v>7999</v>
      </c>
      <c r="E71" s="6" t="s">
        <v>81</v>
      </c>
      <c r="F71" s="6" t="s">
        <v>216</v>
      </c>
      <c r="G71" s="6" t="s">
        <v>217</v>
      </c>
      <c r="H71" s="13"/>
      <c r="I71" s="13" t="s">
        <v>141</v>
      </c>
      <c r="J71" s="11" t="s">
        <v>103</v>
      </c>
    </row>
    <row r="72" customFormat="false" ht="23.25" hidden="false" customHeight="true" outlineLevel="0" collapsed="false">
      <c r="A72" s="6" t="s">
        <v>79</v>
      </c>
      <c r="B72" s="6" t="n">
        <v>2</v>
      </c>
      <c r="C72" s="9" t="n">
        <v>8000</v>
      </c>
      <c r="D72" s="9" t="n">
        <v>19999</v>
      </c>
      <c r="E72" s="6" t="s">
        <v>81</v>
      </c>
      <c r="F72" s="6" t="s">
        <v>218</v>
      </c>
      <c r="G72" s="6" t="s">
        <v>219</v>
      </c>
      <c r="H72" s="13"/>
      <c r="I72" s="13" t="s">
        <v>141</v>
      </c>
      <c r="J72" s="11" t="s">
        <v>103</v>
      </c>
    </row>
    <row r="73" customFormat="false" ht="34.5" hidden="false" customHeight="true" outlineLevel="0" collapsed="false">
      <c r="A73" s="6" t="s">
        <v>79</v>
      </c>
      <c r="B73" s="6" t="n">
        <v>3</v>
      </c>
      <c r="C73" s="9" t="n">
        <v>20000</v>
      </c>
      <c r="D73" s="9" t="n">
        <v>44999</v>
      </c>
      <c r="E73" s="6" t="s">
        <v>81</v>
      </c>
      <c r="F73" s="6" t="s">
        <v>220</v>
      </c>
      <c r="G73" s="6" t="s">
        <v>221</v>
      </c>
      <c r="H73" s="13"/>
      <c r="I73" s="13" t="s">
        <v>141</v>
      </c>
      <c r="J73" s="12" t="s">
        <v>222</v>
      </c>
    </row>
    <row r="74" customFormat="false" ht="34.5" hidden="false" customHeight="true" outlineLevel="0" collapsed="false">
      <c r="A74" s="6" t="s">
        <v>79</v>
      </c>
      <c r="B74" s="6" t="n">
        <v>4</v>
      </c>
      <c r="C74" s="9" t="n">
        <v>45000</v>
      </c>
      <c r="D74" s="9"/>
      <c r="E74" s="6" t="s">
        <v>81</v>
      </c>
      <c r="F74" s="6" t="s">
        <v>223</v>
      </c>
      <c r="G74" s="6" t="s">
        <v>224</v>
      </c>
      <c r="H74" s="13"/>
      <c r="I74" s="13" t="s">
        <v>141</v>
      </c>
      <c r="J74" s="11" t="s">
        <v>103</v>
      </c>
    </row>
    <row r="75" customFormat="false" ht="45.75" hidden="false" customHeight="true" outlineLevel="0" collapsed="false">
      <c r="A75" s="6" t="s">
        <v>84</v>
      </c>
      <c r="B75" s="6" t="n">
        <v>1</v>
      </c>
      <c r="C75" s="9" t="n">
        <v>60</v>
      </c>
      <c r="D75" s="9" t="n">
        <v>119</v>
      </c>
      <c r="E75" s="6" t="s">
        <v>86</v>
      </c>
      <c r="F75" s="6" t="s">
        <v>225</v>
      </c>
      <c r="G75" s="6" t="s">
        <v>226</v>
      </c>
      <c r="H75" s="13"/>
      <c r="I75" s="13" t="s">
        <v>141</v>
      </c>
      <c r="J75" s="11" t="s">
        <v>103</v>
      </c>
    </row>
    <row r="76" customFormat="false" ht="45.75" hidden="false" customHeight="true" outlineLevel="0" collapsed="false">
      <c r="A76" s="6" t="s">
        <v>84</v>
      </c>
      <c r="B76" s="6" t="n">
        <v>2</v>
      </c>
      <c r="C76" s="9" t="n">
        <v>120</v>
      </c>
      <c r="D76" s="9" t="n">
        <v>199</v>
      </c>
      <c r="E76" s="6" t="s">
        <v>86</v>
      </c>
      <c r="F76" s="6" t="s">
        <v>227</v>
      </c>
      <c r="G76" s="6" t="s">
        <v>228</v>
      </c>
      <c r="H76" s="13"/>
      <c r="I76" s="13" t="s">
        <v>141</v>
      </c>
      <c r="J76" s="12" t="s">
        <v>229</v>
      </c>
    </row>
    <row r="77" customFormat="false" ht="68.25" hidden="false" customHeight="true" outlineLevel="0" collapsed="false">
      <c r="A77" s="6" t="s">
        <v>84</v>
      </c>
      <c r="B77" s="6" t="n">
        <v>3</v>
      </c>
      <c r="C77" s="9" t="n">
        <v>200</v>
      </c>
      <c r="D77" s="9" t="n">
        <v>349</v>
      </c>
      <c r="E77" s="6" t="s">
        <v>86</v>
      </c>
      <c r="F77" s="6" t="s">
        <v>230</v>
      </c>
      <c r="G77" s="6" t="s">
        <v>231</v>
      </c>
      <c r="H77" s="13"/>
      <c r="I77" s="13" t="s">
        <v>141</v>
      </c>
      <c r="J77" s="12" t="s">
        <v>232</v>
      </c>
    </row>
    <row r="78" customFormat="false" ht="57" hidden="false" customHeight="true" outlineLevel="0" collapsed="false">
      <c r="A78" s="6" t="s">
        <v>84</v>
      </c>
      <c r="B78" s="6" t="n">
        <v>4</v>
      </c>
      <c r="C78" s="9" t="n">
        <v>350</v>
      </c>
      <c r="D78" s="9"/>
      <c r="E78" s="6" t="s">
        <v>86</v>
      </c>
      <c r="F78" s="6" t="s">
        <v>233</v>
      </c>
      <c r="G78" s="6" t="s">
        <v>234</v>
      </c>
      <c r="H78" s="13"/>
      <c r="I78" s="13" t="s">
        <v>141</v>
      </c>
      <c r="J78" s="11" t="s">
        <v>103</v>
      </c>
    </row>
    <row r="79" customFormat="false" ht="15" hidden="false" customHeight="true" outlineLevel="0" collapsed="false">
      <c r="A79" s="6" t="s">
        <v>89</v>
      </c>
      <c r="B79" s="6" t="n">
        <v>1</v>
      </c>
      <c r="C79" s="9" t="n">
        <v>60</v>
      </c>
      <c r="D79" s="9" t="n">
        <v>199</v>
      </c>
      <c r="E79" s="6" t="s">
        <v>86</v>
      </c>
      <c r="F79" s="6" t="s">
        <v>235</v>
      </c>
      <c r="G79" s="6"/>
      <c r="H79" s="13"/>
      <c r="I79" s="13" t="s">
        <v>141</v>
      </c>
      <c r="J79" s="11" t="s">
        <v>103</v>
      </c>
    </row>
    <row r="80" customFormat="false" ht="15" hidden="false" customHeight="true" outlineLevel="0" collapsed="false">
      <c r="A80" s="6" t="s">
        <v>89</v>
      </c>
      <c r="B80" s="6" t="n">
        <v>2</v>
      </c>
      <c r="C80" s="9" t="n">
        <v>200</v>
      </c>
      <c r="D80" s="9"/>
      <c r="E80" s="6" t="s">
        <v>86</v>
      </c>
      <c r="F80" s="6" t="s">
        <v>236</v>
      </c>
      <c r="G80" s="6"/>
      <c r="H80" s="13"/>
      <c r="I80" s="13" t="s">
        <v>141</v>
      </c>
      <c r="J80" s="11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4"/>
    <col collapsed="false" customWidth="true" hidden="false" outlineLevel="0" max="4" min="3" style="1" width="14"/>
    <col collapsed="false" customWidth="true" hidden="false" outlineLevel="0" max="5" min="5" style="1" width="7"/>
    <col collapsed="false" customWidth="true" hidden="false" outlineLevel="0" max="6" min="6" style="1" width="14"/>
    <col collapsed="false" customWidth="true" hidden="false" outlineLevel="0" max="7" min="7" style="1" width="12"/>
  </cols>
  <sheetData>
    <row r="1" customFormat="false" ht="34.5" hidden="false" customHeight="true" outlineLevel="0" collapsed="false">
      <c r="A1" s="5" t="s">
        <v>31</v>
      </c>
      <c r="B1" s="5" t="s">
        <v>237</v>
      </c>
      <c r="C1" s="5" t="s">
        <v>238</v>
      </c>
      <c r="D1" s="5" t="s">
        <v>239</v>
      </c>
      <c r="E1" s="5" t="s">
        <v>32</v>
      </c>
      <c r="F1" s="5" t="s">
        <v>240</v>
      </c>
      <c r="G1" s="5" t="s">
        <v>241</v>
      </c>
    </row>
    <row r="2" customFormat="false" ht="15" hidden="false" customHeight="true" outlineLevel="0" collapsed="false">
      <c r="A2" s="6" t="s">
        <v>36</v>
      </c>
      <c r="B2" s="6" t="s">
        <v>37</v>
      </c>
      <c r="C2" s="9" t="n">
        <v>0</v>
      </c>
      <c r="D2" s="9" t="n">
        <v>999</v>
      </c>
      <c r="E2" s="6" t="s">
        <v>38</v>
      </c>
      <c r="F2" s="9" t="n">
        <v>250</v>
      </c>
      <c r="G2" s="6" t="n">
        <f aca="false">SUMPRODUCT((Tiers!$A$2:$A$200=A2)*(Tiers!$C$2:$C$200&lt;=F2)*((Tiers!$D$2:$D$200="")+(Tiers!$D$2:$D$200&gt;=F2)&gt;0)*Tiers!$B$2:$B$200)</f>
        <v>1</v>
      </c>
    </row>
    <row r="3" customFormat="false" ht="15" hidden="false" customHeight="true" outlineLevel="0" collapsed="false">
      <c r="A3" s="6" t="s">
        <v>36</v>
      </c>
      <c r="B3" s="6" t="s">
        <v>37</v>
      </c>
      <c r="C3" s="9" t="n">
        <v>1000</v>
      </c>
      <c r="D3" s="9" t="n">
        <v>2999</v>
      </c>
      <c r="E3" s="6" t="s">
        <v>38</v>
      </c>
      <c r="F3" s="9" t="n">
        <v>400</v>
      </c>
      <c r="G3" s="6" t="n">
        <f aca="false">SUMPRODUCT((Tiers!$A$2:$A$200=A3)*(Tiers!$C$2:$C$200&lt;=F3)*((Tiers!$D$2:$D$200="")+(Tiers!$D$2:$D$200&gt;=F3)&gt;0)*Tiers!$B$2:$B$200)</f>
        <v>2</v>
      </c>
    </row>
    <row r="4" customFormat="false" ht="15" hidden="false" customHeight="true" outlineLevel="0" collapsed="false">
      <c r="A4" s="6" t="s">
        <v>36</v>
      </c>
      <c r="B4" s="6" t="s">
        <v>37</v>
      </c>
      <c r="C4" s="9" t="n">
        <v>3000</v>
      </c>
      <c r="D4" s="9" t="n">
        <v>7999</v>
      </c>
      <c r="E4" s="6" t="s">
        <v>38</v>
      </c>
      <c r="F4" s="9" t="n">
        <v>700</v>
      </c>
      <c r="G4" s="6" t="n">
        <f aca="false">SUMPRODUCT((Tiers!$A$2:$A$200=A4)*(Tiers!$C$2:$C$200&lt;=F4)*((Tiers!$D$2:$D$200="")+(Tiers!$D$2:$D$200&gt;=F4)&gt;0)*Tiers!$B$2:$B$200)</f>
        <v>3</v>
      </c>
    </row>
    <row r="5" customFormat="false" ht="15" hidden="false" customHeight="true" outlineLevel="0" collapsed="false">
      <c r="A5" s="6" t="s">
        <v>36</v>
      </c>
      <c r="B5" s="6" t="s">
        <v>37</v>
      </c>
      <c r="C5" s="9" t="n">
        <v>8000</v>
      </c>
      <c r="D5" s="9" t="n">
        <v>19999</v>
      </c>
      <c r="E5" s="6" t="s">
        <v>38</v>
      </c>
      <c r="F5" s="9" t="n">
        <v>1000</v>
      </c>
      <c r="G5" s="6" t="n">
        <f aca="false">SUMPRODUCT((Tiers!$A$2:$A$200=A5)*(Tiers!$C$2:$C$200&lt;=F5)*((Tiers!$D$2:$D$200="")+(Tiers!$D$2:$D$200&gt;=F5)&gt;0)*Tiers!$B$2:$B$200)</f>
        <v>4</v>
      </c>
    </row>
    <row r="6" customFormat="false" ht="15" hidden="false" customHeight="true" outlineLevel="0" collapsed="false">
      <c r="A6" s="6" t="s">
        <v>36</v>
      </c>
      <c r="B6" s="6" t="s">
        <v>37</v>
      </c>
      <c r="C6" s="9" t="n">
        <v>20000</v>
      </c>
      <c r="D6" s="9" t="n">
        <v>41999</v>
      </c>
      <c r="E6" s="6" t="s">
        <v>38</v>
      </c>
      <c r="F6" s="9" t="n">
        <v>1500</v>
      </c>
      <c r="G6" s="6" t="n">
        <f aca="false">SUMPRODUCT((Tiers!$A$2:$A$200=A6)*(Tiers!$C$2:$C$200&lt;=F6)*((Tiers!$D$2:$D$200="")+(Tiers!$D$2:$D$200&gt;=F6)&gt;0)*Tiers!$B$2:$B$200)</f>
        <v>5</v>
      </c>
    </row>
    <row r="7" customFormat="false" ht="15" hidden="false" customHeight="true" outlineLevel="0" collapsed="false">
      <c r="A7" s="6" t="s">
        <v>36</v>
      </c>
      <c r="B7" s="6" t="s">
        <v>37</v>
      </c>
      <c r="C7" s="9" t="n">
        <v>42000</v>
      </c>
      <c r="D7" s="9" t="n">
        <v>83999</v>
      </c>
      <c r="E7" s="6" t="s">
        <v>38</v>
      </c>
      <c r="F7" s="9" t="n">
        <v>2500</v>
      </c>
      <c r="G7" s="6" t="n">
        <f aca="false">SUMPRODUCT((Tiers!$A$2:$A$200=A7)*(Tiers!$C$2:$C$200&lt;=F7)*((Tiers!$D$2:$D$200="")+(Tiers!$D$2:$D$200&gt;=F7)&gt;0)*Tiers!$B$2:$B$200)</f>
        <v>6</v>
      </c>
    </row>
    <row r="8" customFormat="false" ht="15" hidden="false" customHeight="true" outlineLevel="0" collapsed="false">
      <c r="A8" s="6" t="s">
        <v>36</v>
      </c>
      <c r="B8" s="6" t="s">
        <v>37</v>
      </c>
      <c r="C8" s="9" t="n">
        <v>84000</v>
      </c>
      <c r="D8" s="9" t="n">
        <v>125999</v>
      </c>
      <c r="E8" s="6" t="s">
        <v>38</v>
      </c>
      <c r="F8" s="9" t="n">
        <v>5000</v>
      </c>
      <c r="G8" s="6" t="n">
        <f aca="false">SUMPRODUCT((Tiers!$A$2:$A$200=A8)*(Tiers!$C$2:$C$200&lt;=F8)*((Tiers!$D$2:$D$200="")+(Tiers!$D$2:$D$200&gt;=F8)&gt;0)*Tiers!$B$2:$B$200)</f>
        <v>8</v>
      </c>
    </row>
    <row r="9" customFormat="false" ht="15" hidden="false" customHeight="true" outlineLevel="0" collapsed="false">
      <c r="A9" s="6" t="s">
        <v>36</v>
      </c>
      <c r="B9" s="6" t="s">
        <v>37</v>
      </c>
      <c r="C9" s="9" t="n">
        <v>126000</v>
      </c>
      <c r="D9" s="9"/>
      <c r="E9" s="6" t="s">
        <v>38</v>
      </c>
      <c r="F9" s="9" t="n">
        <v>8000</v>
      </c>
      <c r="G9" s="6" t="n">
        <f aca="false">SUMPRODUCT((Tiers!$A$2:$A$200=A9)*(Tiers!$C$2:$C$200&lt;=F9)*((Tiers!$D$2:$D$200="")+(Tiers!$D$2:$D$200&gt;=F9)&gt;0)*Tiers!$B$2:$B$200)</f>
        <v>9</v>
      </c>
    </row>
    <row r="10" customFormat="false" ht="15" hidden="false" customHeight="true" outlineLevel="0" collapsed="false">
      <c r="A10" s="6" t="s">
        <v>41</v>
      </c>
      <c r="B10" s="6" t="s">
        <v>42</v>
      </c>
      <c r="C10" s="9" t="n">
        <v>0</v>
      </c>
      <c r="D10" s="9" t="n">
        <v>999</v>
      </c>
      <c r="E10" s="6" t="s">
        <v>38</v>
      </c>
      <c r="F10" s="9" t="n">
        <v>250</v>
      </c>
      <c r="G10" s="6" t="n">
        <f aca="false">SUMPRODUCT((Tiers!$A$2:$A$200=A10)*(Tiers!$C$2:$C$200&lt;=F10)*((Tiers!$D$2:$D$200="")+(Tiers!$D$2:$D$200&gt;=F10)&gt;0)*Tiers!$B$2:$B$200)</f>
        <v>1</v>
      </c>
    </row>
    <row r="11" customFormat="false" ht="15" hidden="false" customHeight="true" outlineLevel="0" collapsed="false">
      <c r="A11" s="6" t="s">
        <v>41</v>
      </c>
      <c r="B11" s="6" t="s">
        <v>42</v>
      </c>
      <c r="C11" s="9" t="n">
        <v>1000</v>
      </c>
      <c r="D11" s="9" t="n">
        <v>2999</v>
      </c>
      <c r="E11" s="6" t="s">
        <v>38</v>
      </c>
      <c r="F11" s="9" t="n">
        <v>400</v>
      </c>
      <c r="G11" s="6" t="n">
        <f aca="false">SUMPRODUCT((Tiers!$A$2:$A$200=A11)*(Tiers!$C$2:$C$200&lt;=F11)*((Tiers!$D$2:$D$200="")+(Tiers!$D$2:$D$200&gt;=F11)&gt;0)*Tiers!$B$2:$B$200)</f>
        <v>1</v>
      </c>
    </row>
    <row r="12" customFormat="false" ht="15" hidden="false" customHeight="true" outlineLevel="0" collapsed="false">
      <c r="A12" s="6" t="s">
        <v>41</v>
      </c>
      <c r="B12" s="6" t="s">
        <v>42</v>
      </c>
      <c r="C12" s="9" t="n">
        <v>3000</v>
      </c>
      <c r="D12" s="9" t="n">
        <v>7999</v>
      </c>
      <c r="E12" s="6" t="s">
        <v>38</v>
      </c>
      <c r="F12" s="9" t="n">
        <v>700</v>
      </c>
      <c r="G12" s="6" t="n">
        <f aca="false">SUMPRODUCT((Tiers!$A$2:$A$200=A12)*(Tiers!$C$2:$C$200&lt;=F12)*((Tiers!$D$2:$D$200="")+(Tiers!$D$2:$D$200&gt;=F12)&gt;0)*Tiers!$B$2:$B$200)</f>
        <v>2</v>
      </c>
    </row>
    <row r="13" customFormat="false" ht="15" hidden="false" customHeight="true" outlineLevel="0" collapsed="false">
      <c r="A13" s="6" t="s">
        <v>41</v>
      </c>
      <c r="B13" s="6" t="s">
        <v>42</v>
      </c>
      <c r="C13" s="9" t="n">
        <v>8000</v>
      </c>
      <c r="D13" s="9" t="n">
        <v>19999</v>
      </c>
      <c r="E13" s="6" t="s">
        <v>38</v>
      </c>
      <c r="F13" s="9" t="n">
        <v>1000</v>
      </c>
      <c r="G13" s="6" t="n">
        <f aca="false">SUMPRODUCT((Tiers!$A$2:$A$200=A13)*(Tiers!$C$2:$C$200&lt;=F13)*((Tiers!$D$2:$D$200="")+(Tiers!$D$2:$D$200&gt;=F13)&gt;0)*Tiers!$B$2:$B$200)</f>
        <v>2</v>
      </c>
    </row>
    <row r="14" customFormat="false" ht="15" hidden="false" customHeight="true" outlineLevel="0" collapsed="false">
      <c r="A14" s="6" t="s">
        <v>41</v>
      </c>
      <c r="B14" s="6" t="s">
        <v>42</v>
      </c>
      <c r="C14" s="9" t="n">
        <v>20000</v>
      </c>
      <c r="D14" s="9" t="n">
        <v>41999</v>
      </c>
      <c r="E14" s="6" t="s">
        <v>38</v>
      </c>
      <c r="F14" s="9" t="n">
        <v>1500</v>
      </c>
      <c r="G14" s="6" t="n">
        <f aca="false">SUMPRODUCT((Tiers!$A$2:$A$200=A14)*(Tiers!$C$2:$C$200&lt;=F14)*((Tiers!$D$2:$D$200="")+(Tiers!$D$2:$D$200&gt;=F14)&gt;0)*Tiers!$B$2:$B$200)</f>
        <v>3</v>
      </c>
    </row>
    <row r="15" customFormat="false" ht="15" hidden="false" customHeight="true" outlineLevel="0" collapsed="false">
      <c r="A15" s="6" t="s">
        <v>41</v>
      </c>
      <c r="B15" s="6" t="s">
        <v>42</v>
      </c>
      <c r="C15" s="9" t="n">
        <v>42000</v>
      </c>
      <c r="D15" s="9" t="n">
        <v>83999</v>
      </c>
      <c r="E15" s="6" t="s">
        <v>38</v>
      </c>
      <c r="F15" s="9" t="n">
        <v>2500</v>
      </c>
      <c r="G15" s="6" t="n">
        <f aca="false">SUMPRODUCT((Tiers!$A$2:$A$200=A15)*(Tiers!$C$2:$C$200&lt;=F15)*((Tiers!$D$2:$D$200="")+(Tiers!$D$2:$D$200&gt;=F15)&gt;0)*Tiers!$B$2:$B$200)</f>
        <v>3</v>
      </c>
    </row>
    <row r="16" customFormat="false" ht="15" hidden="false" customHeight="true" outlineLevel="0" collapsed="false">
      <c r="A16" s="6" t="s">
        <v>41</v>
      </c>
      <c r="B16" s="6" t="s">
        <v>42</v>
      </c>
      <c r="C16" s="9" t="n">
        <v>84000</v>
      </c>
      <c r="D16" s="9"/>
      <c r="E16" s="6" t="s">
        <v>38</v>
      </c>
      <c r="F16" s="9" t="n">
        <v>4000</v>
      </c>
      <c r="G16" s="6" t="n">
        <f aca="false">SUMPRODUCT((Tiers!$A$2:$A$200=A16)*(Tiers!$C$2:$C$200&lt;=F16)*((Tiers!$D$2:$D$200="")+(Tiers!$D$2:$D$200&gt;=F16)&gt;0)*Tiers!$B$2:$B$200)</f>
        <v>4</v>
      </c>
    </row>
    <row r="17" customFormat="false" ht="15" hidden="false" customHeight="true" outlineLevel="0" collapsed="false">
      <c r="A17" s="6" t="s">
        <v>45</v>
      </c>
      <c r="B17" s="6" t="s">
        <v>46</v>
      </c>
      <c r="C17" s="9" t="n">
        <v>0</v>
      </c>
      <c r="D17" s="9" t="n">
        <v>899</v>
      </c>
      <c r="E17" s="6" t="s">
        <v>47</v>
      </c>
      <c r="F17" s="9" t="n">
        <v>225</v>
      </c>
      <c r="G17" s="6" t="n">
        <f aca="false">SUMPRODUCT((Tiers!$A$2:$A$200=A17)*(Tiers!$C$2:$C$200&lt;=F17)*((Tiers!$D$2:$D$200="")+(Tiers!$D$2:$D$200&gt;=F17)&gt;0)*Tiers!$B$2:$B$200)</f>
        <v>1</v>
      </c>
    </row>
    <row r="18" customFormat="false" ht="15" hidden="false" customHeight="true" outlineLevel="0" collapsed="false">
      <c r="A18" s="6" t="s">
        <v>45</v>
      </c>
      <c r="B18" s="6" t="s">
        <v>46</v>
      </c>
      <c r="C18" s="9" t="n">
        <v>900</v>
      </c>
      <c r="D18" s="9" t="n">
        <v>2699</v>
      </c>
      <c r="E18" s="6" t="s">
        <v>47</v>
      </c>
      <c r="F18" s="9" t="n">
        <v>360</v>
      </c>
      <c r="G18" s="6" t="n">
        <f aca="false">SUMPRODUCT((Tiers!$A$2:$A$200=A18)*(Tiers!$C$2:$C$200&lt;=F18)*((Tiers!$D$2:$D$200="")+(Tiers!$D$2:$D$200&gt;=F18)&gt;0)*Tiers!$B$2:$B$200)</f>
        <v>2</v>
      </c>
    </row>
    <row r="19" customFormat="false" ht="15" hidden="false" customHeight="true" outlineLevel="0" collapsed="false">
      <c r="A19" s="6" t="s">
        <v>45</v>
      </c>
      <c r="B19" s="6" t="s">
        <v>46</v>
      </c>
      <c r="C19" s="9" t="n">
        <v>2700</v>
      </c>
      <c r="D19" s="9" t="n">
        <v>7199</v>
      </c>
      <c r="E19" s="6" t="s">
        <v>47</v>
      </c>
      <c r="F19" s="9" t="n">
        <v>630</v>
      </c>
      <c r="G19" s="6" t="n">
        <f aca="false">SUMPRODUCT((Tiers!$A$2:$A$200=A19)*(Tiers!$C$2:$C$200&lt;=F19)*((Tiers!$D$2:$D$200="")+(Tiers!$D$2:$D$200&gt;=F19)&gt;0)*Tiers!$B$2:$B$200)</f>
        <v>3</v>
      </c>
    </row>
    <row r="20" customFormat="false" ht="15" hidden="false" customHeight="true" outlineLevel="0" collapsed="false">
      <c r="A20" s="6" t="s">
        <v>45</v>
      </c>
      <c r="B20" s="6" t="s">
        <v>46</v>
      </c>
      <c r="C20" s="9" t="n">
        <v>7200</v>
      </c>
      <c r="D20" s="9" t="n">
        <v>17999</v>
      </c>
      <c r="E20" s="6" t="s">
        <v>47</v>
      </c>
      <c r="F20" s="9" t="n">
        <v>900</v>
      </c>
      <c r="G20" s="6" t="n">
        <f aca="false">SUMPRODUCT((Tiers!$A$2:$A$200=A20)*(Tiers!$C$2:$C$200&lt;=F20)*((Tiers!$D$2:$D$200="")+(Tiers!$D$2:$D$200&gt;=F20)&gt;0)*Tiers!$B$2:$B$200)</f>
        <v>4</v>
      </c>
    </row>
    <row r="21" customFormat="false" ht="15" hidden="false" customHeight="true" outlineLevel="0" collapsed="false">
      <c r="A21" s="6" t="s">
        <v>45</v>
      </c>
      <c r="B21" s="6" t="s">
        <v>46</v>
      </c>
      <c r="C21" s="9" t="n">
        <v>18000</v>
      </c>
      <c r="D21" s="9" t="n">
        <v>37799</v>
      </c>
      <c r="E21" s="6" t="s">
        <v>47</v>
      </c>
      <c r="F21" s="9" t="n">
        <v>1350</v>
      </c>
      <c r="G21" s="6" t="n">
        <f aca="false">SUMPRODUCT((Tiers!$A$2:$A$200=A21)*(Tiers!$C$2:$C$200&lt;=F21)*((Tiers!$D$2:$D$200="")+(Tiers!$D$2:$D$200&gt;=F21)&gt;0)*Tiers!$B$2:$B$200)</f>
        <v>5</v>
      </c>
    </row>
    <row r="22" customFormat="false" ht="15" hidden="false" customHeight="true" outlineLevel="0" collapsed="false">
      <c r="A22" s="6" t="s">
        <v>45</v>
      </c>
      <c r="B22" s="6" t="s">
        <v>46</v>
      </c>
      <c r="C22" s="9" t="n">
        <v>37800</v>
      </c>
      <c r="D22" s="9" t="n">
        <v>75599</v>
      </c>
      <c r="E22" s="6" t="s">
        <v>47</v>
      </c>
      <c r="F22" s="9" t="n">
        <v>2250</v>
      </c>
      <c r="G22" s="6" t="n">
        <f aca="false">SUMPRODUCT((Tiers!$A$2:$A$200=A22)*(Tiers!$C$2:$C$200&lt;=F22)*((Tiers!$D$2:$D$200="")+(Tiers!$D$2:$D$200&gt;=F22)&gt;0)*Tiers!$B$2:$B$200)</f>
        <v>6</v>
      </c>
    </row>
    <row r="23" customFormat="false" ht="15" hidden="false" customHeight="true" outlineLevel="0" collapsed="false">
      <c r="A23" s="6" t="s">
        <v>45</v>
      </c>
      <c r="B23" s="6" t="s">
        <v>46</v>
      </c>
      <c r="C23" s="9" t="n">
        <v>75600</v>
      </c>
      <c r="D23" s="9" t="n">
        <v>113399</v>
      </c>
      <c r="E23" s="6" t="s">
        <v>47</v>
      </c>
      <c r="F23" s="9" t="n">
        <v>4500</v>
      </c>
      <c r="G23" s="6" t="n">
        <f aca="false">SUMPRODUCT((Tiers!$A$2:$A$200=A23)*(Tiers!$C$2:$C$200&lt;=F23)*((Tiers!$D$2:$D$200="")+(Tiers!$D$2:$D$200&gt;=F23)&gt;0)*Tiers!$B$2:$B$200)</f>
        <v>7</v>
      </c>
    </row>
    <row r="24" customFormat="false" ht="15" hidden="false" customHeight="true" outlineLevel="0" collapsed="false">
      <c r="A24" s="6" t="s">
        <v>45</v>
      </c>
      <c r="B24" s="6" t="s">
        <v>46</v>
      </c>
      <c r="C24" s="9" t="n">
        <v>113400</v>
      </c>
      <c r="D24" s="9"/>
      <c r="E24" s="6" t="s">
        <v>47</v>
      </c>
      <c r="F24" s="9" t="n">
        <v>7200</v>
      </c>
      <c r="G24" s="6" t="n">
        <f aca="false">SUMPRODUCT((Tiers!$A$2:$A$200=A24)*(Tiers!$C$2:$C$200&lt;=F24)*((Tiers!$D$2:$D$200="")+(Tiers!$D$2:$D$200&gt;=F24)&gt;0)*Tiers!$B$2:$B$200)</f>
        <v>8</v>
      </c>
    </row>
    <row r="25" customFormat="false" ht="15" hidden="false" customHeight="true" outlineLevel="0" collapsed="false">
      <c r="A25" s="6" t="s">
        <v>50</v>
      </c>
      <c r="B25" s="6" t="s">
        <v>51</v>
      </c>
      <c r="C25" s="9" t="n">
        <v>0</v>
      </c>
      <c r="D25" s="9" t="n">
        <v>999</v>
      </c>
      <c r="E25" s="6" t="s">
        <v>38</v>
      </c>
      <c r="F25" s="9" t="n">
        <v>300</v>
      </c>
      <c r="G25" s="6" t="n">
        <f aca="false">SUMPRODUCT((Tiers!$A$2:$A$200=A25)*(Tiers!$C$2:$C$200&lt;=F25)*((Tiers!$D$2:$D$200="")+(Tiers!$D$2:$D$200&gt;=F25)&gt;0)*Tiers!$B$2:$B$200)</f>
        <v>1</v>
      </c>
    </row>
    <row r="26" customFormat="false" ht="15" hidden="false" customHeight="true" outlineLevel="0" collapsed="false">
      <c r="A26" s="6" t="s">
        <v>50</v>
      </c>
      <c r="B26" s="6" t="s">
        <v>51</v>
      </c>
      <c r="C26" s="9" t="n">
        <v>1000</v>
      </c>
      <c r="D26" s="9" t="n">
        <v>4999</v>
      </c>
      <c r="E26" s="6" t="s">
        <v>38</v>
      </c>
      <c r="F26" s="9" t="n">
        <v>700</v>
      </c>
      <c r="G26" s="6" t="n">
        <f aca="false">SUMPRODUCT((Tiers!$A$2:$A$200=A26)*(Tiers!$C$2:$C$200&lt;=F26)*((Tiers!$D$2:$D$200="")+(Tiers!$D$2:$D$200&gt;=F26)&gt;0)*Tiers!$B$2:$B$200)</f>
        <v>2</v>
      </c>
    </row>
    <row r="27" customFormat="false" ht="15" hidden="false" customHeight="true" outlineLevel="0" collapsed="false">
      <c r="A27" s="6" t="s">
        <v>50</v>
      </c>
      <c r="B27" s="6" t="s">
        <v>51</v>
      </c>
      <c r="C27" s="9" t="n">
        <v>5000</v>
      </c>
      <c r="D27" s="9" t="n">
        <v>14999</v>
      </c>
      <c r="E27" s="6" t="s">
        <v>38</v>
      </c>
      <c r="F27" s="9" t="n">
        <v>1500</v>
      </c>
      <c r="G27" s="6" t="n">
        <f aca="false">SUMPRODUCT((Tiers!$A$2:$A$200=A27)*(Tiers!$C$2:$C$200&lt;=F27)*((Tiers!$D$2:$D$200="")+(Tiers!$D$2:$D$200&gt;=F27)&gt;0)*Tiers!$B$2:$B$200)</f>
        <v>3</v>
      </c>
    </row>
    <row r="28" customFormat="false" ht="15" hidden="false" customHeight="true" outlineLevel="0" collapsed="false">
      <c r="A28" s="6" t="s">
        <v>50</v>
      </c>
      <c r="B28" s="6" t="s">
        <v>51</v>
      </c>
      <c r="C28" s="9" t="n">
        <v>15000</v>
      </c>
      <c r="D28" s="9"/>
      <c r="E28" s="6" t="s">
        <v>38</v>
      </c>
      <c r="F28" s="9" t="n">
        <v>2300</v>
      </c>
      <c r="G28" s="6" t="n">
        <f aca="false">SUMPRODUCT((Tiers!$A$2:$A$200=A28)*(Tiers!$C$2:$C$200&lt;=F28)*((Tiers!$D$2:$D$200="")+(Tiers!$D$2:$D$200&gt;=F28)&gt;0)*Tiers!$B$2:$B$200)</f>
        <v>4</v>
      </c>
    </row>
    <row r="29" customFormat="false" ht="15" hidden="false" customHeight="true" outlineLevel="0" collapsed="false">
      <c r="A29" s="6" t="s">
        <v>54</v>
      </c>
      <c r="B29" s="6" t="s">
        <v>55</v>
      </c>
      <c r="C29" s="9" t="n">
        <v>0</v>
      </c>
      <c r="D29" s="9" t="n">
        <v>999</v>
      </c>
      <c r="E29" s="6" t="s">
        <v>38</v>
      </c>
      <c r="F29" s="9" t="n">
        <v>300</v>
      </c>
      <c r="G29" s="6" t="n">
        <f aca="false">SUMPRODUCT((Tiers!$A$2:$A$200=A29)*(Tiers!$C$2:$C$200&lt;=F29)*((Tiers!$D$2:$D$200="")+(Tiers!$D$2:$D$200&gt;=F29)&gt;0)*Tiers!$B$2:$B$200)</f>
        <v>1</v>
      </c>
    </row>
    <row r="30" customFormat="false" ht="15" hidden="false" customHeight="true" outlineLevel="0" collapsed="false">
      <c r="A30" s="6" t="s">
        <v>54</v>
      </c>
      <c r="B30" s="6" t="s">
        <v>55</v>
      </c>
      <c r="C30" s="9" t="n">
        <v>1000</v>
      </c>
      <c r="D30" s="9" t="n">
        <v>4999</v>
      </c>
      <c r="E30" s="6" t="s">
        <v>38</v>
      </c>
      <c r="F30" s="9" t="n">
        <v>600</v>
      </c>
      <c r="G30" s="6" t="n">
        <f aca="false">SUMPRODUCT((Tiers!$A$2:$A$200=A30)*(Tiers!$C$2:$C$200&lt;=F30)*((Tiers!$D$2:$D$200="")+(Tiers!$D$2:$D$200&gt;=F30)&gt;0)*Tiers!$B$2:$B$200)</f>
        <v>2</v>
      </c>
    </row>
    <row r="31" customFormat="false" ht="15" hidden="false" customHeight="true" outlineLevel="0" collapsed="false">
      <c r="A31" s="6" t="s">
        <v>54</v>
      </c>
      <c r="B31" s="6" t="s">
        <v>55</v>
      </c>
      <c r="C31" s="9" t="n">
        <v>5000</v>
      </c>
      <c r="D31" s="9" t="n">
        <v>14999</v>
      </c>
      <c r="E31" s="6" t="s">
        <v>38</v>
      </c>
      <c r="F31" s="9" t="n">
        <v>1200</v>
      </c>
      <c r="G31" s="6" t="n">
        <f aca="false">SUMPRODUCT((Tiers!$A$2:$A$200=A31)*(Tiers!$C$2:$C$200&lt;=F31)*((Tiers!$D$2:$D$200="")+(Tiers!$D$2:$D$200&gt;=F31)&gt;0)*Tiers!$B$2:$B$200)</f>
        <v>3</v>
      </c>
    </row>
    <row r="32" customFormat="false" ht="15" hidden="false" customHeight="true" outlineLevel="0" collapsed="false">
      <c r="A32" s="6" t="s">
        <v>54</v>
      </c>
      <c r="B32" s="6" t="s">
        <v>55</v>
      </c>
      <c r="C32" s="9" t="n">
        <v>15000</v>
      </c>
      <c r="D32" s="9"/>
      <c r="E32" s="6" t="s">
        <v>38</v>
      </c>
      <c r="F32" s="9" t="n">
        <v>2000</v>
      </c>
      <c r="G32" s="6" t="n">
        <f aca="false">SUMPRODUCT((Tiers!$A$2:$A$200=A32)*(Tiers!$C$2:$C$200&lt;=F32)*((Tiers!$D$2:$D$200="")+(Tiers!$D$2:$D$200&gt;=F32)&gt;0)*Tiers!$B$2:$B$200)</f>
        <v>4</v>
      </c>
    </row>
    <row r="33" customFormat="false" ht="15" hidden="false" customHeight="true" outlineLevel="0" collapsed="false">
      <c r="A33" s="6" t="s">
        <v>58</v>
      </c>
      <c r="B33" s="6" t="s">
        <v>59</v>
      </c>
      <c r="C33" s="9" t="n">
        <v>0</v>
      </c>
      <c r="D33" s="9" t="n">
        <v>499</v>
      </c>
      <c r="E33" s="6" t="s">
        <v>60</v>
      </c>
      <c r="F33" s="9" t="n">
        <v>250</v>
      </c>
      <c r="G33" s="6" t="n">
        <f aca="false">SUMPRODUCT((Tiers!$A$2:$A$200=A33)*(Tiers!$C$2:$C$200&lt;=F33)*((Tiers!$D$2:$D$200="")+(Tiers!$D$2:$D$200&gt;=F33)&gt;0)*Tiers!$B$2:$B$200)</f>
        <v>1</v>
      </c>
    </row>
    <row r="34" customFormat="false" ht="15" hidden="false" customHeight="true" outlineLevel="0" collapsed="false">
      <c r="A34" s="6" t="s">
        <v>58</v>
      </c>
      <c r="B34" s="6" t="s">
        <v>59</v>
      </c>
      <c r="C34" s="9" t="n">
        <v>500</v>
      </c>
      <c r="D34" s="9" t="n">
        <v>2999</v>
      </c>
      <c r="E34" s="6" t="s">
        <v>60</v>
      </c>
      <c r="F34" s="9" t="n">
        <v>420</v>
      </c>
      <c r="G34" s="6" t="n">
        <f aca="false">SUMPRODUCT((Tiers!$A$2:$A$200=A34)*(Tiers!$C$2:$C$200&lt;=F34)*((Tiers!$D$2:$D$200="")+(Tiers!$D$2:$D$200&gt;=F34)&gt;0)*Tiers!$B$2:$B$200)</f>
        <v>2</v>
      </c>
    </row>
    <row r="35" customFormat="false" ht="15" hidden="false" customHeight="true" outlineLevel="0" collapsed="false">
      <c r="A35" s="6" t="s">
        <v>58</v>
      </c>
      <c r="B35" s="6" t="s">
        <v>59</v>
      </c>
      <c r="C35" s="9" t="n">
        <v>3000</v>
      </c>
      <c r="D35" s="9" t="n">
        <v>9999</v>
      </c>
      <c r="E35" s="6" t="s">
        <v>60</v>
      </c>
      <c r="F35" s="9" t="n">
        <v>700</v>
      </c>
      <c r="G35" s="6" t="n">
        <f aca="false">SUMPRODUCT((Tiers!$A$2:$A$200=A35)*(Tiers!$C$2:$C$200&lt;=F35)*((Tiers!$D$2:$D$200="")+(Tiers!$D$2:$D$200&gt;=F35)&gt;0)*Tiers!$B$2:$B$200)</f>
        <v>4</v>
      </c>
    </row>
    <row r="36" customFormat="false" ht="15" hidden="false" customHeight="true" outlineLevel="0" collapsed="false">
      <c r="A36" s="6" t="s">
        <v>58</v>
      </c>
      <c r="B36" s="6" t="s">
        <v>59</v>
      </c>
      <c r="C36" s="9" t="n">
        <v>10000</v>
      </c>
      <c r="D36" s="9" t="n">
        <v>29999</v>
      </c>
      <c r="E36" s="6" t="s">
        <v>60</v>
      </c>
      <c r="F36" s="9" t="n">
        <v>1120</v>
      </c>
      <c r="G36" s="6" t="n">
        <f aca="false">SUMPRODUCT((Tiers!$A$2:$A$200=A36)*(Tiers!$C$2:$C$200&lt;=F36)*((Tiers!$D$2:$D$200="")+(Tiers!$D$2:$D$200&gt;=F36)&gt;0)*Tiers!$B$2:$B$200)</f>
        <v>6</v>
      </c>
    </row>
    <row r="37" customFormat="false" ht="15" hidden="false" customHeight="true" outlineLevel="0" collapsed="false">
      <c r="A37" s="6" t="s">
        <v>58</v>
      </c>
      <c r="B37" s="6" t="s">
        <v>59</v>
      </c>
      <c r="C37" s="9" t="n">
        <v>30000</v>
      </c>
      <c r="D37" s="9" t="n">
        <v>59999</v>
      </c>
      <c r="E37" s="6" t="s">
        <v>60</v>
      </c>
      <c r="F37" s="9" t="n">
        <v>1680</v>
      </c>
      <c r="G37" s="6" t="n">
        <f aca="false">SUMPRODUCT((Tiers!$A$2:$A$200=A37)*(Tiers!$C$2:$C$200&lt;=F37)*((Tiers!$D$2:$D$200="")+(Tiers!$D$2:$D$200&gt;=F37)&gt;0)*Tiers!$B$2:$B$200)</f>
        <v>8</v>
      </c>
    </row>
    <row r="38" customFormat="false" ht="15" hidden="false" customHeight="true" outlineLevel="0" collapsed="false">
      <c r="A38" s="6" t="s">
        <v>58</v>
      </c>
      <c r="B38" s="6" t="s">
        <v>59</v>
      </c>
      <c r="C38" s="9" t="n">
        <v>60000</v>
      </c>
      <c r="D38" s="9"/>
      <c r="E38" s="6" t="s">
        <v>60</v>
      </c>
      <c r="F38" s="9" t="n">
        <v>2520</v>
      </c>
      <c r="G38" s="6" t="n">
        <f aca="false">SUMPRODUCT((Tiers!$A$2:$A$200=A38)*(Tiers!$C$2:$C$200&lt;=F38)*((Tiers!$D$2:$D$200="")+(Tiers!$D$2:$D$200&gt;=F38)&gt;0)*Tiers!$B$2:$B$200)</f>
        <v>10</v>
      </c>
    </row>
    <row r="39" customFormat="false" ht="15" hidden="false" customHeight="true" outlineLevel="0" collapsed="false">
      <c r="A39" s="6" t="s">
        <v>63</v>
      </c>
      <c r="B39" s="6" t="s">
        <v>64</v>
      </c>
      <c r="C39" s="9" t="n">
        <v>0</v>
      </c>
      <c r="D39" s="9" t="n">
        <v>499</v>
      </c>
      <c r="E39" s="6" t="s">
        <v>60</v>
      </c>
      <c r="F39" s="9" t="n">
        <v>250</v>
      </c>
      <c r="G39" s="6" t="n">
        <f aca="false">SUMPRODUCT((Tiers!$A$2:$A$200=A39)*(Tiers!$C$2:$C$200&lt;=F39)*((Tiers!$D$2:$D$200="")+(Tiers!$D$2:$D$200&gt;=F39)&gt;0)*Tiers!$B$2:$B$200)</f>
        <v>1</v>
      </c>
    </row>
    <row r="40" customFormat="false" ht="15" hidden="false" customHeight="true" outlineLevel="0" collapsed="false">
      <c r="A40" s="6" t="s">
        <v>63</v>
      </c>
      <c r="B40" s="6" t="s">
        <v>64</v>
      </c>
      <c r="C40" s="9" t="n">
        <v>500</v>
      </c>
      <c r="D40" s="9" t="n">
        <v>2999</v>
      </c>
      <c r="E40" s="6" t="s">
        <v>60</v>
      </c>
      <c r="F40" s="9" t="n">
        <v>420</v>
      </c>
      <c r="G40" s="6" t="n">
        <f aca="false">SUMPRODUCT((Tiers!$A$2:$A$200=A40)*(Tiers!$C$2:$C$200&lt;=F40)*((Tiers!$D$2:$D$200="")+(Tiers!$D$2:$D$200&gt;=F40)&gt;0)*Tiers!$B$2:$B$200)</f>
        <v>2</v>
      </c>
    </row>
    <row r="41" customFormat="false" ht="15" hidden="false" customHeight="true" outlineLevel="0" collapsed="false">
      <c r="A41" s="6" t="s">
        <v>63</v>
      </c>
      <c r="B41" s="6" t="s">
        <v>64</v>
      </c>
      <c r="C41" s="9" t="n">
        <v>3000</v>
      </c>
      <c r="D41" s="9" t="n">
        <v>9999</v>
      </c>
      <c r="E41" s="6" t="s">
        <v>60</v>
      </c>
      <c r="F41" s="9" t="n">
        <v>700</v>
      </c>
      <c r="G41" s="6" t="n">
        <f aca="false">SUMPRODUCT((Tiers!$A$2:$A$200=A41)*(Tiers!$C$2:$C$200&lt;=F41)*((Tiers!$D$2:$D$200="")+(Tiers!$D$2:$D$200&gt;=F41)&gt;0)*Tiers!$B$2:$B$200)</f>
        <v>4</v>
      </c>
    </row>
    <row r="42" customFormat="false" ht="15" hidden="false" customHeight="true" outlineLevel="0" collapsed="false">
      <c r="A42" s="6" t="s">
        <v>63</v>
      </c>
      <c r="B42" s="6" t="s">
        <v>64</v>
      </c>
      <c r="C42" s="9" t="n">
        <v>10000</v>
      </c>
      <c r="D42" s="9" t="n">
        <v>29999</v>
      </c>
      <c r="E42" s="6" t="s">
        <v>60</v>
      </c>
      <c r="F42" s="9" t="n">
        <v>1120</v>
      </c>
      <c r="G42" s="6" t="n">
        <f aca="false">SUMPRODUCT((Tiers!$A$2:$A$200=A42)*(Tiers!$C$2:$C$200&lt;=F42)*((Tiers!$D$2:$D$200="")+(Tiers!$D$2:$D$200&gt;=F42)&gt;0)*Tiers!$B$2:$B$200)</f>
        <v>6</v>
      </c>
    </row>
    <row r="43" customFormat="false" ht="15" hidden="false" customHeight="true" outlineLevel="0" collapsed="false">
      <c r="A43" s="6" t="s">
        <v>63</v>
      </c>
      <c r="B43" s="6" t="s">
        <v>64</v>
      </c>
      <c r="C43" s="9" t="n">
        <v>30000</v>
      </c>
      <c r="D43" s="9" t="n">
        <v>59999</v>
      </c>
      <c r="E43" s="6" t="s">
        <v>60</v>
      </c>
      <c r="F43" s="9" t="n">
        <v>1680</v>
      </c>
      <c r="G43" s="6" t="n">
        <f aca="false">SUMPRODUCT((Tiers!$A$2:$A$200=A43)*(Tiers!$C$2:$C$200&lt;=F43)*((Tiers!$D$2:$D$200="")+(Tiers!$D$2:$D$200&gt;=F43)&gt;0)*Tiers!$B$2:$B$200)</f>
        <v>8</v>
      </c>
    </row>
    <row r="44" customFormat="false" ht="15" hidden="false" customHeight="true" outlineLevel="0" collapsed="false">
      <c r="A44" s="6" t="s">
        <v>63</v>
      </c>
      <c r="B44" s="6" t="s">
        <v>64</v>
      </c>
      <c r="C44" s="9" t="n">
        <v>60000</v>
      </c>
      <c r="D44" s="9"/>
      <c r="E44" s="6" t="s">
        <v>60</v>
      </c>
      <c r="F44" s="9" t="n">
        <v>2520</v>
      </c>
      <c r="G44" s="6" t="n">
        <f aca="false">SUMPRODUCT((Tiers!$A$2:$A$200=A44)*(Tiers!$C$2:$C$200&lt;=F44)*((Tiers!$D$2:$D$200="")+(Tiers!$D$2:$D$200&gt;=F44)&gt;0)*Tiers!$B$2:$B$200)</f>
        <v>10</v>
      </c>
    </row>
    <row r="45" customFormat="false" ht="15" hidden="false" customHeight="true" outlineLevel="0" collapsed="false">
      <c r="A45" s="6" t="s">
        <v>67</v>
      </c>
      <c r="B45" s="6" t="s">
        <v>68</v>
      </c>
      <c r="C45" s="9" t="n">
        <v>0</v>
      </c>
      <c r="D45" s="9" t="n">
        <v>499</v>
      </c>
      <c r="E45" s="6" t="s">
        <v>60</v>
      </c>
      <c r="F45" s="9" t="n">
        <v>250</v>
      </c>
      <c r="G45" s="6" t="n">
        <f aca="false">SUMPRODUCT((Tiers!$A$2:$A$200=A45)*(Tiers!$C$2:$C$200&lt;=F45)*((Tiers!$D$2:$D$200="")+(Tiers!$D$2:$D$200&gt;=F45)&gt;0)*Tiers!$B$2:$B$200)</f>
        <v>1</v>
      </c>
    </row>
    <row r="46" customFormat="false" ht="15" hidden="false" customHeight="true" outlineLevel="0" collapsed="false">
      <c r="A46" s="6" t="s">
        <v>67</v>
      </c>
      <c r="B46" s="6" t="s">
        <v>68</v>
      </c>
      <c r="C46" s="9" t="n">
        <v>500</v>
      </c>
      <c r="D46" s="9" t="n">
        <v>2999</v>
      </c>
      <c r="E46" s="6" t="s">
        <v>60</v>
      </c>
      <c r="F46" s="9" t="n">
        <v>420</v>
      </c>
      <c r="G46" s="6" t="n">
        <f aca="false">SUMPRODUCT((Tiers!$A$2:$A$200=A46)*(Tiers!$C$2:$C$200&lt;=F46)*((Tiers!$D$2:$D$200="")+(Tiers!$D$2:$D$200&gt;=F46)&gt;0)*Tiers!$B$2:$B$200)</f>
        <v>2</v>
      </c>
    </row>
    <row r="47" customFormat="false" ht="15" hidden="false" customHeight="true" outlineLevel="0" collapsed="false">
      <c r="A47" s="6" t="s">
        <v>67</v>
      </c>
      <c r="B47" s="6" t="s">
        <v>68</v>
      </c>
      <c r="C47" s="9" t="n">
        <v>3000</v>
      </c>
      <c r="D47" s="9" t="n">
        <v>9999</v>
      </c>
      <c r="E47" s="6" t="s">
        <v>60</v>
      </c>
      <c r="F47" s="9" t="n">
        <v>700</v>
      </c>
      <c r="G47" s="6" t="n">
        <f aca="false">SUMPRODUCT((Tiers!$A$2:$A$200=A47)*(Tiers!$C$2:$C$200&lt;=F47)*((Tiers!$D$2:$D$200="")+(Tiers!$D$2:$D$200&gt;=F47)&gt;0)*Tiers!$B$2:$B$200)</f>
        <v>4</v>
      </c>
    </row>
    <row r="48" customFormat="false" ht="15" hidden="false" customHeight="true" outlineLevel="0" collapsed="false">
      <c r="A48" s="6" t="s">
        <v>67</v>
      </c>
      <c r="B48" s="6" t="s">
        <v>68</v>
      </c>
      <c r="C48" s="9" t="n">
        <v>10000</v>
      </c>
      <c r="D48" s="9" t="n">
        <v>29999</v>
      </c>
      <c r="E48" s="6" t="s">
        <v>60</v>
      </c>
      <c r="F48" s="9" t="n">
        <v>1120</v>
      </c>
      <c r="G48" s="6" t="n">
        <f aca="false">SUMPRODUCT((Tiers!$A$2:$A$200=A48)*(Tiers!$C$2:$C$200&lt;=F48)*((Tiers!$D$2:$D$200="")+(Tiers!$D$2:$D$200&gt;=F48)&gt;0)*Tiers!$B$2:$B$200)</f>
        <v>6</v>
      </c>
    </row>
    <row r="49" customFormat="false" ht="15" hidden="false" customHeight="true" outlineLevel="0" collapsed="false">
      <c r="A49" s="6" t="s">
        <v>67</v>
      </c>
      <c r="B49" s="6" t="s">
        <v>68</v>
      </c>
      <c r="C49" s="9" t="n">
        <v>30000</v>
      </c>
      <c r="D49" s="9" t="n">
        <v>59999</v>
      </c>
      <c r="E49" s="6" t="s">
        <v>60</v>
      </c>
      <c r="F49" s="9" t="n">
        <v>1680</v>
      </c>
      <c r="G49" s="6" t="n">
        <f aca="false">SUMPRODUCT((Tiers!$A$2:$A$200=A49)*(Tiers!$C$2:$C$200&lt;=F49)*((Tiers!$D$2:$D$200="")+(Tiers!$D$2:$D$200&gt;=F49)&gt;0)*Tiers!$B$2:$B$200)</f>
        <v>8</v>
      </c>
    </row>
    <row r="50" customFormat="false" ht="15" hidden="false" customHeight="true" outlineLevel="0" collapsed="false">
      <c r="A50" s="6" t="s">
        <v>67</v>
      </c>
      <c r="B50" s="6" t="s">
        <v>68</v>
      </c>
      <c r="C50" s="9" t="n">
        <v>60000</v>
      </c>
      <c r="D50" s="9"/>
      <c r="E50" s="6" t="s">
        <v>60</v>
      </c>
      <c r="F50" s="9" t="n">
        <v>2520</v>
      </c>
      <c r="G50" s="6" t="n">
        <f aca="false">SUMPRODUCT((Tiers!$A$2:$A$200=A50)*(Tiers!$C$2:$C$200&lt;=F50)*((Tiers!$D$2:$D$200="")+(Tiers!$D$2:$D$200&gt;=F50)&gt;0)*Tiers!$B$2:$B$200)</f>
        <v>10</v>
      </c>
    </row>
    <row r="51" customFormat="false" ht="15" hidden="false" customHeight="true" outlineLevel="0" collapsed="false">
      <c r="A51" s="6" t="s">
        <v>71</v>
      </c>
      <c r="B51" s="6" t="s">
        <v>72</v>
      </c>
      <c r="C51" s="9" t="n">
        <v>0</v>
      </c>
      <c r="D51" s="9" t="n">
        <v>199</v>
      </c>
      <c r="E51" s="6" t="s">
        <v>38</v>
      </c>
      <c r="F51" s="9" t="n">
        <v>50</v>
      </c>
      <c r="G51" s="6" t="n">
        <f aca="false">SUMPRODUCT((Tiers!$A$2:$A$200=A51)*(Tiers!$C$2:$C$200&lt;=F51)*((Tiers!$D$2:$D$200="")+(Tiers!$D$2:$D$200&gt;=F51)&gt;0)*Tiers!$B$2:$B$200)</f>
        <v>1</v>
      </c>
    </row>
    <row r="52" customFormat="false" ht="15" hidden="false" customHeight="true" outlineLevel="0" collapsed="false">
      <c r="A52" s="6" t="s">
        <v>71</v>
      </c>
      <c r="B52" s="6" t="s">
        <v>72</v>
      </c>
      <c r="C52" s="9" t="n">
        <v>200</v>
      </c>
      <c r="D52" s="9" t="n">
        <v>999</v>
      </c>
      <c r="E52" s="6" t="s">
        <v>38</v>
      </c>
      <c r="F52" s="9" t="n">
        <v>100</v>
      </c>
      <c r="G52" s="6" t="n">
        <f aca="false">SUMPRODUCT((Tiers!$A$2:$A$200=A52)*(Tiers!$C$2:$C$200&lt;=F52)*((Tiers!$D$2:$D$200="")+(Tiers!$D$2:$D$200&gt;=F52)&gt;0)*Tiers!$B$2:$B$200)</f>
        <v>2</v>
      </c>
    </row>
    <row r="53" customFormat="false" ht="15" hidden="false" customHeight="true" outlineLevel="0" collapsed="false">
      <c r="A53" s="6" t="s">
        <v>71</v>
      </c>
      <c r="B53" s="6" t="s">
        <v>72</v>
      </c>
      <c r="C53" s="9" t="n">
        <v>1000</v>
      </c>
      <c r="D53" s="9"/>
      <c r="E53" s="6" t="s">
        <v>38</v>
      </c>
      <c r="F53" s="9" t="n">
        <v>200</v>
      </c>
      <c r="G53" s="6" t="n">
        <f aca="false">SUMPRODUCT((Tiers!$A$2:$A$200=A53)*(Tiers!$C$2:$C$200&lt;=F53)*((Tiers!$D$2:$D$200="")+(Tiers!$D$2:$D$200&gt;=F53)&gt;0)*Tiers!$B$2:$B$200)</f>
        <v>3</v>
      </c>
    </row>
    <row r="54" customFormat="false" ht="15" hidden="false" customHeight="true" outlineLevel="0" collapsed="false">
      <c r="A54" s="6" t="s">
        <v>75</v>
      </c>
      <c r="B54" s="6" t="s">
        <v>76</v>
      </c>
      <c r="C54" s="9" t="n">
        <v>0</v>
      </c>
      <c r="D54" s="9"/>
      <c r="E54" s="6" t="s">
        <v>38</v>
      </c>
      <c r="F54" s="9" t="n">
        <v>400</v>
      </c>
      <c r="G54" s="6" t="n">
        <f aca="false">SUMPRODUCT((Tiers!$A$2:$A$200=A54)*(Tiers!$C$2:$C$200&lt;=F54)*((Tiers!$D$2:$D$200="")+(Tiers!$D$2:$D$200&gt;=F54)&gt;0)*Tiers!$B$2:$B$200)</f>
        <v>1</v>
      </c>
    </row>
    <row r="55" customFormat="false" ht="15" hidden="false" customHeight="true" outlineLevel="0" collapsed="false">
      <c r="A55" s="6" t="s">
        <v>79</v>
      </c>
      <c r="B55" s="6" t="s">
        <v>80</v>
      </c>
      <c r="C55" s="9" t="n">
        <v>0</v>
      </c>
      <c r="D55" s="9" t="n">
        <v>9999</v>
      </c>
      <c r="E55" s="6" t="s">
        <v>81</v>
      </c>
      <c r="F55" s="9" t="n">
        <v>5000</v>
      </c>
      <c r="G55" s="6" t="n">
        <f aca="false">SUMPRODUCT((Tiers!$A$2:$A$200=A55)*(Tiers!$C$2:$C$200&lt;=F55)*((Tiers!$D$2:$D$200="")+(Tiers!$D$2:$D$200&gt;=F55)&gt;0)*Tiers!$B$2:$B$200)</f>
        <v>1</v>
      </c>
    </row>
    <row r="56" customFormat="false" ht="15" hidden="false" customHeight="true" outlineLevel="0" collapsed="false">
      <c r="A56" s="6" t="s">
        <v>79</v>
      </c>
      <c r="B56" s="6" t="s">
        <v>80</v>
      </c>
      <c r="C56" s="9" t="n">
        <v>10000</v>
      </c>
      <c r="D56" s="9" t="n">
        <v>49999</v>
      </c>
      <c r="E56" s="6" t="s">
        <v>81</v>
      </c>
      <c r="F56" s="9" t="n">
        <v>15000</v>
      </c>
      <c r="G56" s="6" t="n">
        <f aca="false">SUMPRODUCT((Tiers!$A$2:$A$200=A56)*(Tiers!$C$2:$C$200&lt;=F56)*((Tiers!$D$2:$D$200="")+(Tiers!$D$2:$D$200&gt;=F56)&gt;0)*Tiers!$B$2:$B$200)</f>
        <v>2</v>
      </c>
    </row>
    <row r="57" customFormat="false" ht="15" hidden="false" customHeight="true" outlineLevel="0" collapsed="false">
      <c r="A57" s="6" t="s">
        <v>79</v>
      </c>
      <c r="B57" s="6" t="s">
        <v>80</v>
      </c>
      <c r="C57" s="9" t="n">
        <v>50000</v>
      </c>
      <c r="D57" s="9" t="n">
        <v>199999</v>
      </c>
      <c r="E57" s="6" t="s">
        <v>81</v>
      </c>
      <c r="F57" s="9" t="n">
        <v>30000</v>
      </c>
      <c r="G57" s="6" t="n">
        <f aca="false">SUMPRODUCT((Tiers!$A$2:$A$200=A57)*(Tiers!$C$2:$C$200&lt;=F57)*((Tiers!$D$2:$D$200="")+(Tiers!$D$2:$D$200&gt;=F57)&gt;0)*Tiers!$B$2:$B$200)</f>
        <v>3</v>
      </c>
    </row>
    <row r="58" customFormat="false" ht="15" hidden="false" customHeight="true" outlineLevel="0" collapsed="false">
      <c r="A58" s="6" t="s">
        <v>79</v>
      </c>
      <c r="B58" s="6" t="s">
        <v>80</v>
      </c>
      <c r="C58" s="9" t="n">
        <v>200000</v>
      </c>
      <c r="D58" s="9"/>
      <c r="E58" s="6" t="s">
        <v>81</v>
      </c>
      <c r="F58" s="9" t="n">
        <v>50000</v>
      </c>
      <c r="G58" s="6" t="n">
        <f aca="false">SUMPRODUCT((Tiers!$A$2:$A$200=A58)*(Tiers!$C$2:$C$200&lt;=F58)*((Tiers!$D$2:$D$200="")+(Tiers!$D$2:$D$200&gt;=F58)&gt;0)*Tiers!$B$2:$B$200)</f>
        <v>4</v>
      </c>
    </row>
    <row r="59" customFormat="false" ht="15" hidden="false" customHeight="true" outlineLevel="0" collapsed="false">
      <c r="A59" s="6" t="s">
        <v>84</v>
      </c>
      <c r="B59" s="6" t="s">
        <v>85</v>
      </c>
      <c r="C59" s="9" t="n">
        <v>0</v>
      </c>
      <c r="D59" s="9" t="n">
        <v>249</v>
      </c>
      <c r="E59" s="6" t="s">
        <v>86</v>
      </c>
      <c r="F59" s="9" t="n">
        <v>100</v>
      </c>
      <c r="G59" s="6" t="n">
        <f aca="false">SUMPRODUCT((Tiers!$A$2:$A$200=A59)*(Tiers!$C$2:$C$200&lt;=F59)*((Tiers!$D$2:$D$200="")+(Tiers!$D$2:$D$200&gt;=F59)&gt;0)*Tiers!$B$2:$B$200)</f>
        <v>1</v>
      </c>
    </row>
    <row r="60" customFormat="false" ht="15" hidden="false" customHeight="true" outlineLevel="0" collapsed="false">
      <c r="A60" s="6" t="s">
        <v>84</v>
      </c>
      <c r="B60" s="6" t="s">
        <v>85</v>
      </c>
      <c r="C60" s="9" t="n">
        <v>250</v>
      </c>
      <c r="D60" s="9" t="n">
        <v>999</v>
      </c>
      <c r="E60" s="6" t="s">
        <v>86</v>
      </c>
      <c r="F60" s="9" t="n">
        <v>150</v>
      </c>
      <c r="G60" s="6" t="n">
        <f aca="false">SUMPRODUCT((Tiers!$A$2:$A$200=A60)*(Tiers!$C$2:$C$200&lt;=F60)*((Tiers!$D$2:$D$200="")+(Tiers!$D$2:$D$200&gt;=F60)&gt;0)*Tiers!$B$2:$B$200)</f>
        <v>2</v>
      </c>
    </row>
    <row r="61" customFormat="false" ht="15" hidden="false" customHeight="true" outlineLevel="0" collapsed="false">
      <c r="A61" s="6" t="s">
        <v>84</v>
      </c>
      <c r="B61" s="6" t="s">
        <v>85</v>
      </c>
      <c r="C61" s="9" t="n">
        <v>1000</v>
      </c>
      <c r="D61" s="9"/>
      <c r="E61" s="6" t="s">
        <v>86</v>
      </c>
      <c r="F61" s="9" t="n">
        <v>250</v>
      </c>
      <c r="G61" s="6" t="n">
        <f aca="false">SUMPRODUCT((Tiers!$A$2:$A$200=A61)*(Tiers!$C$2:$C$200&lt;=F61)*((Tiers!$D$2:$D$200="")+(Tiers!$D$2:$D$200&gt;=F61)&gt;0)*Tiers!$B$2:$B$200)</f>
        <v>3</v>
      </c>
    </row>
    <row r="62" customFormat="false" ht="15" hidden="false" customHeight="true" outlineLevel="0" collapsed="false">
      <c r="A62" s="6" t="s">
        <v>89</v>
      </c>
      <c r="B62" s="6" t="s">
        <v>90</v>
      </c>
      <c r="C62" s="9" t="n">
        <v>0</v>
      </c>
      <c r="D62" s="9" t="n">
        <v>249</v>
      </c>
      <c r="E62" s="6" t="s">
        <v>86</v>
      </c>
      <c r="F62" s="9" t="n">
        <v>100</v>
      </c>
      <c r="G62" s="6" t="n">
        <f aca="false">SUMPRODUCT((Tiers!$A$2:$A$200=A62)*(Tiers!$C$2:$C$200&lt;=F62)*((Tiers!$D$2:$D$200="")+(Tiers!$D$2:$D$200&gt;=F62)&gt;0)*Tiers!$B$2:$B$200)</f>
        <v>1</v>
      </c>
    </row>
    <row r="63" customFormat="false" ht="15" hidden="false" customHeight="true" outlineLevel="0" collapsed="false">
      <c r="A63" s="6" t="s">
        <v>89</v>
      </c>
      <c r="B63" s="6" t="s">
        <v>90</v>
      </c>
      <c r="C63" s="9" t="n">
        <v>250</v>
      </c>
      <c r="D63" s="9" t="n">
        <v>999</v>
      </c>
      <c r="E63" s="6" t="s">
        <v>86</v>
      </c>
      <c r="F63" s="9" t="n">
        <v>150</v>
      </c>
      <c r="G63" s="6" t="n">
        <f aca="false">SUMPRODUCT((Tiers!$A$2:$A$200=A63)*(Tiers!$C$2:$C$200&lt;=F63)*((Tiers!$D$2:$D$200="")+(Tiers!$D$2:$D$200&gt;=F63)&gt;0)*Tiers!$B$2:$B$200)</f>
        <v>1</v>
      </c>
    </row>
    <row r="64" customFormat="false" ht="15" hidden="false" customHeight="true" outlineLevel="0" collapsed="false">
      <c r="A64" s="6" t="s">
        <v>89</v>
      </c>
      <c r="B64" s="6" t="s">
        <v>90</v>
      </c>
      <c r="C64" s="9" t="n">
        <v>1000</v>
      </c>
      <c r="D64" s="9"/>
      <c r="E64" s="6" t="s">
        <v>86</v>
      </c>
      <c r="F64" s="9" t="n">
        <v>250</v>
      </c>
      <c r="G64" s="6" t="n">
        <f aca="false">SUMPRODUCT((Tiers!$A$2:$A$200=A64)*(Tiers!$C$2:$C$200&lt;=F64)*((Tiers!$D$2:$D$200="")+(Tiers!$D$2:$D$200&gt;=F64)&gt;0)*Tiers!$B$2:$B$200)</f>
        <v>2</v>
      </c>
    </row>
    <row r="66" customFormat="false" ht="116.25" hidden="false" customHeight="true" outlineLevel="0" collapsed="false">
      <c r="A66" s="14" t="s">
        <v>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7"/>
    <col collapsed="false" customWidth="true" hidden="false" outlineLevel="0" max="3" min="3" style="1" width="9"/>
    <col collapsed="false" customWidth="true" hidden="false" outlineLevel="0" max="4" min="4" style="1" width="44"/>
    <col collapsed="false" customWidth="true" hidden="false" outlineLevel="0" max="5" min="5" style="1" width="60"/>
  </cols>
  <sheetData>
    <row r="1" customFormat="false" ht="15" hidden="false" customHeight="true" outlineLevel="0" collapsed="false">
      <c r="A1" s="5" t="s">
        <v>243</v>
      </c>
      <c r="B1" s="5" t="s">
        <v>32</v>
      </c>
      <c r="C1" s="5" t="s">
        <v>31</v>
      </c>
      <c r="D1" s="5" t="s">
        <v>237</v>
      </c>
      <c r="E1" s="5" t="s">
        <v>22</v>
      </c>
    </row>
    <row r="2" customFormat="false" ht="15" hidden="false" customHeight="true" outlineLevel="0" collapsed="false">
      <c r="A2" s="6" t="s">
        <v>244</v>
      </c>
      <c r="B2" s="6" t="s">
        <v>38</v>
      </c>
      <c r="C2" s="15" t="s">
        <v>36</v>
      </c>
      <c r="D2" s="6" t="str">
        <f aca="false">IF(C2="none","(not priced automatically)",IFERROR(INDEX(Activities!$B$2:$B$14,MATCH(C2,Activities!$A$2:$A$14,0)),"?"))</f>
        <v>Excavate and load (on-site haul)</v>
      </c>
      <c r="E2" s="6" t="s">
        <v>245</v>
      </c>
    </row>
    <row r="3" customFormat="false" ht="15" hidden="false" customHeight="true" outlineLevel="0" collapsed="false">
      <c r="A3" s="6" t="s">
        <v>246</v>
      </c>
      <c r="B3" s="6" t="s">
        <v>47</v>
      </c>
      <c r="C3" s="15" t="s">
        <v>45</v>
      </c>
      <c r="D3" s="6" t="str">
        <f aca="false">IF(C3="none","(not priced automatically)",IFERROR(INDEX(Activities!$B$2:$B$14,MATCH(C3,Activities!$A$2:$A$14,0)),"?"))</f>
        <v>Place and compact</v>
      </c>
      <c r="E3" s="6" t="s">
        <v>247</v>
      </c>
    </row>
    <row r="4" customFormat="false" ht="15" hidden="false" customHeight="true" outlineLevel="0" collapsed="false">
      <c r="A4" s="6" t="s">
        <v>52</v>
      </c>
      <c r="B4" s="6" t="s">
        <v>38</v>
      </c>
      <c r="C4" s="15" t="s">
        <v>50</v>
      </c>
      <c r="D4" s="6" t="str">
        <f aca="false">IF(C4="none","(not priced automatically)",IFERROR(INDEX(Activities!$B$2:$B$14,MATCH(C4,Activities!$A$2:$A$14,0)),"?"))</f>
        <v>Strip topsoil (push to stockpile)</v>
      </c>
      <c r="E4" s="6" t="s">
        <v>247</v>
      </c>
    </row>
    <row r="5" customFormat="false" ht="15" hidden="false" customHeight="true" outlineLevel="0" collapsed="false">
      <c r="A5" s="6" t="s">
        <v>248</v>
      </c>
      <c r="B5" s="6" t="s">
        <v>60</v>
      </c>
      <c r="C5" s="15" t="s">
        <v>58</v>
      </c>
      <c r="D5" s="6" t="str">
        <f aca="false">IF(C5="none","(not priced automatically)",IFERROR(INDEX(Activities!$B$2:$B$14,MATCH(C5,Activities!$A$2:$A$14,0)),"?"))</f>
        <v>Load and haul off (from stockpile)</v>
      </c>
      <c r="E5" s="6" t="s">
        <v>247</v>
      </c>
    </row>
    <row r="6" customFormat="false" ht="15" hidden="false" customHeight="true" outlineLevel="0" collapsed="false">
      <c r="A6" s="6" t="s">
        <v>56</v>
      </c>
      <c r="B6" s="6" t="s">
        <v>38</v>
      </c>
      <c r="C6" s="15" t="s">
        <v>54</v>
      </c>
      <c r="D6" s="6" t="str">
        <f aca="false">IF(C6="none","(not priced automatically)",IFERROR(INDEX(Activities!$B$2:$B$14,MATCH(C6,Activities!$A$2:$A$14,0)),"?"))</f>
        <v>Respread topsoil (from stockpile)</v>
      </c>
      <c r="E6" s="6" t="s">
        <v>249</v>
      </c>
    </row>
    <row r="7" customFormat="false" ht="15" hidden="false" customHeight="true" outlineLevel="0" collapsed="false">
      <c r="A7" s="6" t="s">
        <v>250</v>
      </c>
      <c r="B7" s="6" t="s">
        <v>38</v>
      </c>
      <c r="C7" s="15" t="s">
        <v>41</v>
      </c>
      <c r="D7" s="6" t="str">
        <f aca="false">IF(C7="none","(not priced automatically)",IFERROR(INDEX(Activities!$B$2:$B$14,MATCH(C7,Activities!$A$2:$A$14,0)),"?"))</f>
        <v>Excavate and load (direct to haul-off trucks)</v>
      </c>
      <c r="E7" s="6" t="s">
        <v>247</v>
      </c>
    </row>
    <row r="8" customFormat="false" ht="15" hidden="false" customHeight="true" outlineLevel="0" collapsed="false">
      <c r="A8" s="6" t="s">
        <v>251</v>
      </c>
      <c r="B8" s="6" t="s">
        <v>60</v>
      </c>
      <c r="C8" s="15" t="s">
        <v>63</v>
      </c>
      <c r="D8" s="6" t="str">
        <f aca="false">IF(C8="none","(not priced automatically)",IFERROR(INDEX(Activities!$B$2:$B$14,MATCH(C8,Activities!$A$2:$A$14,0)),"?"))</f>
        <v>Haul off (loaded by excavator)</v>
      </c>
      <c r="E8" s="6" t="s">
        <v>247</v>
      </c>
    </row>
    <row r="9" customFormat="false" ht="15" hidden="false" customHeight="true" outlineLevel="0" collapsed="false">
      <c r="A9" s="6" t="s">
        <v>252</v>
      </c>
      <c r="B9" s="6" t="s">
        <v>253</v>
      </c>
      <c r="C9" s="15" t="s">
        <v>45</v>
      </c>
      <c r="D9" s="6" t="str">
        <f aca="false">IF(C9="none","(not priced automatically)",IFERROR(INDEX(Activities!$B$2:$B$14,MATCH(C9,Activities!$A$2:$A$14,0)),"?"))</f>
        <v>Place and compact</v>
      </c>
      <c r="E9" s="6" t="s">
        <v>247</v>
      </c>
    </row>
    <row r="10" customFormat="false" ht="15" hidden="false" customHeight="true" outlineLevel="0" collapsed="false">
      <c r="A10" s="6" t="s">
        <v>254</v>
      </c>
      <c r="B10" s="6" t="s">
        <v>47</v>
      </c>
      <c r="C10" s="15" t="s">
        <v>45</v>
      </c>
      <c r="D10" s="6" t="str">
        <f aca="false">IF(C10="none","(not priced automatically)",IFERROR(INDEX(Activities!$B$2:$B$14,MATCH(C10,Activities!$A$2:$A$14,0)),"?"))</f>
        <v>Place and compact</v>
      </c>
      <c r="E10" s="6" t="s">
        <v>247</v>
      </c>
    </row>
    <row r="11" customFormat="false" ht="15" hidden="false" customHeight="true" outlineLevel="0" collapsed="false">
      <c r="A11" s="6" t="s">
        <v>255</v>
      </c>
      <c r="B11" s="6" t="s">
        <v>60</v>
      </c>
      <c r="C11" s="15" t="s">
        <v>63</v>
      </c>
      <c r="D11" s="6" t="str">
        <f aca="false">IF(C11="none","(not priced automatically)",IFERROR(INDEX(Activities!$B$2:$B$14,MATCH(C11,Activities!$A$2:$A$14,0)),"?"))</f>
        <v>Haul off (loaded by excavator)</v>
      </c>
      <c r="E11" s="6" t="s">
        <v>247</v>
      </c>
    </row>
    <row r="12" customFormat="false" ht="15" hidden="false" customHeight="true" outlineLevel="0" collapsed="false">
      <c r="A12" s="6" t="s">
        <v>69</v>
      </c>
      <c r="B12" s="6" t="s">
        <v>60</v>
      </c>
      <c r="C12" s="15" t="s">
        <v>67</v>
      </c>
      <c r="D12" s="6" t="str">
        <f aca="false">IF(C12="none","(not priced automatically)",IFERROR(INDEX(Activities!$B$2:$B$14,MATCH(C12,Activities!$A$2:$A$14,0)),"?"))</f>
        <v>Haul in (import)</v>
      </c>
      <c r="E12" s="6" t="s">
        <v>247</v>
      </c>
    </row>
    <row r="13" customFormat="false" ht="15" hidden="false" customHeight="true" outlineLevel="0" collapsed="false">
      <c r="A13" s="6" t="s">
        <v>256</v>
      </c>
      <c r="B13" s="6" t="s">
        <v>60</v>
      </c>
      <c r="C13" s="15" t="s">
        <v>58</v>
      </c>
      <c r="D13" s="6" t="str">
        <f aca="false">IF(C13="none","(not priced automatically)",IFERROR(INDEX(Activities!$B$2:$B$14,MATCH(C13,Activities!$A$2:$A$14,0)),"?"))</f>
        <v>Load and haul off (from stockpile)</v>
      </c>
      <c r="E13" s="6" t="s">
        <v>247</v>
      </c>
    </row>
    <row r="14" customFormat="false" ht="15" hidden="false" customHeight="true" outlineLevel="0" collapsed="false">
      <c r="A14" s="6" t="s">
        <v>73</v>
      </c>
      <c r="B14" s="6" t="s">
        <v>38</v>
      </c>
      <c r="C14" s="15" t="s">
        <v>71</v>
      </c>
      <c r="D14" s="6" t="str">
        <f aca="false">IF(C14="none","(not priced automatically)",IFERROR(INDEX(Activities!$B$2:$B$14,MATCH(C14,Activities!$A$2:$A$14,0)),"?"))</f>
        <v>Rock excavation (break and load)</v>
      </c>
      <c r="E14" s="6" t="s">
        <v>247</v>
      </c>
    </row>
    <row r="15" customFormat="false" ht="15" hidden="false" customHeight="true" outlineLevel="0" collapsed="false">
      <c r="A15" s="6" t="s">
        <v>82</v>
      </c>
      <c r="B15" s="6" t="s">
        <v>81</v>
      </c>
      <c r="C15" s="15" t="s">
        <v>79</v>
      </c>
      <c r="D15" s="6" t="str">
        <f aca="false">IF(C15="none","(not priced automatically)",IFERROR(INDEX(Activities!$B$2:$B$14,MATCH(C15,Activities!$A$2:$A$14,0)),"?"))</f>
        <v>Fine grade / subgrade prep</v>
      </c>
      <c r="E15" s="6" t="s">
        <v>247</v>
      </c>
    </row>
    <row r="16" customFormat="false" ht="15" hidden="false" customHeight="true" outlineLevel="0" collapsed="false">
      <c r="A16" s="6" t="s">
        <v>87</v>
      </c>
      <c r="B16" s="6" t="s">
        <v>86</v>
      </c>
      <c r="C16" s="15" t="s">
        <v>84</v>
      </c>
      <c r="D16" s="6" t="str">
        <f aca="false">IF(C16="none","(not priced automatically)",IFERROR(INDEX(Activities!$B$2:$B$14,MATCH(C16,Activities!$A$2:$A$14,0)),"?"))</f>
        <v>Pipe crew, gravity storm/sewer (excavate, lay, backfill)</v>
      </c>
      <c r="E16" s="6" t="s">
        <v>247</v>
      </c>
    </row>
    <row r="17" customFormat="false" ht="15" hidden="false" customHeight="true" outlineLevel="0" collapsed="false">
      <c r="A17" s="6" t="s">
        <v>91</v>
      </c>
      <c r="B17" s="6" t="s">
        <v>86</v>
      </c>
      <c r="C17" s="15" t="s">
        <v>89</v>
      </c>
      <c r="D17" s="6" t="str">
        <f aca="false">IF(C17="none","(not priced automatically)",IFERROR(INDEX(Activities!$B$2:$B$14,MATCH(C17,Activities!$A$2:$A$14,0)),"?"))</f>
        <v>Trench box with pipe crew</v>
      </c>
      <c r="E17" s="6" t="s">
        <v>247</v>
      </c>
    </row>
    <row r="18" customFormat="false" ht="15" hidden="false" customHeight="true" outlineLevel="0" collapsed="false">
      <c r="A18" s="6" t="s">
        <v>257</v>
      </c>
      <c r="B18" s="6" t="s">
        <v>38</v>
      </c>
      <c r="C18" s="15" t="s">
        <v>258</v>
      </c>
      <c r="D18" s="6" t="str">
        <f aca="false">IF(C18="none","(not priced automatically)",IFERROR(INDEX(Activities!$B$2:$B$14,MATCH(C18,Activities!$A$2:$A$14,0)),"?"))</f>
        <v>(not priced automatically)</v>
      </c>
      <c r="E18" s="6" t="s">
        <v>259</v>
      </c>
    </row>
    <row r="19" customFormat="false" ht="15" hidden="false" customHeight="true" outlineLevel="0" collapsed="false">
      <c r="A19" s="6" t="s">
        <v>260</v>
      </c>
      <c r="B19" s="6" t="s">
        <v>47</v>
      </c>
      <c r="C19" s="15" t="s">
        <v>258</v>
      </c>
      <c r="D19" s="6" t="str">
        <f aca="false">IF(C19="none","(not priced automatically)",IFERROR(INDEX(Activities!$B$2:$B$14,MATCH(C19,Activities!$A$2:$A$14,0)),"?"))</f>
        <v>(not priced automatically)</v>
      </c>
      <c r="E19" s="6" t="s">
        <v>259</v>
      </c>
    </row>
    <row r="20" customFormat="false" ht="15" hidden="false" customHeight="true" outlineLevel="0" collapsed="false">
      <c r="A20" s="6" t="s">
        <v>261</v>
      </c>
      <c r="B20" s="6" t="s">
        <v>47</v>
      </c>
      <c r="C20" s="15" t="s">
        <v>258</v>
      </c>
      <c r="D20" s="6" t="str">
        <f aca="false">IF(C20="none","(not priced automatically)",IFERROR(INDEX(Activities!$B$2:$B$14,MATCH(C20,Activities!$A$2:$A$14,0)),"?"))</f>
        <v>(not priced automatically)</v>
      </c>
      <c r="E20" s="6" t="s">
        <v>262</v>
      </c>
    </row>
    <row r="21" customFormat="false" ht="23.25" hidden="false" customHeight="true" outlineLevel="0" collapsed="false">
      <c r="A21" s="6" t="s">
        <v>263</v>
      </c>
      <c r="B21" s="6" t="s">
        <v>264</v>
      </c>
      <c r="C21" s="15" t="s">
        <v>258</v>
      </c>
      <c r="D21" s="6" t="str">
        <f aca="false">IF(C21="none","(not priced automatically)",IFERROR(INDEX(Activities!$B$2:$B$14,MATCH(C21,Activities!$A$2:$A$14,0)),"?"))</f>
        <v>(not priced automatically)</v>
      </c>
      <c r="E21" s="6" t="s">
        <v>265</v>
      </c>
    </row>
    <row r="22" customFormat="false" ht="15" hidden="false" customHeight="true" outlineLevel="0" collapsed="false">
      <c r="A22" s="6" t="s">
        <v>266</v>
      </c>
      <c r="B22" s="6" t="s">
        <v>267</v>
      </c>
      <c r="C22" s="15" t="s">
        <v>258</v>
      </c>
      <c r="D22" s="6" t="str">
        <f aca="false">IF(C22="none","(not priced automatically)",IFERROR(INDEX(Activities!$B$2:$B$14,MATCH(C22,Activities!$A$2:$A$14,0)),"?"))</f>
        <v>(not priced automatically)</v>
      </c>
      <c r="E22" s="6" t="s">
        <v>268</v>
      </c>
    </row>
    <row r="23" customFormat="false" ht="15" hidden="false" customHeight="true" outlineLevel="0" collapsed="false">
      <c r="A23" s="6" t="s">
        <v>269</v>
      </c>
      <c r="B23" s="6" t="s">
        <v>86</v>
      </c>
      <c r="C23" s="15" t="s">
        <v>258</v>
      </c>
      <c r="D23" s="6" t="str">
        <f aca="false">IF(C23="none","(not priced automatically)",IFERROR(INDEX(Activities!$B$2:$B$14,MATCH(C23,Activities!$A$2:$A$14,0)),"?"))</f>
        <v>(not priced automatically)</v>
      </c>
      <c r="E23" s="6" t="s">
        <v>270</v>
      </c>
    </row>
    <row r="24" customFormat="false" ht="15" hidden="false" customHeight="true" outlineLevel="0" collapsed="false">
      <c r="A24" s="6" t="s">
        <v>271</v>
      </c>
      <c r="B24" s="6" t="s">
        <v>38</v>
      </c>
      <c r="C24" s="15" t="s">
        <v>36</v>
      </c>
      <c r="D24" s="6" t="str">
        <f aca="false">IF(C24="none","(not priced automatically)",IFERROR(INDEX(Activities!$B$2:$B$14,MATCH(C24,Activities!$A$2:$A$14,0)),"?"))</f>
        <v>Excavate and load (on-site haul)</v>
      </c>
      <c r="E24" s="6" t="s">
        <v>272</v>
      </c>
    </row>
    <row r="25" customFormat="false" ht="15" hidden="false" customHeight="true" outlineLevel="0" collapsed="false">
      <c r="A25" s="6" t="s">
        <v>273</v>
      </c>
      <c r="B25" s="6" t="s">
        <v>47</v>
      </c>
      <c r="C25" s="15" t="s">
        <v>45</v>
      </c>
      <c r="D25" s="6" t="str">
        <f aca="false">IF(C25="none","(not priced automatically)",IFERROR(INDEX(Activities!$B$2:$B$14,MATCH(C25,Activities!$A$2:$A$14,0)),"?"))</f>
        <v>Place and compact</v>
      </c>
      <c r="E25" s="6" t="s">
        <v>272</v>
      </c>
    </row>
    <row r="26" customFormat="false" ht="15" hidden="false" customHeight="true" outlineLevel="0" collapsed="false">
      <c r="A26" s="6" t="s">
        <v>274</v>
      </c>
      <c r="B26" s="6" t="s">
        <v>38</v>
      </c>
      <c r="C26" s="15" t="s">
        <v>36</v>
      </c>
      <c r="D26" s="6" t="str">
        <f aca="false">IF(C26="none","(not priced automatically)",IFERROR(INDEX(Activities!$B$2:$B$14,MATCH(C26,Activities!$A$2:$A$14,0)),"?"))</f>
        <v>Excavate and load (on-site haul)</v>
      </c>
      <c r="E26" s="6" t="s">
        <v>272</v>
      </c>
    </row>
    <row r="27" customFormat="false" ht="15" hidden="false" customHeight="true" outlineLevel="0" collapsed="false">
      <c r="A27" s="6" t="s">
        <v>275</v>
      </c>
      <c r="B27" s="6" t="s">
        <v>264</v>
      </c>
      <c r="C27" s="15" t="s">
        <v>258</v>
      </c>
      <c r="D27" s="6" t="str">
        <f aca="false">IF(C27="none","(not priced automatically)",IFERROR(INDEX(Activities!$B$2:$B$14,MATCH(C27,Activities!$A$2:$A$14,0)),"?"))</f>
        <v>(not priced automatically)</v>
      </c>
      <c r="E27" s="6" t="s">
        <v>276</v>
      </c>
    </row>
    <row r="29" customFormat="false" ht="32.25" hidden="false" customHeight="true" outlineLevel="0" collapsed="false">
      <c r="A29" s="14" t="s">
        <v>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3" min="3" style="1" width="16"/>
    <col collapsed="false" customWidth="true" hidden="false" outlineLevel="0" max="4" min="4" style="1" width="36"/>
    <col collapsed="false" customWidth="true" hidden="false" outlineLevel="0" max="6" min="5" style="1" width="8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9" min="9" style="1" width="14"/>
    <col collapsed="false" customWidth="true" hidden="false" outlineLevel="0" max="10" min="10" style="1" width="11"/>
    <col collapsed="false" customWidth="true" hidden="false" outlineLevel="0" max="11" min="11" style="1" width="8"/>
    <col collapsed="false" customWidth="true" hidden="false" outlineLevel="0" max="12" min="12" style="1" width="14"/>
    <col collapsed="false" customWidth="true" hidden="false" outlineLevel="0" max="14" min="13" style="1" width="10"/>
    <col collapsed="false" customWidth="true" hidden="false" outlineLevel="0" max="15" min="15" style="1" width="11"/>
  </cols>
  <sheetData>
    <row r="1" customFormat="false" ht="34.5" hidden="false" customHeight="true" outlineLevel="0" collapsed="false">
      <c r="A1" s="5" t="s">
        <v>31</v>
      </c>
      <c r="B1" s="5" t="s">
        <v>93</v>
      </c>
      <c r="C1" s="5" t="s">
        <v>278</v>
      </c>
      <c r="D1" s="5" t="s">
        <v>279</v>
      </c>
      <c r="E1" s="5" t="s">
        <v>280</v>
      </c>
      <c r="F1" s="5" t="s">
        <v>281</v>
      </c>
      <c r="G1" s="5" t="s">
        <v>282</v>
      </c>
      <c r="H1" s="5" t="s">
        <v>283</v>
      </c>
      <c r="I1" s="5" t="s">
        <v>284</v>
      </c>
      <c r="J1" s="5" t="s">
        <v>285</v>
      </c>
      <c r="K1" s="5" t="s">
        <v>32</v>
      </c>
      <c r="L1" s="5" t="s">
        <v>286</v>
      </c>
      <c r="M1" s="5" t="s">
        <v>287</v>
      </c>
      <c r="N1" s="5" t="s">
        <v>288</v>
      </c>
      <c r="O1" s="5" t="s">
        <v>289</v>
      </c>
    </row>
    <row r="2" customFormat="false" ht="15" hidden="false" customHeight="true" outlineLevel="0" collapsed="false">
      <c r="A2" s="6" t="s">
        <v>36</v>
      </c>
      <c r="B2" s="6" t="n">
        <v>1</v>
      </c>
      <c r="C2" s="6" t="s">
        <v>290</v>
      </c>
      <c r="D2" s="16" t="str">
        <f aca="false">INDEX('Catalog ref'!$C$2:$C$33,MATCH(C2,'Catalog ref'!$A$2:$A$33,0))</f>
        <v>16-18 t (~38,000-40,000 lb)</v>
      </c>
      <c r="E2" s="17" t="n">
        <v>1</v>
      </c>
      <c r="F2" s="6" t="s">
        <v>291</v>
      </c>
      <c r="G2" s="6" t="s">
        <v>292</v>
      </c>
      <c r="H2" s="6"/>
      <c r="I2" s="6" t="s">
        <v>293</v>
      </c>
      <c r="J2" s="18" t="n">
        <f aca="false">IFERROR(INDEX('Catalog production'!$D$2:$D$15,MATCH(C2&amp;"|"&amp;I2,'Catalog production'!$A$2:$A$15,0))*1,"")</f>
        <v>153.497828571429</v>
      </c>
      <c r="K2" s="16" t="str">
        <f aca="false">IFERROR(INDEX('Catalog production'!$E$2:$E$15,MATCH(C2&amp;"|"&amp;I2,'Catalog production'!$A$2:$A$15,0))&amp;"","")</f>
        <v>BCY/hr</v>
      </c>
      <c r="L2" s="10" t="n">
        <f aca="false">IF(N(J2)=0,"",E2*J2*Settings!$B$2*IF(K2="LCY/hr",1/Settings!$B$3,1))</f>
        <v>1534.97828571429</v>
      </c>
      <c r="M2" s="19" t="n">
        <f aca="false">INDEX('Catalog ref'!$D$2:$D$33,MATCH(C2,'Catalog ref'!$A$2:$A$33,0))</f>
        <v>855</v>
      </c>
      <c r="N2" s="20" t="n">
        <f aca="false">INDEX('Catalog ref'!$K$2:$K$33,MATCH(C2,'Catalog ref'!$A$2:$A$33,0))</f>
        <v>2.97</v>
      </c>
      <c r="O2" s="19" t="n">
        <f aca="false">INDEX('Catalog ref'!$M$2:$M$33,MATCH(C2,'Catalog ref'!$A$2:$A$33,0))</f>
        <v>550</v>
      </c>
    </row>
    <row r="3" customFormat="false" ht="15" hidden="false" customHeight="true" outlineLevel="0" collapsed="false">
      <c r="A3" s="6" t="s">
        <v>36</v>
      </c>
      <c r="B3" s="6" t="n">
        <v>1</v>
      </c>
      <c r="C3" s="6" t="s">
        <v>294</v>
      </c>
      <c r="D3" s="16" t="str">
        <f aca="false">INDEX('Catalog ref'!$C$2:$C$33,MATCH(C3,'Catalog ref'!$A$2:$A$33,0))</f>
        <v>26.5 t payload</v>
      </c>
      <c r="E3" s="17" t="n">
        <v>1</v>
      </c>
      <c r="F3" s="6"/>
      <c r="G3" s="6"/>
      <c r="H3" s="6"/>
      <c r="I3" s="6"/>
      <c r="J3" s="6"/>
      <c r="K3" s="6"/>
      <c r="L3" s="6"/>
      <c r="M3" s="19" t="n">
        <f aca="false">INDEX('Catalog ref'!$D$2:$D$33,MATCH(C3,'Catalog ref'!$A$2:$A$33,0))</f>
        <v>1882</v>
      </c>
      <c r="N3" s="20" t="n">
        <f aca="false">INDEX('Catalog ref'!$K$2:$K$33,MATCH(C3,'Catalog ref'!$A$2:$A$33,0))</f>
        <v>4.56</v>
      </c>
      <c r="O3" s="19" t="n">
        <f aca="false">INDEX('Catalog ref'!$M$2:$M$33,MATCH(C3,'Catalog ref'!$A$2:$A$33,0))</f>
        <v>1800</v>
      </c>
    </row>
    <row r="4" customFormat="false" ht="15" hidden="false" customHeight="true" outlineLevel="0" collapsed="false">
      <c r="A4" s="6" t="s">
        <v>36</v>
      </c>
      <c r="B4" s="6" t="n">
        <v>2</v>
      </c>
      <c r="C4" s="6" t="s">
        <v>295</v>
      </c>
      <c r="D4" s="16" t="str">
        <f aca="false">INDEX('Catalog ref'!$C$2:$C$33,MATCH(C4,'Catalog ref'!$A$2:$A$33,0))</f>
        <v>20-25 t (~48,500-62,800 lb)</v>
      </c>
      <c r="E4" s="17" t="n">
        <v>1</v>
      </c>
      <c r="F4" s="6" t="s">
        <v>291</v>
      </c>
      <c r="G4" s="6" t="s">
        <v>292</v>
      </c>
      <c r="H4" s="6"/>
      <c r="I4" s="6" t="s">
        <v>293</v>
      </c>
      <c r="J4" s="18" t="n">
        <f aca="false">IFERROR(INDEX('Catalog production'!$D$2:$D$15,MATCH(C4&amp;"|"&amp;I4,'Catalog production'!$A$2:$A$15,0))*1,"")</f>
        <v>163.344</v>
      </c>
      <c r="K4" s="16" t="str">
        <f aca="false">IFERROR(INDEX('Catalog production'!$E$2:$E$15,MATCH(C4&amp;"|"&amp;I4,'Catalog production'!$A$2:$A$15,0))&amp;"","")</f>
        <v>BCY/hr</v>
      </c>
      <c r="L4" s="10" t="n">
        <f aca="false">IF(N(J4)=0,"",E4*J4*Settings!$B$2*IF(K4="LCY/hr",1/Settings!$B$3,1))</f>
        <v>1633.44</v>
      </c>
      <c r="M4" s="19" t="n">
        <f aca="false">INDEX('Catalog ref'!$D$2:$D$33,MATCH(C4,'Catalog ref'!$A$2:$A$33,0))</f>
        <v>1040</v>
      </c>
      <c r="N4" s="20" t="n">
        <f aca="false">INDEX('Catalog ref'!$K$2:$K$33,MATCH(C4,'Catalog ref'!$A$2:$A$33,0))</f>
        <v>2.78</v>
      </c>
      <c r="O4" s="19" t="n">
        <f aca="false">INDEX('Catalog ref'!$M$2:$M$33,MATCH(C4,'Catalog ref'!$A$2:$A$33,0))</f>
        <v>550</v>
      </c>
    </row>
    <row r="5" customFormat="false" ht="15" hidden="false" customHeight="true" outlineLevel="0" collapsed="false">
      <c r="A5" s="6" t="s">
        <v>36</v>
      </c>
      <c r="B5" s="6" t="n">
        <v>2</v>
      </c>
      <c r="C5" s="6" t="s">
        <v>294</v>
      </c>
      <c r="D5" s="16" t="str">
        <f aca="false">INDEX('Catalog ref'!$C$2:$C$33,MATCH(C5,'Catalog ref'!$A$2:$A$33,0))</f>
        <v>26.5 t payload</v>
      </c>
      <c r="E5" s="17" t="n">
        <v>2</v>
      </c>
      <c r="F5" s="6"/>
      <c r="G5" s="6"/>
      <c r="H5" s="6"/>
      <c r="I5" s="6"/>
      <c r="J5" s="6"/>
      <c r="K5" s="6"/>
      <c r="L5" s="6"/>
      <c r="M5" s="19" t="n">
        <f aca="false">INDEX('Catalog ref'!$D$2:$D$33,MATCH(C5,'Catalog ref'!$A$2:$A$33,0))</f>
        <v>1882</v>
      </c>
      <c r="N5" s="20" t="n">
        <f aca="false">INDEX('Catalog ref'!$K$2:$K$33,MATCH(C5,'Catalog ref'!$A$2:$A$33,0))</f>
        <v>4.56</v>
      </c>
      <c r="O5" s="19" t="n">
        <f aca="false">INDEX('Catalog ref'!$M$2:$M$33,MATCH(C5,'Catalog ref'!$A$2:$A$33,0))</f>
        <v>1800</v>
      </c>
    </row>
    <row r="6" customFormat="false" ht="15" hidden="false" customHeight="true" outlineLevel="0" collapsed="false">
      <c r="A6" s="6" t="s">
        <v>36</v>
      </c>
      <c r="B6" s="6" t="n">
        <v>3</v>
      </c>
      <c r="C6" s="6" t="s">
        <v>295</v>
      </c>
      <c r="D6" s="16" t="str">
        <f aca="false">INDEX('Catalog ref'!$C$2:$C$33,MATCH(C6,'Catalog ref'!$A$2:$A$33,0))</f>
        <v>20-25 t (~48,500-62,800 lb)</v>
      </c>
      <c r="E6" s="17" t="n">
        <v>1</v>
      </c>
      <c r="F6" s="6" t="s">
        <v>291</v>
      </c>
      <c r="G6" s="6" t="s">
        <v>292</v>
      </c>
      <c r="H6" s="6"/>
      <c r="I6" s="6" t="s">
        <v>293</v>
      </c>
      <c r="J6" s="18" t="n">
        <f aca="false">IFERROR(INDEX('Catalog production'!$D$2:$D$15,MATCH(C6&amp;"|"&amp;I6,'Catalog production'!$A$2:$A$15,0))*1,"")</f>
        <v>163.344</v>
      </c>
      <c r="K6" s="16" t="str">
        <f aca="false">IFERROR(INDEX('Catalog production'!$E$2:$E$15,MATCH(C6&amp;"|"&amp;I6,'Catalog production'!$A$2:$A$15,0))&amp;"","")</f>
        <v>BCY/hr</v>
      </c>
      <c r="L6" s="10" t="n">
        <f aca="false">IF(N(J6)=0,"",E6*J6*Settings!$B$2*IF(K6="LCY/hr",1/Settings!$B$3,1))</f>
        <v>1633.44</v>
      </c>
      <c r="M6" s="19" t="n">
        <f aca="false">INDEX('Catalog ref'!$D$2:$D$33,MATCH(C6,'Catalog ref'!$A$2:$A$33,0))</f>
        <v>1040</v>
      </c>
      <c r="N6" s="20" t="n">
        <f aca="false">INDEX('Catalog ref'!$K$2:$K$33,MATCH(C6,'Catalog ref'!$A$2:$A$33,0))</f>
        <v>2.78</v>
      </c>
      <c r="O6" s="19" t="n">
        <f aca="false">INDEX('Catalog ref'!$M$2:$M$33,MATCH(C6,'Catalog ref'!$A$2:$A$33,0))</f>
        <v>550</v>
      </c>
    </row>
    <row r="7" customFormat="false" ht="15" hidden="false" customHeight="true" outlineLevel="0" collapsed="false">
      <c r="A7" s="6" t="s">
        <v>36</v>
      </c>
      <c r="B7" s="6" t="n">
        <v>3</v>
      </c>
      <c r="C7" s="6" t="s">
        <v>296</v>
      </c>
      <c r="D7" s="16" t="str">
        <f aca="false">INDEX('Catalog ref'!$C$2:$C$33,MATCH(C7,'Catalog ref'!$A$2:$A$33,0))</f>
        <v>30 t payload</v>
      </c>
      <c r="E7" s="17" t="n">
        <v>2</v>
      </c>
      <c r="F7" s="6"/>
      <c r="G7" s="6"/>
      <c r="H7" s="6"/>
      <c r="I7" s="6"/>
      <c r="J7" s="6"/>
      <c r="K7" s="6"/>
      <c r="L7" s="6"/>
      <c r="M7" s="19" t="n">
        <f aca="false">INDEX('Catalog ref'!$D$2:$D$33,MATCH(C7,'Catalog ref'!$A$2:$A$33,0))</f>
        <v>2126</v>
      </c>
      <c r="N7" s="20" t="n">
        <f aca="false">INDEX('Catalog ref'!$K$2:$K$33,MATCH(C7,'Catalog ref'!$A$2:$A$33,0))</f>
        <v>4.38</v>
      </c>
      <c r="O7" s="19" t="n">
        <f aca="false">INDEX('Catalog ref'!$M$2:$M$33,MATCH(C7,'Catalog ref'!$A$2:$A$33,0))</f>
        <v>1800</v>
      </c>
    </row>
    <row r="8" customFormat="false" ht="15" hidden="false" customHeight="true" outlineLevel="0" collapsed="false">
      <c r="A8" s="6" t="s">
        <v>36</v>
      </c>
      <c r="B8" s="6" t="n">
        <v>4</v>
      </c>
      <c r="C8" s="6" t="s">
        <v>297</v>
      </c>
      <c r="D8" s="16" t="str">
        <f aca="false">INDEX('Catalog ref'!$C$2:$C$33,MATCH(C8,'Catalog ref'!$A$2:$A$33,0))</f>
        <v>30-36 t (~68,000-81,000 lb)</v>
      </c>
      <c r="E8" s="17" t="n">
        <v>1</v>
      </c>
      <c r="F8" s="6" t="s">
        <v>291</v>
      </c>
      <c r="G8" s="6" t="s">
        <v>292</v>
      </c>
      <c r="H8" s="6"/>
      <c r="I8" s="6" t="s">
        <v>293</v>
      </c>
      <c r="J8" s="18" t="n">
        <f aca="false">IFERROR(INDEX('Catalog production'!$D$2:$D$15,MATCH(C8&amp;"|"&amp;I8,'Catalog production'!$A$2:$A$15,0))*1,"")</f>
        <v>310.752</v>
      </c>
      <c r="K8" s="16" t="str">
        <f aca="false">IFERROR(INDEX('Catalog production'!$E$2:$E$15,MATCH(C8&amp;"|"&amp;I8,'Catalog production'!$A$2:$A$15,0))&amp;"","")</f>
        <v>BCY/hr</v>
      </c>
      <c r="L8" s="10" t="n">
        <f aca="false">IF(N(J8)=0,"",E8*J8*Settings!$B$2*IF(K8="LCY/hr",1/Settings!$B$3,1))</f>
        <v>3107.52</v>
      </c>
      <c r="M8" s="19" t="n">
        <f aca="false">INDEX('Catalog ref'!$D$2:$D$33,MATCH(C8,'Catalog ref'!$A$2:$A$33,0))</f>
        <v>1424</v>
      </c>
      <c r="N8" s="20" t="n">
        <f aca="false">INDEX('Catalog ref'!$K$2:$K$33,MATCH(C8,'Catalog ref'!$A$2:$A$33,0))</f>
        <v>4.5</v>
      </c>
      <c r="O8" s="19" t="n">
        <f aca="false">INDEX('Catalog ref'!$M$2:$M$33,MATCH(C8,'Catalog ref'!$A$2:$A$33,0))</f>
        <v>1800</v>
      </c>
    </row>
    <row r="9" customFormat="false" ht="15" hidden="false" customHeight="true" outlineLevel="0" collapsed="false">
      <c r="A9" s="6" t="s">
        <v>36</v>
      </c>
      <c r="B9" s="6" t="n">
        <v>4</v>
      </c>
      <c r="C9" s="6" t="s">
        <v>296</v>
      </c>
      <c r="D9" s="16" t="str">
        <f aca="false">INDEX('Catalog ref'!$C$2:$C$33,MATCH(C9,'Catalog ref'!$A$2:$A$33,0))</f>
        <v>30 t payload</v>
      </c>
      <c r="E9" s="17" t="n">
        <v>2</v>
      </c>
      <c r="F9" s="6"/>
      <c r="G9" s="6"/>
      <c r="H9" s="6"/>
      <c r="I9" s="6"/>
      <c r="J9" s="6"/>
      <c r="K9" s="6"/>
      <c r="L9" s="6"/>
      <c r="M9" s="19" t="n">
        <f aca="false">INDEX('Catalog ref'!$D$2:$D$33,MATCH(C9,'Catalog ref'!$A$2:$A$33,0))</f>
        <v>2126</v>
      </c>
      <c r="N9" s="20" t="n">
        <f aca="false">INDEX('Catalog ref'!$K$2:$K$33,MATCH(C9,'Catalog ref'!$A$2:$A$33,0))</f>
        <v>4.38</v>
      </c>
      <c r="O9" s="19" t="n">
        <f aca="false">INDEX('Catalog ref'!$M$2:$M$33,MATCH(C9,'Catalog ref'!$A$2:$A$33,0))</f>
        <v>1800</v>
      </c>
    </row>
    <row r="10" customFormat="false" ht="15" hidden="false" customHeight="true" outlineLevel="0" collapsed="false">
      <c r="A10" s="6" t="s">
        <v>36</v>
      </c>
      <c r="B10" s="6" t="n">
        <v>5</v>
      </c>
      <c r="C10" s="6" t="s">
        <v>297</v>
      </c>
      <c r="D10" s="16" t="str">
        <f aca="false">INDEX('Catalog ref'!$C$2:$C$33,MATCH(C10,'Catalog ref'!$A$2:$A$33,0))</f>
        <v>30-36 t (~68,000-81,000 lb)</v>
      </c>
      <c r="E10" s="17" t="n">
        <v>1</v>
      </c>
      <c r="F10" s="6" t="s">
        <v>291</v>
      </c>
      <c r="G10" s="6" t="s">
        <v>292</v>
      </c>
      <c r="H10" s="6"/>
      <c r="I10" s="6" t="s">
        <v>293</v>
      </c>
      <c r="J10" s="18" t="n">
        <f aca="false">IFERROR(INDEX('Catalog production'!$D$2:$D$15,MATCH(C10&amp;"|"&amp;I10,'Catalog production'!$A$2:$A$15,0))*1,"")</f>
        <v>310.752</v>
      </c>
      <c r="K10" s="16" t="str">
        <f aca="false">IFERROR(INDEX('Catalog production'!$E$2:$E$15,MATCH(C10&amp;"|"&amp;I10,'Catalog production'!$A$2:$A$15,0))&amp;"","")</f>
        <v>BCY/hr</v>
      </c>
      <c r="L10" s="10" t="n">
        <f aca="false">IF(N(J10)=0,"",E10*J10*Settings!$B$2*IF(K10="LCY/hr",1/Settings!$B$3,1))</f>
        <v>3107.52</v>
      </c>
      <c r="M10" s="19" t="n">
        <f aca="false">INDEX('Catalog ref'!$D$2:$D$33,MATCH(C10,'Catalog ref'!$A$2:$A$33,0))</f>
        <v>1424</v>
      </c>
      <c r="N10" s="20" t="n">
        <f aca="false">INDEX('Catalog ref'!$K$2:$K$33,MATCH(C10,'Catalog ref'!$A$2:$A$33,0))</f>
        <v>4.5</v>
      </c>
      <c r="O10" s="19" t="n">
        <f aca="false">INDEX('Catalog ref'!$M$2:$M$33,MATCH(C10,'Catalog ref'!$A$2:$A$33,0))</f>
        <v>1800</v>
      </c>
    </row>
    <row r="11" customFormat="false" ht="15" hidden="false" customHeight="true" outlineLevel="0" collapsed="false">
      <c r="A11" s="6" t="s">
        <v>36</v>
      </c>
      <c r="B11" s="6" t="n">
        <v>5</v>
      </c>
      <c r="C11" s="6" t="s">
        <v>296</v>
      </c>
      <c r="D11" s="16" t="str">
        <f aca="false">INDEX('Catalog ref'!$C$2:$C$33,MATCH(C11,'Catalog ref'!$A$2:$A$33,0))</f>
        <v>30 t payload</v>
      </c>
      <c r="E11" s="17" t="n">
        <v>3</v>
      </c>
      <c r="F11" s="6"/>
      <c r="G11" s="6"/>
      <c r="H11" s="6"/>
      <c r="I11" s="6"/>
      <c r="J11" s="6"/>
      <c r="K11" s="6"/>
      <c r="L11" s="6"/>
      <c r="M11" s="19" t="n">
        <f aca="false">INDEX('Catalog ref'!$D$2:$D$33,MATCH(C11,'Catalog ref'!$A$2:$A$33,0))</f>
        <v>2126</v>
      </c>
      <c r="N11" s="20" t="n">
        <f aca="false">INDEX('Catalog ref'!$K$2:$K$33,MATCH(C11,'Catalog ref'!$A$2:$A$33,0))</f>
        <v>4.38</v>
      </c>
      <c r="O11" s="19" t="n">
        <f aca="false">INDEX('Catalog ref'!$M$2:$M$33,MATCH(C11,'Catalog ref'!$A$2:$A$33,0))</f>
        <v>1800</v>
      </c>
    </row>
    <row r="12" customFormat="false" ht="15" hidden="false" customHeight="true" outlineLevel="0" collapsed="false">
      <c r="A12" s="6" t="s">
        <v>36</v>
      </c>
      <c r="B12" s="6" t="n">
        <v>6</v>
      </c>
      <c r="C12" s="6" t="s">
        <v>298</v>
      </c>
      <c r="D12" s="16" t="str">
        <f aca="false">INDEX('Catalog ref'!$C$2:$C$33,MATCH(C12,'Catalog ref'!$A$2:$A$33,0))</f>
        <v>45-55 t (~105,000-108,000 lb)</v>
      </c>
      <c r="E12" s="17" t="n">
        <v>1</v>
      </c>
      <c r="F12" s="6" t="s">
        <v>291</v>
      </c>
      <c r="G12" s="6" t="s">
        <v>292</v>
      </c>
      <c r="H12" s="6"/>
      <c r="I12" s="6" t="s">
        <v>293</v>
      </c>
      <c r="J12" s="18" t="n">
        <f aca="false">IFERROR(INDEX('Catalog production'!$D$2:$D$15,MATCH(C12&amp;"|"&amp;I12,'Catalog production'!$A$2:$A$15,0))*1,"")</f>
        <v>510.90816</v>
      </c>
      <c r="K12" s="16" t="str">
        <f aca="false">IFERROR(INDEX('Catalog production'!$E$2:$E$15,MATCH(C12&amp;"|"&amp;I12,'Catalog production'!$A$2:$A$15,0))&amp;"","")</f>
        <v>BCY/hr</v>
      </c>
      <c r="L12" s="10" t="n">
        <f aca="false">IF(N(J12)=0,"",E12*J12*Settings!$B$2*IF(K12="LCY/hr",1/Settings!$B$3,1))</f>
        <v>5109.0816</v>
      </c>
      <c r="M12" s="19" t="n">
        <f aca="false">INDEX('Catalog ref'!$D$2:$D$33,MATCH(C12,'Catalog ref'!$A$2:$A$33,0))</f>
        <v>2250</v>
      </c>
      <c r="N12" s="20" t="n">
        <f aca="false">INDEX('Catalog ref'!$K$2:$K$33,MATCH(C12,'Catalog ref'!$A$2:$A$33,0))</f>
        <v>8.02</v>
      </c>
      <c r="O12" s="19" t="n">
        <f aca="false">INDEX('Catalog ref'!$M$2:$M$33,MATCH(C12,'Catalog ref'!$A$2:$A$33,0))</f>
        <v>1913</v>
      </c>
    </row>
    <row r="13" customFormat="false" ht="15" hidden="false" customHeight="true" outlineLevel="0" collapsed="false">
      <c r="A13" s="6" t="s">
        <v>36</v>
      </c>
      <c r="B13" s="6" t="n">
        <v>6</v>
      </c>
      <c r="C13" s="6" t="s">
        <v>296</v>
      </c>
      <c r="D13" s="16" t="str">
        <f aca="false">INDEX('Catalog ref'!$C$2:$C$33,MATCH(C13,'Catalog ref'!$A$2:$A$33,0))</f>
        <v>30 t payload</v>
      </c>
      <c r="E13" s="17" t="n">
        <v>3</v>
      </c>
      <c r="F13" s="6"/>
      <c r="G13" s="6"/>
      <c r="H13" s="6"/>
      <c r="I13" s="6"/>
      <c r="J13" s="6"/>
      <c r="K13" s="6"/>
      <c r="L13" s="6"/>
      <c r="M13" s="19" t="n">
        <f aca="false">INDEX('Catalog ref'!$D$2:$D$33,MATCH(C13,'Catalog ref'!$A$2:$A$33,0))</f>
        <v>2126</v>
      </c>
      <c r="N13" s="20" t="n">
        <f aca="false">INDEX('Catalog ref'!$K$2:$K$33,MATCH(C13,'Catalog ref'!$A$2:$A$33,0))</f>
        <v>4.38</v>
      </c>
      <c r="O13" s="19" t="n">
        <f aca="false">INDEX('Catalog ref'!$M$2:$M$33,MATCH(C13,'Catalog ref'!$A$2:$A$33,0))</f>
        <v>1800</v>
      </c>
    </row>
    <row r="14" customFormat="false" ht="15" hidden="false" customHeight="true" outlineLevel="0" collapsed="false">
      <c r="A14" s="6" t="s">
        <v>36</v>
      </c>
      <c r="B14" s="6" t="n">
        <v>7</v>
      </c>
      <c r="C14" s="6" t="s">
        <v>298</v>
      </c>
      <c r="D14" s="16" t="str">
        <f aca="false">INDEX('Catalog ref'!$C$2:$C$33,MATCH(C14,'Catalog ref'!$A$2:$A$33,0))</f>
        <v>45-55 t (~105,000-108,000 lb)</v>
      </c>
      <c r="E14" s="17" t="n">
        <v>1</v>
      </c>
      <c r="F14" s="6" t="s">
        <v>291</v>
      </c>
      <c r="G14" s="6" t="s">
        <v>292</v>
      </c>
      <c r="H14" s="6"/>
      <c r="I14" s="6" t="s">
        <v>293</v>
      </c>
      <c r="J14" s="18" t="n">
        <f aca="false">IFERROR(INDEX('Catalog production'!$D$2:$D$15,MATCH(C14&amp;"|"&amp;I14,'Catalog production'!$A$2:$A$15,0))*1,"")</f>
        <v>510.90816</v>
      </c>
      <c r="K14" s="16" t="str">
        <f aca="false">IFERROR(INDEX('Catalog production'!$E$2:$E$15,MATCH(C14&amp;"|"&amp;I14,'Catalog production'!$A$2:$A$15,0))&amp;"","")</f>
        <v>BCY/hr</v>
      </c>
      <c r="L14" s="10" t="n">
        <f aca="false">IF(N(J14)=0,"",E14*J14*Settings!$B$2*IF(K14="LCY/hr",1/Settings!$B$3,1))</f>
        <v>5109.0816</v>
      </c>
      <c r="M14" s="19" t="n">
        <f aca="false">INDEX('Catalog ref'!$D$2:$D$33,MATCH(C14,'Catalog ref'!$A$2:$A$33,0))</f>
        <v>2250</v>
      </c>
      <c r="N14" s="20" t="n">
        <f aca="false">INDEX('Catalog ref'!$K$2:$K$33,MATCH(C14,'Catalog ref'!$A$2:$A$33,0))</f>
        <v>8.02</v>
      </c>
      <c r="O14" s="19" t="n">
        <f aca="false">INDEX('Catalog ref'!$M$2:$M$33,MATCH(C14,'Catalog ref'!$A$2:$A$33,0))</f>
        <v>1913</v>
      </c>
    </row>
    <row r="15" customFormat="false" ht="15" hidden="false" customHeight="true" outlineLevel="0" collapsed="false">
      <c r="A15" s="6" t="s">
        <v>36</v>
      </c>
      <c r="B15" s="6" t="n">
        <v>7</v>
      </c>
      <c r="C15" s="6" t="s">
        <v>296</v>
      </c>
      <c r="D15" s="16" t="str">
        <f aca="false">INDEX('Catalog ref'!$C$2:$C$33,MATCH(C15,'Catalog ref'!$A$2:$A$33,0))</f>
        <v>30 t payload</v>
      </c>
      <c r="E15" s="17" t="n">
        <v>4</v>
      </c>
      <c r="F15" s="6"/>
      <c r="G15" s="6"/>
      <c r="H15" s="6"/>
      <c r="I15" s="6"/>
      <c r="J15" s="6"/>
      <c r="K15" s="6"/>
      <c r="L15" s="6"/>
      <c r="M15" s="19" t="n">
        <f aca="false">INDEX('Catalog ref'!$D$2:$D$33,MATCH(C15,'Catalog ref'!$A$2:$A$33,0))</f>
        <v>2126</v>
      </c>
      <c r="N15" s="20" t="n">
        <f aca="false">INDEX('Catalog ref'!$K$2:$K$33,MATCH(C15,'Catalog ref'!$A$2:$A$33,0))</f>
        <v>4.38</v>
      </c>
      <c r="O15" s="19" t="n">
        <f aca="false">INDEX('Catalog ref'!$M$2:$M$33,MATCH(C15,'Catalog ref'!$A$2:$A$33,0))</f>
        <v>1800</v>
      </c>
    </row>
    <row r="16" customFormat="false" ht="15" hidden="false" customHeight="true" outlineLevel="0" collapsed="false">
      <c r="A16" s="6" t="s">
        <v>36</v>
      </c>
      <c r="B16" s="6" t="n">
        <v>8</v>
      </c>
      <c r="C16" s="6" t="s">
        <v>298</v>
      </c>
      <c r="D16" s="16" t="str">
        <f aca="false">INDEX('Catalog ref'!$C$2:$C$33,MATCH(C16,'Catalog ref'!$A$2:$A$33,0))</f>
        <v>45-55 t (~105,000-108,000 lb)</v>
      </c>
      <c r="E16" s="17" t="n">
        <v>2</v>
      </c>
      <c r="F16" s="6" t="s">
        <v>291</v>
      </c>
      <c r="G16" s="6" t="s">
        <v>292</v>
      </c>
      <c r="H16" s="6"/>
      <c r="I16" s="6" t="s">
        <v>293</v>
      </c>
      <c r="J16" s="18" t="n">
        <f aca="false">IFERROR(INDEX('Catalog production'!$D$2:$D$15,MATCH(C16&amp;"|"&amp;I16,'Catalog production'!$A$2:$A$15,0))*1,"")</f>
        <v>510.90816</v>
      </c>
      <c r="K16" s="16" t="str">
        <f aca="false">IFERROR(INDEX('Catalog production'!$E$2:$E$15,MATCH(C16&amp;"|"&amp;I16,'Catalog production'!$A$2:$A$15,0))&amp;"","")</f>
        <v>BCY/hr</v>
      </c>
      <c r="L16" s="10" t="n">
        <f aca="false">IF(N(J16)=0,"",E16*J16*Settings!$B$2*IF(K16="LCY/hr",1/Settings!$B$3,1))</f>
        <v>10218.1632</v>
      </c>
      <c r="M16" s="19" t="n">
        <f aca="false">INDEX('Catalog ref'!$D$2:$D$33,MATCH(C16,'Catalog ref'!$A$2:$A$33,0))</f>
        <v>2250</v>
      </c>
      <c r="N16" s="20" t="n">
        <f aca="false">INDEX('Catalog ref'!$K$2:$K$33,MATCH(C16,'Catalog ref'!$A$2:$A$33,0))</f>
        <v>8.02</v>
      </c>
      <c r="O16" s="19" t="n">
        <f aca="false">INDEX('Catalog ref'!$M$2:$M$33,MATCH(C16,'Catalog ref'!$A$2:$A$33,0))</f>
        <v>1913</v>
      </c>
    </row>
    <row r="17" customFormat="false" ht="15" hidden="false" customHeight="true" outlineLevel="0" collapsed="false">
      <c r="A17" s="6" t="s">
        <v>36</v>
      </c>
      <c r="B17" s="6" t="n">
        <v>8</v>
      </c>
      <c r="C17" s="6" t="s">
        <v>296</v>
      </c>
      <c r="D17" s="16" t="str">
        <f aca="false">INDEX('Catalog ref'!$C$2:$C$33,MATCH(C17,'Catalog ref'!$A$2:$A$33,0))</f>
        <v>30 t payload</v>
      </c>
      <c r="E17" s="17" t="n">
        <v>6</v>
      </c>
      <c r="F17" s="6"/>
      <c r="G17" s="6"/>
      <c r="H17" s="6"/>
      <c r="I17" s="6"/>
      <c r="J17" s="6"/>
      <c r="K17" s="6"/>
      <c r="L17" s="6"/>
      <c r="M17" s="19" t="n">
        <f aca="false">INDEX('Catalog ref'!$D$2:$D$33,MATCH(C17,'Catalog ref'!$A$2:$A$33,0))</f>
        <v>2126</v>
      </c>
      <c r="N17" s="20" t="n">
        <f aca="false">INDEX('Catalog ref'!$K$2:$K$33,MATCH(C17,'Catalog ref'!$A$2:$A$33,0))</f>
        <v>4.38</v>
      </c>
      <c r="O17" s="19" t="n">
        <f aca="false">INDEX('Catalog ref'!$M$2:$M$33,MATCH(C17,'Catalog ref'!$A$2:$A$33,0))</f>
        <v>1800</v>
      </c>
    </row>
    <row r="18" customFormat="false" ht="15" hidden="false" customHeight="true" outlineLevel="0" collapsed="false">
      <c r="A18" s="6" t="s">
        <v>36</v>
      </c>
      <c r="B18" s="6" t="n">
        <v>9</v>
      </c>
      <c r="C18" s="6" t="s">
        <v>299</v>
      </c>
      <c r="D18" s="16" t="str">
        <f aca="false">INDEX('Catalog ref'!$C$2:$C$33,MATCH(C18,'Catalog ref'!$A$2:$A$33,0))</f>
        <v>65-75 t (~145,000-163,000 lb)</v>
      </c>
      <c r="E18" s="17" t="n">
        <v>2</v>
      </c>
      <c r="F18" s="6" t="s">
        <v>291</v>
      </c>
      <c r="G18" s="6" t="s">
        <v>292</v>
      </c>
      <c r="H18" s="6"/>
      <c r="I18" s="6" t="s">
        <v>293</v>
      </c>
      <c r="J18" s="18" t="n">
        <f aca="false">IFERROR(INDEX('Catalog production'!$D$2:$D$15,MATCH(C18&amp;"|"&amp;I18,'Catalog production'!$A$2:$A$15,0))*1,"")</f>
        <v>796.8</v>
      </c>
      <c r="K18" s="16" t="str">
        <f aca="false">IFERROR(INDEX('Catalog production'!$E$2:$E$15,MATCH(C18&amp;"|"&amp;I18,'Catalog production'!$A$2:$A$15,0))&amp;"","")</f>
        <v>BCY/hr</v>
      </c>
      <c r="L18" s="10" t="n">
        <f aca="false">IF(N(J18)=0,"",E18*J18*Settings!$B$2*IF(K18="LCY/hr",1/Settings!$B$3,1))</f>
        <v>15936</v>
      </c>
      <c r="M18" s="19" t="n">
        <f aca="false">INDEX('Catalog ref'!$D$2:$D$33,MATCH(C18,'Catalog ref'!$A$2:$A$33,0))</f>
        <v>3950</v>
      </c>
      <c r="N18" s="20" t="n">
        <f aca="false">INDEX('Catalog ref'!$K$2:$K$33,MATCH(C18,'Catalog ref'!$A$2:$A$33,0))</f>
        <v>9.95</v>
      </c>
      <c r="O18" s="19" t="n">
        <f aca="false">INDEX('Catalog ref'!$M$2:$M$33,MATCH(C18,'Catalog ref'!$A$2:$A$33,0))</f>
        <v>1913</v>
      </c>
    </row>
    <row r="19" customFormat="false" ht="15" hidden="false" customHeight="true" outlineLevel="0" collapsed="false">
      <c r="A19" s="6" t="s">
        <v>36</v>
      </c>
      <c r="B19" s="6" t="n">
        <v>9</v>
      </c>
      <c r="C19" s="6" t="s">
        <v>296</v>
      </c>
      <c r="D19" s="16" t="str">
        <f aca="false">INDEX('Catalog ref'!$C$2:$C$33,MATCH(C19,'Catalog ref'!$A$2:$A$33,0))</f>
        <v>30 t payload</v>
      </c>
      <c r="E19" s="17" t="n">
        <v>9</v>
      </c>
      <c r="F19" s="6"/>
      <c r="G19" s="6"/>
      <c r="H19" s="6"/>
      <c r="I19" s="6"/>
      <c r="J19" s="6"/>
      <c r="K19" s="6"/>
      <c r="L19" s="6"/>
      <c r="M19" s="19" t="n">
        <f aca="false">INDEX('Catalog ref'!$D$2:$D$33,MATCH(C19,'Catalog ref'!$A$2:$A$33,0))</f>
        <v>2126</v>
      </c>
      <c r="N19" s="20" t="n">
        <f aca="false">INDEX('Catalog ref'!$K$2:$K$33,MATCH(C19,'Catalog ref'!$A$2:$A$33,0))</f>
        <v>4.38</v>
      </c>
      <c r="O19" s="19" t="n">
        <f aca="false">INDEX('Catalog ref'!$M$2:$M$33,MATCH(C19,'Catalog ref'!$A$2:$A$33,0))</f>
        <v>1800</v>
      </c>
    </row>
    <row r="20" customFormat="false" ht="15" hidden="false" customHeight="true" outlineLevel="0" collapsed="false">
      <c r="A20" s="6" t="s">
        <v>41</v>
      </c>
      <c r="B20" s="6" t="n">
        <v>1</v>
      </c>
      <c r="C20" s="6" t="s">
        <v>295</v>
      </c>
      <c r="D20" s="16" t="str">
        <f aca="false">INDEX('Catalog ref'!$C$2:$C$33,MATCH(C20,'Catalog ref'!$A$2:$A$33,0))</f>
        <v>20-25 t (~48,500-62,800 lb)</v>
      </c>
      <c r="E20" s="17" t="n">
        <v>1</v>
      </c>
      <c r="F20" s="6" t="s">
        <v>291</v>
      </c>
      <c r="G20" s="6" t="s">
        <v>292</v>
      </c>
      <c r="H20" s="6"/>
      <c r="I20" s="6" t="s">
        <v>293</v>
      </c>
      <c r="J20" s="18" t="n">
        <f aca="false">IFERROR(INDEX('Catalog production'!$D$2:$D$15,MATCH(C20&amp;"|"&amp;I20,'Catalog production'!$A$2:$A$15,0))*1,"")</f>
        <v>163.344</v>
      </c>
      <c r="K20" s="16" t="str">
        <f aca="false">IFERROR(INDEX('Catalog production'!$E$2:$E$15,MATCH(C20&amp;"|"&amp;I20,'Catalog production'!$A$2:$A$15,0))&amp;"","")</f>
        <v>BCY/hr</v>
      </c>
      <c r="L20" s="10" t="n">
        <f aca="false">IF(N(J20)=0,"",E20*J20*Settings!$B$2*IF(K20="LCY/hr",1/Settings!$B$3,1))</f>
        <v>1633.44</v>
      </c>
      <c r="M20" s="19" t="n">
        <f aca="false">INDEX('Catalog ref'!$D$2:$D$33,MATCH(C20,'Catalog ref'!$A$2:$A$33,0))</f>
        <v>1040</v>
      </c>
      <c r="N20" s="20" t="n">
        <f aca="false">INDEX('Catalog ref'!$K$2:$K$33,MATCH(C20,'Catalog ref'!$A$2:$A$33,0))</f>
        <v>2.78</v>
      </c>
      <c r="O20" s="19" t="n">
        <f aca="false">INDEX('Catalog ref'!$M$2:$M$33,MATCH(C20,'Catalog ref'!$A$2:$A$33,0))</f>
        <v>550</v>
      </c>
    </row>
    <row r="21" customFormat="false" ht="15" hidden="false" customHeight="true" outlineLevel="0" collapsed="false">
      <c r="A21" s="6" t="s">
        <v>41</v>
      </c>
      <c r="B21" s="6" t="n">
        <v>2</v>
      </c>
      <c r="C21" s="6" t="s">
        <v>297</v>
      </c>
      <c r="D21" s="16" t="str">
        <f aca="false">INDEX('Catalog ref'!$C$2:$C$33,MATCH(C21,'Catalog ref'!$A$2:$A$33,0))</f>
        <v>30-36 t (~68,000-81,000 lb)</v>
      </c>
      <c r="E21" s="17" t="n">
        <v>1</v>
      </c>
      <c r="F21" s="6" t="s">
        <v>291</v>
      </c>
      <c r="G21" s="6" t="s">
        <v>292</v>
      </c>
      <c r="H21" s="6"/>
      <c r="I21" s="6" t="s">
        <v>293</v>
      </c>
      <c r="J21" s="18" t="n">
        <f aca="false">IFERROR(INDEX('Catalog production'!$D$2:$D$15,MATCH(C21&amp;"|"&amp;I21,'Catalog production'!$A$2:$A$15,0))*1,"")</f>
        <v>310.752</v>
      </c>
      <c r="K21" s="16" t="str">
        <f aca="false">IFERROR(INDEX('Catalog production'!$E$2:$E$15,MATCH(C21&amp;"|"&amp;I21,'Catalog production'!$A$2:$A$15,0))&amp;"","")</f>
        <v>BCY/hr</v>
      </c>
      <c r="L21" s="10" t="n">
        <f aca="false">IF(N(J21)=0,"",E21*J21*Settings!$B$2*IF(K21="LCY/hr",1/Settings!$B$3,1))</f>
        <v>3107.52</v>
      </c>
      <c r="M21" s="19" t="n">
        <f aca="false">INDEX('Catalog ref'!$D$2:$D$33,MATCH(C21,'Catalog ref'!$A$2:$A$33,0))</f>
        <v>1424</v>
      </c>
      <c r="N21" s="20" t="n">
        <f aca="false">INDEX('Catalog ref'!$K$2:$K$33,MATCH(C21,'Catalog ref'!$A$2:$A$33,0))</f>
        <v>4.5</v>
      </c>
      <c r="O21" s="19" t="n">
        <f aca="false">INDEX('Catalog ref'!$M$2:$M$33,MATCH(C21,'Catalog ref'!$A$2:$A$33,0))</f>
        <v>1800</v>
      </c>
    </row>
    <row r="22" customFormat="false" ht="15" hidden="false" customHeight="true" outlineLevel="0" collapsed="false">
      <c r="A22" s="6" t="s">
        <v>41</v>
      </c>
      <c r="B22" s="6" t="n">
        <v>3</v>
      </c>
      <c r="C22" s="6" t="s">
        <v>298</v>
      </c>
      <c r="D22" s="16" t="str">
        <f aca="false">INDEX('Catalog ref'!$C$2:$C$33,MATCH(C22,'Catalog ref'!$A$2:$A$33,0))</f>
        <v>45-55 t (~105,000-108,000 lb)</v>
      </c>
      <c r="E22" s="17" t="n">
        <v>1</v>
      </c>
      <c r="F22" s="6" t="s">
        <v>291</v>
      </c>
      <c r="G22" s="6" t="s">
        <v>292</v>
      </c>
      <c r="H22" s="6"/>
      <c r="I22" s="6" t="s">
        <v>293</v>
      </c>
      <c r="J22" s="18" t="n">
        <f aca="false">IFERROR(INDEX('Catalog production'!$D$2:$D$15,MATCH(C22&amp;"|"&amp;I22,'Catalog production'!$A$2:$A$15,0))*1,"")</f>
        <v>510.90816</v>
      </c>
      <c r="K22" s="16" t="str">
        <f aca="false">IFERROR(INDEX('Catalog production'!$E$2:$E$15,MATCH(C22&amp;"|"&amp;I22,'Catalog production'!$A$2:$A$15,0))&amp;"","")</f>
        <v>BCY/hr</v>
      </c>
      <c r="L22" s="10" t="n">
        <f aca="false">IF(N(J22)=0,"",E22*J22*Settings!$B$2*IF(K22="LCY/hr",1/Settings!$B$3,1))</f>
        <v>5109.0816</v>
      </c>
      <c r="M22" s="19" t="n">
        <f aca="false">INDEX('Catalog ref'!$D$2:$D$33,MATCH(C22,'Catalog ref'!$A$2:$A$33,0))</f>
        <v>2250</v>
      </c>
      <c r="N22" s="20" t="n">
        <f aca="false">INDEX('Catalog ref'!$K$2:$K$33,MATCH(C22,'Catalog ref'!$A$2:$A$33,0))</f>
        <v>8.02</v>
      </c>
      <c r="O22" s="19" t="n">
        <f aca="false">INDEX('Catalog ref'!$M$2:$M$33,MATCH(C22,'Catalog ref'!$A$2:$A$33,0))</f>
        <v>1913</v>
      </c>
    </row>
    <row r="23" customFormat="false" ht="15" hidden="false" customHeight="true" outlineLevel="0" collapsed="false">
      <c r="A23" s="6" t="s">
        <v>41</v>
      </c>
      <c r="B23" s="6" t="n">
        <v>4</v>
      </c>
      <c r="C23" s="6" t="s">
        <v>298</v>
      </c>
      <c r="D23" s="16" t="str">
        <f aca="false">INDEX('Catalog ref'!$C$2:$C$33,MATCH(C23,'Catalog ref'!$A$2:$A$33,0))</f>
        <v>45-55 t (~105,000-108,000 lb)</v>
      </c>
      <c r="E23" s="17" t="n">
        <v>2</v>
      </c>
      <c r="F23" s="6" t="s">
        <v>291</v>
      </c>
      <c r="G23" s="6" t="s">
        <v>292</v>
      </c>
      <c r="H23" s="6"/>
      <c r="I23" s="6" t="s">
        <v>293</v>
      </c>
      <c r="J23" s="18" t="n">
        <f aca="false">IFERROR(INDEX('Catalog production'!$D$2:$D$15,MATCH(C23&amp;"|"&amp;I23,'Catalog production'!$A$2:$A$15,0))*1,"")</f>
        <v>510.90816</v>
      </c>
      <c r="K23" s="16" t="str">
        <f aca="false">IFERROR(INDEX('Catalog production'!$E$2:$E$15,MATCH(C23&amp;"|"&amp;I23,'Catalog production'!$A$2:$A$15,0))&amp;"","")</f>
        <v>BCY/hr</v>
      </c>
      <c r="L23" s="10" t="n">
        <f aca="false">IF(N(J23)=0,"",E23*J23*Settings!$B$2*IF(K23="LCY/hr",1/Settings!$B$3,1))</f>
        <v>10218.1632</v>
      </c>
      <c r="M23" s="19" t="n">
        <f aca="false">INDEX('Catalog ref'!$D$2:$D$33,MATCH(C23,'Catalog ref'!$A$2:$A$33,0))</f>
        <v>2250</v>
      </c>
      <c r="N23" s="20" t="n">
        <f aca="false">INDEX('Catalog ref'!$K$2:$K$33,MATCH(C23,'Catalog ref'!$A$2:$A$33,0))</f>
        <v>8.02</v>
      </c>
      <c r="O23" s="19" t="n">
        <f aca="false">INDEX('Catalog ref'!$M$2:$M$33,MATCH(C23,'Catalog ref'!$A$2:$A$33,0))</f>
        <v>1913</v>
      </c>
    </row>
    <row r="24" customFormat="false" ht="15" hidden="false" customHeight="true" outlineLevel="0" collapsed="false">
      <c r="A24" s="6" t="s">
        <v>45</v>
      </c>
      <c r="B24" s="6" t="n">
        <v>1</v>
      </c>
      <c r="C24" s="6" t="s">
        <v>300</v>
      </c>
      <c r="D24" s="16" t="str">
        <f aca="false">INDEX('Catalog ref'!$C$2:$C$33,MATCH(C24,'Catalog ref'!$A$2:$A$33,0))</f>
        <v>D3 class (~100-104 hp, 20-24k lb)</v>
      </c>
      <c r="E24" s="17" t="n">
        <v>1</v>
      </c>
      <c r="F24" s="6" t="s">
        <v>291</v>
      </c>
      <c r="G24" s="6"/>
      <c r="H24" s="6"/>
      <c r="I24" s="6"/>
      <c r="J24" s="6"/>
      <c r="K24" s="6"/>
      <c r="L24" s="6"/>
      <c r="M24" s="19" t="n">
        <f aca="false">INDEX('Catalog ref'!$D$2:$D$33,MATCH(C24,'Catalog ref'!$A$2:$A$33,0))</f>
        <v>875</v>
      </c>
      <c r="N24" s="20" t="n">
        <f aca="false">INDEX('Catalog ref'!$K$2:$K$33,MATCH(C24,'Catalog ref'!$A$2:$A$33,0))</f>
        <v>1.93</v>
      </c>
      <c r="O24" s="19" t="n">
        <f aca="false">INDEX('Catalog ref'!$M$2:$M$33,MATCH(C24,'Catalog ref'!$A$2:$A$33,0))</f>
        <v>550</v>
      </c>
    </row>
    <row r="25" customFormat="false" ht="23.25" hidden="false" customHeight="true" outlineLevel="0" collapsed="false">
      <c r="A25" s="6" t="s">
        <v>45</v>
      </c>
      <c r="B25" s="6" t="n">
        <v>1</v>
      </c>
      <c r="C25" s="6" t="s">
        <v>301</v>
      </c>
      <c r="D25" s="16" t="str">
        <f aca="false">INDEX('Catalog ref'!$C$2:$C$33,MATCH(C25,'Catalog ref'!$A$2:$A$33,0))</f>
        <v>84 in smooth</v>
      </c>
      <c r="E25" s="17" t="n">
        <v>1</v>
      </c>
      <c r="F25" s="6"/>
      <c r="G25" s="6" t="s">
        <v>292</v>
      </c>
      <c r="H25" s="6"/>
      <c r="I25" s="6" t="s">
        <v>302</v>
      </c>
      <c r="J25" s="18" t="n">
        <f aca="false">IFERROR(INDEX('Catalog production'!$D$2:$D$15,MATCH(C25&amp;"|"&amp;I25,'Catalog production'!$A$2:$A$15,0))*1,"")</f>
        <v>265.1684</v>
      </c>
      <c r="K25" s="16" t="str">
        <f aca="false">IFERROR(INDEX('Catalog production'!$E$2:$E$15,MATCH(C25&amp;"|"&amp;I25,'Catalog production'!$A$2:$A$15,0))&amp;"","")</f>
        <v>CCY/hr</v>
      </c>
      <c r="L25" s="10" t="n">
        <f aca="false">IF(N(J25)=0,"",E25*J25*Settings!$B$2*1)</f>
        <v>2651.684</v>
      </c>
      <c r="M25" s="19" t="n">
        <f aca="false">INDEX('Catalog ref'!$D$2:$D$33,MATCH(C25,'Catalog ref'!$A$2:$A$33,0))</f>
        <v>700</v>
      </c>
      <c r="N25" s="20" t="n">
        <f aca="false">INDEX('Catalog ref'!$K$2:$K$33,MATCH(C25,'Catalog ref'!$A$2:$A$33,0))</f>
        <v>2.91</v>
      </c>
      <c r="O25" s="19" t="n">
        <f aca="false">INDEX('Catalog ref'!$M$2:$M$33,MATCH(C25,'Catalog ref'!$A$2:$A$33,0))</f>
        <v>550</v>
      </c>
    </row>
    <row r="26" customFormat="false" ht="15" hidden="false" customHeight="true" outlineLevel="0" collapsed="false">
      <c r="A26" s="6" t="s">
        <v>45</v>
      </c>
      <c r="B26" s="6" t="n">
        <v>1</v>
      </c>
      <c r="C26" s="6" t="s">
        <v>303</v>
      </c>
      <c r="D26" s="16" t="str">
        <f aca="false">INDEX('Catalog ref'!$C$2:$C$33,MATCH(C26,'Catalog ref'!$A$2:$A$33,0))</f>
        <v>4,000 gal (6x4)</v>
      </c>
      <c r="E26" s="17" t="n">
        <v>0.25</v>
      </c>
      <c r="F26" s="6"/>
      <c r="G26" s="6"/>
      <c r="H26" s="6" t="s">
        <v>291</v>
      </c>
      <c r="I26" s="6"/>
      <c r="J26" s="6"/>
      <c r="K26" s="6"/>
      <c r="L26" s="6"/>
      <c r="M26" s="19" t="n">
        <f aca="false">INDEX('Catalog ref'!$D$2:$D$33,MATCH(C26,'Catalog ref'!$A$2:$A$33,0))</f>
        <v>1057</v>
      </c>
      <c r="N26" s="20" t="n">
        <f aca="false">INDEX('Catalog ref'!$K$2:$K$33,MATCH(C26,'Catalog ref'!$A$2:$A$33,0))</f>
        <v>0</v>
      </c>
      <c r="O26" s="19" t="n">
        <f aca="false">INDEX('Catalog ref'!$M$2:$M$33,MATCH(C26,'Catalog ref'!$A$2:$A$33,0))</f>
        <v>0</v>
      </c>
    </row>
    <row r="27" customFormat="false" ht="15" hidden="false" customHeight="true" outlineLevel="0" collapsed="false">
      <c r="A27" s="6" t="s">
        <v>45</v>
      </c>
      <c r="B27" s="6" t="n">
        <v>2</v>
      </c>
      <c r="C27" s="6" t="s">
        <v>304</v>
      </c>
      <c r="D27" s="16" t="str">
        <f aca="false">INDEX('Catalog ref'!$C$2:$C$33,MATCH(C27,'Catalog ref'!$A$2:$A$33,0))</f>
        <v>D5 class (~170 hp, ~40k lb)</v>
      </c>
      <c r="E27" s="17" t="n">
        <v>1</v>
      </c>
      <c r="F27" s="6" t="s">
        <v>291</v>
      </c>
      <c r="G27" s="6"/>
      <c r="H27" s="6"/>
      <c r="I27" s="6"/>
      <c r="J27" s="6"/>
      <c r="K27" s="6"/>
      <c r="L27" s="6"/>
      <c r="M27" s="19" t="n">
        <f aca="false">INDEX('Catalog ref'!$D$2:$D$33,MATCH(C27,'Catalog ref'!$A$2:$A$33,0))</f>
        <v>1554</v>
      </c>
      <c r="N27" s="20" t="n">
        <f aca="false">INDEX('Catalog ref'!$K$2:$K$33,MATCH(C27,'Catalog ref'!$A$2:$A$33,0))</f>
        <v>4.12</v>
      </c>
      <c r="O27" s="19" t="n">
        <f aca="false">INDEX('Catalog ref'!$M$2:$M$33,MATCH(C27,'Catalog ref'!$A$2:$A$33,0))</f>
        <v>550</v>
      </c>
    </row>
    <row r="28" customFormat="false" ht="23.25" hidden="false" customHeight="true" outlineLevel="0" collapsed="false">
      <c r="A28" s="6" t="s">
        <v>45</v>
      </c>
      <c r="B28" s="6" t="n">
        <v>2</v>
      </c>
      <c r="C28" s="6" t="s">
        <v>301</v>
      </c>
      <c r="D28" s="16" t="str">
        <f aca="false">INDEX('Catalog ref'!$C$2:$C$33,MATCH(C28,'Catalog ref'!$A$2:$A$33,0))</f>
        <v>84 in smooth</v>
      </c>
      <c r="E28" s="17" t="n">
        <v>1</v>
      </c>
      <c r="F28" s="6"/>
      <c r="G28" s="6" t="s">
        <v>292</v>
      </c>
      <c r="H28" s="6"/>
      <c r="I28" s="6" t="s">
        <v>302</v>
      </c>
      <c r="J28" s="18" t="n">
        <f aca="false">IFERROR(INDEX('Catalog production'!$D$2:$D$15,MATCH(C28&amp;"|"&amp;I28,'Catalog production'!$A$2:$A$15,0))*1,"")</f>
        <v>265.1684</v>
      </c>
      <c r="K28" s="16" t="str">
        <f aca="false">IFERROR(INDEX('Catalog production'!$E$2:$E$15,MATCH(C28&amp;"|"&amp;I28,'Catalog production'!$A$2:$A$15,0))&amp;"","")</f>
        <v>CCY/hr</v>
      </c>
      <c r="L28" s="10" t="n">
        <f aca="false">IF(N(J28)=0,"",E28*J28*Settings!$B$2*1)</f>
        <v>2651.684</v>
      </c>
      <c r="M28" s="19" t="n">
        <f aca="false">INDEX('Catalog ref'!$D$2:$D$33,MATCH(C28,'Catalog ref'!$A$2:$A$33,0))</f>
        <v>700</v>
      </c>
      <c r="N28" s="20" t="n">
        <f aca="false">INDEX('Catalog ref'!$K$2:$K$33,MATCH(C28,'Catalog ref'!$A$2:$A$33,0))</f>
        <v>2.91</v>
      </c>
      <c r="O28" s="19" t="n">
        <f aca="false">INDEX('Catalog ref'!$M$2:$M$33,MATCH(C28,'Catalog ref'!$A$2:$A$33,0))</f>
        <v>550</v>
      </c>
    </row>
    <row r="29" customFormat="false" ht="15" hidden="false" customHeight="true" outlineLevel="0" collapsed="false">
      <c r="A29" s="6" t="s">
        <v>45</v>
      </c>
      <c r="B29" s="6" t="n">
        <v>2</v>
      </c>
      <c r="C29" s="6" t="s">
        <v>303</v>
      </c>
      <c r="D29" s="16" t="str">
        <f aca="false">INDEX('Catalog ref'!$C$2:$C$33,MATCH(C29,'Catalog ref'!$A$2:$A$33,0))</f>
        <v>4,000 gal (6x4)</v>
      </c>
      <c r="E29" s="17" t="n">
        <v>0.5</v>
      </c>
      <c r="F29" s="6"/>
      <c r="G29" s="6"/>
      <c r="H29" s="6" t="s">
        <v>291</v>
      </c>
      <c r="I29" s="6"/>
      <c r="J29" s="6"/>
      <c r="K29" s="6"/>
      <c r="L29" s="6"/>
      <c r="M29" s="19" t="n">
        <f aca="false">INDEX('Catalog ref'!$D$2:$D$33,MATCH(C29,'Catalog ref'!$A$2:$A$33,0))</f>
        <v>1057</v>
      </c>
      <c r="N29" s="20" t="n">
        <f aca="false">INDEX('Catalog ref'!$K$2:$K$33,MATCH(C29,'Catalog ref'!$A$2:$A$33,0))</f>
        <v>0</v>
      </c>
      <c r="O29" s="19" t="n">
        <f aca="false">INDEX('Catalog ref'!$M$2:$M$33,MATCH(C29,'Catalog ref'!$A$2:$A$33,0))</f>
        <v>0</v>
      </c>
    </row>
    <row r="30" customFormat="false" ht="15" hidden="false" customHeight="true" outlineLevel="0" collapsed="false">
      <c r="A30" s="6" t="s">
        <v>45</v>
      </c>
      <c r="B30" s="6" t="n">
        <v>3</v>
      </c>
      <c r="C30" s="6" t="s">
        <v>305</v>
      </c>
      <c r="D30" s="16" t="str">
        <f aca="false">INDEX('Catalog ref'!$C$2:$C$33,MATCH(C30,'Catalog ref'!$A$2:$A$33,0))</f>
        <v>D6 class (~215-240 hp, ~50k lb)</v>
      </c>
      <c r="E30" s="17" t="n">
        <v>1</v>
      </c>
      <c r="F30" s="6" t="s">
        <v>291</v>
      </c>
      <c r="G30" s="6"/>
      <c r="H30" s="6"/>
      <c r="I30" s="6"/>
      <c r="J30" s="6"/>
      <c r="K30" s="6"/>
      <c r="L30" s="6"/>
      <c r="M30" s="19" t="n">
        <f aca="false">INDEX('Catalog ref'!$D$2:$D$33,MATCH(C30,'Catalog ref'!$A$2:$A$33,0))</f>
        <v>2111</v>
      </c>
      <c r="N30" s="20" t="n">
        <f aca="false">INDEX('Catalog ref'!$K$2:$K$33,MATCH(C30,'Catalog ref'!$A$2:$A$33,0))</f>
        <v>4.82</v>
      </c>
      <c r="O30" s="19" t="n">
        <f aca="false">INDEX('Catalog ref'!$M$2:$M$33,MATCH(C30,'Catalog ref'!$A$2:$A$33,0))</f>
        <v>550</v>
      </c>
    </row>
    <row r="31" customFormat="false" ht="23.25" hidden="false" customHeight="true" outlineLevel="0" collapsed="false">
      <c r="A31" s="6" t="s">
        <v>45</v>
      </c>
      <c r="B31" s="6" t="n">
        <v>3</v>
      </c>
      <c r="C31" s="6" t="s">
        <v>301</v>
      </c>
      <c r="D31" s="16" t="str">
        <f aca="false">INDEX('Catalog ref'!$C$2:$C$33,MATCH(C31,'Catalog ref'!$A$2:$A$33,0))</f>
        <v>84 in smooth</v>
      </c>
      <c r="E31" s="17" t="n">
        <v>1</v>
      </c>
      <c r="F31" s="6"/>
      <c r="G31" s="6" t="s">
        <v>292</v>
      </c>
      <c r="H31" s="6"/>
      <c r="I31" s="6" t="s">
        <v>302</v>
      </c>
      <c r="J31" s="18" t="n">
        <f aca="false">IFERROR(INDEX('Catalog production'!$D$2:$D$15,MATCH(C31&amp;"|"&amp;I31,'Catalog production'!$A$2:$A$15,0))*1,"")</f>
        <v>265.1684</v>
      </c>
      <c r="K31" s="16" t="str">
        <f aca="false">IFERROR(INDEX('Catalog production'!$E$2:$E$15,MATCH(C31&amp;"|"&amp;I31,'Catalog production'!$A$2:$A$15,0))&amp;"","")</f>
        <v>CCY/hr</v>
      </c>
      <c r="L31" s="10" t="n">
        <f aca="false">IF(N(J31)=0,"",E31*J31*Settings!$B$2*1)</f>
        <v>2651.684</v>
      </c>
      <c r="M31" s="19" t="n">
        <f aca="false">INDEX('Catalog ref'!$D$2:$D$33,MATCH(C31,'Catalog ref'!$A$2:$A$33,0))</f>
        <v>700</v>
      </c>
      <c r="N31" s="20" t="n">
        <f aca="false">INDEX('Catalog ref'!$K$2:$K$33,MATCH(C31,'Catalog ref'!$A$2:$A$33,0))</f>
        <v>2.91</v>
      </c>
      <c r="O31" s="19" t="n">
        <f aca="false">INDEX('Catalog ref'!$M$2:$M$33,MATCH(C31,'Catalog ref'!$A$2:$A$33,0))</f>
        <v>550</v>
      </c>
    </row>
    <row r="32" customFormat="false" ht="15" hidden="false" customHeight="true" outlineLevel="0" collapsed="false">
      <c r="A32" s="6" t="s">
        <v>45</v>
      </c>
      <c r="B32" s="6" t="n">
        <v>3</v>
      </c>
      <c r="C32" s="6" t="s">
        <v>303</v>
      </c>
      <c r="D32" s="16" t="str">
        <f aca="false">INDEX('Catalog ref'!$C$2:$C$33,MATCH(C32,'Catalog ref'!$A$2:$A$33,0))</f>
        <v>4,000 gal (6x4)</v>
      </c>
      <c r="E32" s="17" t="n">
        <v>0.5</v>
      </c>
      <c r="F32" s="6"/>
      <c r="G32" s="6"/>
      <c r="H32" s="6" t="s">
        <v>291</v>
      </c>
      <c r="I32" s="6"/>
      <c r="J32" s="6"/>
      <c r="K32" s="6"/>
      <c r="L32" s="6"/>
      <c r="M32" s="19" t="n">
        <f aca="false">INDEX('Catalog ref'!$D$2:$D$33,MATCH(C32,'Catalog ref'!$A$2:$A$33,0))</f>
        <v>1057</v>
      </c>
      <c r="N32" s="20" t="n">
        <f aca="false">INDEX('Catalog ref'!$K$2:$K$33,MATCH(C32,'Catalog ref'!$A$2:$A$33,0))</f>
        <v>0</v>
      </c>
      <c r="O32" s="19" t="n">
        <f aca="false">INDEX('Catalog ref'!$M$2:$M$33,MATCH(C32,'Catalog ref'!$A$2:$A$33,0))</f>
        <v>0</v>
      </c>
    </row>
    <row r="33" customFormat="false" ht="15" hidden="false" customHeight="true" outlineLevel="0" collapsed="false">
      <c r="A33" s="6" t="s">
        <v>45</v>
      </c>
      <c r="B33" s="6" t="n">
        <v>4</v>
      </c>
      <c r="C33" s="6" t="s">
        <v>305</v>
      </c>
      <c r="D33" s="16" t="str">
        <f aca="false">INDEX('Catalog ref'!$C$2:$C$33,MATCH(C33,'Catalog ref'!$A$2:$A$33,0))</f>
        <v>D6 class (~215-240 hp, ~50k lb)</v>
      </c>
      <c r="E33" s="17" t="n">
        <v>1</v>
      </c>
      <c r="F33" s="6" t="s">
        <v>291</v>
      </c>
      <c r="G33" s="6"/>
      <c r="H33" s="6"/>
      <c r="I33" s="6"/>
      <c r="J33" s="6"/>
      <c r="K33" s="6"/>
      <c r="L33" s="6"/>
      <c r="M33" s="19" t="n">
        <f aca="false">INDEX('Catalog ref'!$D$2:$D$33,MATCH(C33,'Catalog ref'!$A$2:$A$33,0))</f>
        <v>2111</v>
      </c>
      <c r="N33" s="20" t="n">
        <f aca="false">INDEX('Catalog ref'!$K$2:$K$33,MATCH(C33,'Catalog ref'!$A$2:$A$33,0))</f>
        <v>4.82</v>
      </c>
      <c r="O33" s="19" t="n">
        <f aca="false">INDEX('Catalog ref'!$M$2:$M$33,MATCH(C33,'Catalog ref'!$A$2:$A$33,0))</f>
        <v>550</v>
      </c>
    </row>
    <row r="34" customFormat="false" ht="15" hidden="false" customHeight="true" outlineLevel="0" collapsed="false">
      <c r="A34" s="6" t="s">
        <v>45</v>
      </c>
      <c r="B34" s="6" t="n">
        <v>4</v>
      </c>
      <c r="C34" s="6" t="s">
        <v>306</v>
      </c>
      <c r="D34" s="16" t="str">
        <f aca="false">INDEX('Catalog ref'!$C$2:$C$33,MATCH(C34,'Catalog ref'!$A$2:$A$33,0))</f>
        <v>GPS/machine-control kit for dozer</v>
      </c>
      <c r="E34" s="17" t="n">
        <v>1</v>
      </c>
      <c r="F34" s="6"/>
      <c r="G34" s="6"/>
      <c r="H34" s="6"/>
      <c r="I34" s="6"/>
      <c r="J34" s="6"/>
      <c r="K34" s="6"/>
      <c r="L34" s="6"/>
      <c r="M34" s="19" t="n">
        <f aca="false">INDEX('Catalog ref'!$D$2:$D$33,MATCH(C34,'Catalog ref'!$A$2:$A$33,0))</f>
        <v>560</v>
      </c>
      <c r="N34" s="20" t="n">
        <f aca="false">INDEX('Catalog ref'!$K$2:$K$33,MATCH(C34,'Catalog ref'!$A$2:$A$33,0))</f>
        <v>0</v>
      </c>
      <c r="O34" s="19" t="n">
        <f aca="false">INDEX('Catalog ref'!$M$2:$M$33,MATCH(C34,'Catalog ref'!$A$2:$A$33,0))</f>
        <v>400</v>
      </c>
    </row>
    <row r="35" customFormat="false" ht="15" hidden="false" customHeight="true" outlineLevel="0" collapsed="false">
      <c r="A35" s="6" t="s">
        <v>45</v>
      </c>
      <c r="B35" s="6" t="n">
        <v>4</v>
      </c>
      <c r="C35" s="6" t="s">
        <v>304</v>
      </c>
      <c r="D35" s="16" t="str">
        <f aca="false">INDEX('Catalog ref'!$C$2:$C$33,MATCH(C35,'Catalog ref'!$A$2:$A$33,0))</f>
        <v>D5 class (~170 hp, ~40k lb)</v>
      </c>
      <c r="E35" s="17" t="n">
        <v>1</v>
      </c>
      <c r="F35" s="6"/>
      <c r="G35" s="6"/>
      <c r="H35" s="6"/>
      <c r="I35" s="6"/>
      <c r="J35" s="6"/>
      <c r="K35" s="6"/>
      <c r="L35" s="6"/>
      <c r="M35" s="19" t="n">
        <f aca="false">INDEX('Catalog ref'!$D$2:$D$33,MATCH(C35,'Catalog ref'!$A$2:$A$33,0))</f>
        <v>1554</v>
      </c>
      <c r="N35" s="20" t="n">
        <f aca="false">INDEX('Catalog ref'!$K$2:$K$33,MATCH(C35,'Catalog ref'!$A$2:$A$33,0))</f>
        <v>4.12</v>
      </c>
      <c r="O35" s="19" t="n">
        <f aca="false">INDEX('Catalog ref'!$M$2:$M$33,MATCH(C35,'Catalog ref'!$A$2:$A$33,0))</f>
        <v>550</v>
      </c>
    </row>
    <row r="36" customFormat="false" ht="23.25" hidden="false" customHeight="true" outlineLevel="0" collapsed="false">
      <c r="A36" s="6" t="s">
        <v>45</v>
      </c>
      <c r="B36" s="6" t="n">
        <v>4</v>
      </c>
      <c r="C36" s="6" t="s">
        <v>301</v>
      </c>
      <c r="D36" s="16" t="str">
        <f aca="false">INDEX('Catalog ref'!$C$2:$C$33,MATCH(C36,'Catalog ref'!$A$2:$A$33,0))</f>
        <v>84 in smooth</v>
      </c>
      <c r="E36" s="17" t="n">
        <v>1</v>
      </c>
      <c r="F36" s="6"/>
      <c r="G36" s="6" t="s">
        <v>292</v>
      </c>
      <c r="H36" s="6"/>
      <c r="I36" s="6" t="s">
        <v>302</v>
      </c>
      <c r="J36" s="18" t="n">
        <f aca="false">IFERROR(INDEX('Catalog production'!$D$2:$D$15,MATCH(C36&amp;"|"&amp;I36,'Catalog production'!$A$2:$A$15,0))*1,"")</f>
        <v>265.1684</v>
      </c>
      <c r="K36" s="16" t="str">
        <f aca="false">IFERROR(INDEX('Catalog production'!$E$2:$E$15,MATCH(C36&amp;"|"&amp;I36,'Catalog production'!$A$2:$A$15,0))&amp;"","")</f>
        <v>CCY/hr</v>
      </c>
      <c r="L36" s="10" t="n">
        <f aca="false">IF(N(J36)=0,"",E36*J36*Settings!$B$2*1)</f>
        <v>2651.684</v>
      </c>
      <c r="M36" s="19" t="n">
        <f aca="false">INDEX('Catalog ref'!$D$2:$D$33,MATCH(C36,'Catalog ref'!$A$2:$A$33,0))</f>
        <v>700</v>
      </c>
      <c r="N36" s="20" t="n">
        <f aca="false">INDEX('Catalog ref'!$K$2:$K$33,MATCH(C36,'Catalog ref'!$A$2:$A$33,0))</f>
        <v>2.91</v>
      </c>
      <c r="O36" s="19" t="n">
        <f aca="false">INDEX('Catalog ref'!$M$2:$M$33,MATCH(C36,'Catalog ref'!$A$2:$A$33,0))</f>
        <v>550</v>
      </c>
    </row>
    <row r="37" customFormat="false" ht="15" hidden="false" customHeight="true" outlineLevel="0" collapsed="false">
      <c r="A37" s="6" t="s">
        <v>45</v>
      </c>
      <c r="B37" s="6" t="n">
        <v>4</v>
      </c>
      <c r="C37" s="6" t="s">
        <v>303</v>
      </c>
      <c r="D37" s="16" t="str">
        <f aca="false">INDEX('Catalog ref'!$C$2:$C$33,MATCH(C37,'Catalog ref'!$A$2:$A$33,0))</f>
        <v>4,000 gal (6x4)</v>
      </c>
      <c r="E37" s="17" t="n">
        <v>0.5</v>
      </c>
      <c r="F37" s="6"/>
      <c r="G37" s="6"/>
      <c r="H37" s="6" t="s">
        <v>291</v>
      </c>
      <c r="I37" s="6"/>
      <c r="J37" s="6"/>
      <c r="K37" s="6"/>
      <c r="L37" s="6"/>
      <c r="M37" s="19" t="n">
        <f aca="false">INDEX('Catalog ref'!$D$2:$D$33,MATCH(C37,'Catalog ref'!$A$2:$A$33,0))</f>
        <v>1057</v>
      </c>
      <c r="N37" s="20" t="n">
        <f aca="false">INDEX('Catalog ref'!$K$2:$K$33,MATCH(C37,'Catalog ref'!$A$2:$A$33,0))</f>
        <v>0</v>
      </c>
      <c r="O37" s="19" t="n">
        <f aca="false">INDEX('Catalog ref'!$M$2:$M$33,MATCH(C37,'Catalog ref'!$A$2:$A$33,0))</f>
        <v>0</v>
      </c>
    </row>
    <row r="38" customFormat="false" ht="15" hidden="false" customHeight="true" outlineLevel="0" collapsed="false">
      <c r="A38" s="6" t="s">
        <v>45</v>
      </c>
      <c r="B38" s="6" t="n">
        <v>5</v>
      </c>
      <c r="C38" s="6" t="s">
        <v>305</v>
      </c>
      <c r="D38" s="16" t="str">
        <f aca="false">INDEX('Catalog ref'!$C$2:$C$33,MATCH(C38,'Catalog ref'!$A$2:$A$33,0))</f>
        <v>D6 class (~215-240 hp, ~50k lb)</v>
      </c>
      <c r="E38" s="17" t="n">
        <v>1</v>
      </c>
      <c r="F38" s="6" t="s">
        <v>291</v>
      </c>
      <c r="G38" s="6"/>
      <c r="H38" s="6"/>
      <c r="I38" s="6"/>
      <c r="J38" s="6"/>
      <c r="K38" s="6"/>
      <c r="L38" s="6"/>
      <c r="M38" s="19" t="n">
        <f aca="false">INDEX('Catalog ref'!$D$2:$D$33,MATCH(C38,'Catalog ref'!$A$2:$A$33,0))</f>
        <v>2111</v>
      </c>
      <c r="N38" s="20" t="n">
        <f aca="false">INDEX('Catalog ref'!$K$2:$K$33,MATCH(C38,'Catalog ref'!$A$2:$A$33,0))</f>
        <v>4.82</v>
      </c>
      <c r="O38" s="19" t="n">
        <f aca="false">INDEX('Catalog ref'!$M$2:$M$33,MATCH(C38,'Catalog ref'!$A$2:$A$33,0))</f>
        <v>550</v>
      </c>
    </row>
    <row r="39" customFormat="false" ht="15" hidden="false" customHeight="true" outlineLevel="0" collapsed="false">
      <c r="A39" s="6" t="s">
        <v>45</v>
      </c>
      <c r="B39" s="6" t="n">
        <v>5</v>
      </c>
      <c r="C39" s="6" t="s">
        <v>306</v>
      </c>
      <c r="D39" s="16" t="str">
        <f aca="false">INDEX('Catalog ref'!$C$2:$C$33,MATCH(C39,'Catalog ref'!$A$2:$A$33,0))</f>
        <v>GPS/machine-control kit for dozer</v>
      </c>
      <c r="E39" s="17" t="n">
        <v>1</v>
      </c>
      <c r="F39" s="6"/>
      <c r="G39" s="6"/>
      <c r="H39" s="6"/>
      <c r="I39" s="6"/>
      <c r="J39" s="6"/>
      <c r="K39" s="6"/>
      <c r="L39" s="6"/>
      <c r="M39" s="19" t="n">
        <f aca="false">INDEX('Catalog ref'!$D$2:$D$33,MATCH(C39,'Catalog ref'!$A$2:$A$33,0))</f>
        <v>560</v>
      </c>
      <c r="N39" s="20" t="n">
        <f aca="false">INDEX('Catalog ref'!$K$2:$K$33,MATCH(C39,'Catalog ref'!$A$2:$A$33,0))</f>
        <v>0</v>
      </c>
      <c r="O39" s="19" t="n">
        <f aca="false">INDEX('Catalog ref'!$M$2:$M$33,MATCH(C39,'Catalog ref'!$A$2:$A$33,0))</f>
        <v>400</v>
      </c>
    </row>
    <row r="40" customFormat="false" ht="15" hidden="false" customHeight="true" outlineLevel="0" collapsed="false">
      <c r="A40" s="6" t="s">
        <v>45</v>
      </c>
      <c r="B40" s="6" t="n">
        <v>5</v>
      </c>
      <c r="C40" s="6" t="s">
        <v>307</v>
      </c>
      <c r="D40" s="16" t="str">
        <f aca="false">INDEX('Catalog ref'!$C$2:$C$33,MATCH(C40,'Catalog ref'!$A$2:$A$33,0))</f>
        <v>Cat 815 (~249 hp)</v>
      </c>
      <c r="E40" s="17" t="n">
        <v>1</v>
      </c>
      <c r="F40" s="6"/>
      <c r="G40" s="6"/>
      <c r="H40" s="6"/>
      <c r="I40" s="6"/>
      <c r="J40" s="6"/>
      <c r="K40" s="6"/>
      <c r="L40" s="6"/>
      <c r="M40" s="19" t="n">
        <f aca="false">INDEX('Catalog ref'!$D$2:$D$33,MATCH(C40,'Catalog ref'!$A$2:$A$33,0))</f>
        <v>2629</v>
      </c>
      <c r="N40" s="20" t="n">
        <f aca="false">INDEX('Catalog ref'!$K$2:$K$33,MATCH(C40,'Catalog ref'!$A$2:$A$33,0))</f>
        <v>6.84</v>
      </c>
      <c r="O40" s="19" t="n">
        <f aca="false">INDEX('Catalog ref'!$M$2:$M$33,MATCH(C40,'Catalog ref'!$A$2:$A$33,0))</f>
        <v>1800</v>
      </c>
    </row>
    <row r="41" customFormat="false" ht="15" hidden="false" customHeight="true" outlineLevel="0" collapsed="false">
      <c r="A41" s="6" t="s">
        <v>45</v>
      </c>
      <c r="B41" s="6" t="n">
        <v>5</v>
      </c>
      <c r="C41" s="6" t="s">
        <v>303</v>
      </c>
      <c r="D41" s="16" t="str">
        <f aca="false">INDEX('Catalog ref'!$C$2:$C$33,MATCH(C41,'Catalog ref'!$A$2:$A$33,0))</f>
        <v>4,000 gal (6x4)</v>
      </c>
      <c r="E41" s="17" t="n">
        <v>0.5</v>
      </c>
      <c r="F41" s="6"/>
      <c r="G41" s="6"/>
      <c r="H41" s="6" t="s">
        <v>291</v>
      </c>
      <c r="I41" s="6"/>
      <c r="J41" s="6"/>
      <c r="K41" s="6"/>
      <c r="L41" s="6"/>
      <c r="M41" s="19" t="n">
        <f aca="false">INDEX('Catalog ref'!$D$2:$D$33,MATCH(C41,'Catalog ref'!$A$2:$A$33,0))</f>
        <v>1057</v>
      </c>
      <c r="N41" s="20" t="n">
        <f aca="false">INDEX('Catalog ref'!$K$2:$K$33,MATCH(C41,'Catalog ref'!$A$2:$A$33,0))</f>
        <v>0</v>
      </c>
      <c r="O41" s="19" t="n">
        <f aca="false">INDEX('Catalog ref'!$M$2:$M$33,MATCH(C41,'Catalog ref'!$A$2:$A$33,0))</f>
        <v>0</v>
      </c>
    </row>
    <row r="42" customFormat="false" ht="15" hidden="false" customHeight="true" outlineLevel="0" collapsed="false">
      <c r="A42" s="6" t="s">
        <v>45</v>
      </c>
      <c r="B42" s="6" t="n">
        <v>6</v>
      </c>
      <c r="C42" s="6" t="s">
        <v>305</v>
      </c>
      <c r="D42" s="16" t="str">
        <f aca="false">INDEX('Catalog ref'!$C$2:$C$33,MATCH(C42,'Catalog ref'!$A$2:$A$33,0))</f>
        <v>D6 class (~215-240 hp, ~50k lb)</v>
      </c>
      <c r="E42" s="17" t="n">
        <v>1</v>
      </c>
      <c r="F42" s="6" t="s">
        <v>291</v>
      </c>
      <c r="G42" s="6"/>
      <c r="H42" s="6"/>
      <c r="I42" s="6"/>
      <c r="J42" s="6"/>
      <c r="K42" s="6"/>
      <c r="L42" s="6"/>
      <c r="M42" s="19" t="n">
        <f aca="false">INDEX('Catalog ref'!$D$2:$D$33,MATCH(C42,'Catalog ref'!$A$2:$A$33,0))</f>
        <v>2111</v>
      </c>
      <c r="N42" s="20" t="n">
        <f aca="false">INDEX('Catalog ref'!$K$2:$K$33,MATCH(C42,'Catalog ref'!$A$2:$A$33,0))</f>
        <v>4.82</v>
      </c>
      <c r="O42" s="19" t="n">
        <f aca="false">INDEX('Catalog ref'!$M$2:$M$33,MATCH(C42,'Catalog ref'!$A$2:$A$33,0))</f>
        <v>550</v>
      </c>
    </row>
    <row r="43" customFormat="false" ht="15" hidden="false" customHeight="true" outlineLevel="0" collapsed="false">
      <c r="A43" s="6" t="s">
        <v>45</v>
      </c>
      <c r="B43" s="6" t="n">
        <v>6</v>
      </c>
      <c r="C43" s="6" t="s">
        <v>306</v>
      </c>
      <c r="D43" s="16" t="str">
        <f aca="false">INDEX('Catalog ref'!$C$2:$C$33,MATCH(C43,'Catalog ref'!$A$2:$A$33,0))</f>
        <v>GPS/machine-control kit for dozer</v>
      </c>
      <c r="E43" s="17" t="n">
        <v>1</v>
      </c>
      <c r="F43" s="6"/>
      <c r="G43" s="6"/>
      <c r="H43" s="6"/>
      <c r="I43" s="6"/>
      <c r="J43" s="6"/>
      <c r="K43" s="6"/>
      <c r="L43" s="6"/>
      <c r="M43" s="19" t="n">
        <f aca="false">INDEX('Catalog ref'!$D$2:$D$33,MATCH(C43,'Catalog ref'!$A$2:$A$33,0))</f>
        <v>560</v>
      </c>
      <c r="N43" s="20" t="n">
        <f aca="false">INDEX('Catalog ref'!$K$2:$K$33,MATCH(C43,'Catalog ref'!$A$2:$A$33,0))</f>
        <v>0</v>
      </c>
      <c r="O43" s="19" t="n">
        <f aca="false">INDEX('Catalog ref'!$M$2:$M$33,MATCH(C43,'Catalog ref'!$A$2:$A$33,0))</f>
        <v>400</v>
      </c>
    </row>
    <row r="44" customFormat="false" ht="15" hidden="false" customHeight="true" outlineLevel="0" collapsed="false">
      <c r="A44" s="6" t="s">
        <v>45</v>
      </c>
      <c r="B44" s="6" t="n">
        <v>6</v>
      </c>
      <c r="C44" s="6" t="s">
        <v>304</v>
      </c>
      <c r="D44" s="16" t="str">
        <f aca="false">INDEX('Catalog ref'!$C$2:$C$33,MATCH(C44,'Catalog ref'!$A$2:$A$33,0))</f>
        <v>D5 class (~170 hp, ~40k lb)</v>
      </c>
      <c r="E44" s="17" t="n">
        <v>2</v>
      </c>
      <c r="F44" s="6"/>
      <c r="G44" s="6"/>
      <c r="H44" s="6"/>
      <c r="I44" s="6"/>
      <c r="J44" s="6"/>
      <c r="K44" s="6"/>
      <c r="L44" s="6"/>
      <c r="M44" s="19" t="n">
        <f aca="false">INDEX('Catalog ref'!$D$2:$D$33,MATCH(C44,'Catalog ref'!$A$2:$A$33,0))</f>
        <v>1554</v>
      </c>
      <c r="N44" s="20" t="n">
        <f aca="false">INDEX('Catalog ref'!$K$2:$K$33,MATCH(C44,'Catalog ref'!$A$2:$A$33,0))</f>
        <v>4.12</v>
      </c>
      <c r="O44" s="19" t="n">
        <f aca="false">INDEX('Catalog ref'!$M$2:$M$33,MATCH(C44,'Catalog ref'!$A$2:$A$33,0))</f>
        <v>550</v>
      </c>
    </row>
    <row r="45" customFormat="false" ht="15" hidden="false" customHeight="true" outlineLevel="0" collapsed="false">
      <c r="A45" s="6" t="s">
        <v>45</v>
      </c>
      <c r="B45" s="6" t="n">
        <v>6</v>
      </c>
      <c r="C45" s="6" t="s">
        <v>307</v>
      </c>
      <c r="D45" s="16" t="str">
        <f aca="false">INDEX('Catalog ref'!$C$2:$C$33,MATCH(C45,'Catalog ref'!$A$2:$A$33,0))</f>
        <v>Cat 815 (~249 hp)</v>
      </c>
      <c r="E45" s="17" t="n">
        <v>1</v>
      </c>
      <c r="F45" s="6"/>
      <c r="G45" s="6"/>
      <c r="H45" s="6"/>
      <c r="I45" s="6"/>
      <c r="J45" s="6"/>
      <c r="K45" s="6"/>
      <c r="L45" s="6"/>
      <c r="M45" s="19" t="n">
        <f aca="false">INDEX('Catalog ref'!$D$2:$D$33,MATCH(C45,'Catalog ref'!$A$2:$A$33,0))</f>
        <v>2629</v>
      </c>
      <c r="N45" s="20" t="n">
        <f aca="false">INDEX('Catalog ref'!$K$2:$K$33,MATCH(C45,'Catalog ref'!$A$2:$A$33,0))</f>
        <v>6.84</v>
      </c>
      <c r="O45" s="19" t="n">
        <f aca="false">INDEX('Catalog ref'!$M$2:$M$33,MATCH(C45,'Catalog ref'!$A$2:$A$33,0))</f>
        <v>1800</v>
      </c>
    </row>
    <row r="46" customFormat="false" ht="15" hidden="false" customHeight="true" outlineLevel="0" collapsed="false">
      <c r="A46" s="6" t="s">
        <v>45</v>
      </c>
      <c r="B46" s="6" t="n">
        <v>6</v>
      </c>
      <c r="C46" s="6" t="s">
        <v>303</v>
      </c>
      <c r="D46" s="16" t="str">
        <f aca="false">INDEX('Catalog ref'!$C$2:$C$33,MATCH(C46,'Catalog ref'!$A$2:$A$33,0))</f>
        <v>4,000 gal (6x4)</v>
      </c>
      <c r="E46" s="17" t="n">
        <v>1</v>
      </c>
      <c r="F46" s="6"/>
      <c r="G46" s="6"/>
      <c r="H46" s="6" t="s">
        <v>291</v>
      </c>
      <c r="I46" s="6"/>
      <c r="J46" s="6"/>
      <c r="K46" s="6"/>
      <c r="L46" s="6"/>
      <c r="M46" s="19" t="n">
        <f aca="false">INDEX('Catalog ref'!$D$2:$D$33,MATCH(C46,'Catalog ref'!$A$2:$A$33,0))</f>
        <v>1057</v>
      </c>
      <c r="N46" s="20" t="n">
        <f aca="false">INDEX('Catalog ref'!$K$2:$K$33,MATCH(C46,'Catalog ref'!$A$2:$A$33,0))</f>
        <v>0</v>
      </c>
      <c r="O46" s="19" t="n">
        <f aca="false">INDEX('Catalog ref'!$M$2:$M$33,MATCH(C46,'Catalog ref'!$A$2:$A$33,0))</f>
        <v>0</v>
      </c>
    </row>
    <row r="47" customFormat="false" ht="15" hidden="false" customHeight="true" outlineLevel="0" collapsed="false">
      <c r="A47" s="6" t="s">
        <v>45</v>
      </c>
      <c r="B47" s="6" t="n">
        <v>7</v>
      </c>
      <c r="C47" s="6" t="s">
        <v>305</v>
      </c>
      <c r="D47" s="16" t="str">
        <f aca="false">INDEX('Catalog ref'!$C$2:$C$33,MATCH(C47,'Catalog ref'!$A$2:$A$33,0))</f>
        <v>D6 class (~215-240 hp, ~50k lb)</v>
      </c>
      <c r="E47" s="17" t="n">
        <v>2</v>
      </c>
      <c r="F47" s="6" t="s">
        <v>291</v>
      </c>
      <c r="G47" s="6"/>
      <c r="H47" s="6"/>
      <c r="I47" s="6"/>
      <c r="J47" s="6"/>
      <c r="K47" s="6"/>
      <c r="L47" s="6"/>
      <c r="M47" s="19" t="n">
        <f aca="false">INDEX('Catalog ref'!$D$2:$D$33,MATCH(C47,'Catalog ref'!$A$2:$A$33,0))</f>
        <v>2111</v>
      </c>
      <c r="N47" s="20" t="n">
        <f aca="false">INDEX('Catalog ref'!$K$2:$K$33,MATCH(C47,'Catalog ref'!$A$2:$A$33,0))</f>
        <v>4.82</v>
      </c>
      <c r="O47" s="19" t="n">
        <f aca="false">INDEX('Catalog ref'!$M$2:$M$33,MATCH(C47,'Catalog ref'!$A$2:$A$33,0))</f>
        <v>550</v>
      </c>
    </row>
    <row r="48" customFormat="false" ht="15" hidden="false" customHeight="true" outlineLevel="0" collapsed="false">
      <c r="A48" s="6" t="s">
        <v>45</v>
      </c>
      <c r="B48" s="6" t="n">
        <v>7</v>
      </c>
      <c r="C48" s="6" t="s">
        <v>306</v>
      </c>
      <c r="D48" s="16" t="str">
        <f aca="false">INDEX('Catalog ref'!$C$2:$C$33,MATCH(C48,'Catalog ref'!$A$2:$A$33,0))</f>
        <v>GPS/machine-control kit for dozer</v>
      </c>
      <c r="E48" s="17" t="n">
        <v>2</v>
      </c>
      <c r="F48" s="6"/>
      <c r="G48" s="6"/>
      <c r="H48" s="6"/>
      <c r="I48" s="6"/>
      <c r="J48" s="6"/>
      <c r="K48" s="6"/>
      <c r="L48" s="6"/>
      <c r="M48" s="19" t="n">
        <f aca="false">INDEX('Catalog ref'!$D$2:$D$33,MATCH(C48,'Catalog ref'!$A$2:$A$33,0))</f>
        <v>560</v>
      </c>
      <c r="N48" s="20" t="n">
        <f aca="false">INDEX('Catalog ref'!$K$2:$K$33,MATCH(C48,'Catalog ref'!$A$2:$A$33,0))</f>
        <v>0</v>
      </c>
      <c r="O48" s="19" t="n">
        <f aca="false">INDEX('Catalog ref'!$M$2:$M$33,MATCH(C48,'Catalog ref'!$A$2:$A$33,0))</f>
        <v>400</v>
      </c>
    </row>
    <row r="49" customFormat="false" ht="15" hidden="false" customHeight="true" outlineLevel="0" collapsed="false">
      <c r="A49" s="6" t="s">
        <v>45</v>
      </c>
      <c r="B49" s="6" t="n">
        <v>7</v>
      </c>
      <c r="C49" s="6" t="s">
        <v>308</v>
      </c>
      <c r="D49" s="16" t="str">
        <f aca="false">INDEX('Catalog ref'!$C$2:$C$33,MATCH(C49,'Catalog ref'!$A$2:$A$33,0))</f>
        <v>D8 class (~363 hp)</v>
      </c>
      <c r="E49" s="17" t="n">
        <v>0.5</v>
      </c>
      <c r="F49" s="6"/>
      <c r="G49" s="6"/>
      <c r="H49" s="6"/>
      <c r="I49" s="6"/>
      <c r="J49" s="6"/>
      <c r="K49" s="6"/>
      <c r="L49" s="6"/>
      <c r="M49" s="19" t="n">
        <f aca="false">INDEX('Catalog ref'!$D$2:$D$33,MATCH(C49,'Catalog ref'!$A$2:$A$33,0))</f>
        <v>4170</v>
      </c>
      <c r="N49" s="20" t="n">
        <f aca="false">INDEX('Catalog ref'!$K$2:$K$33,MATCH(C49,'Catalog ref'!$A$2:$A$33,0))</f>
        <v>8.59</v>
      </c>
      <c r="O49" s="19" t="n">
        <f aca="false">INDEX('Catalog ref'!$M$2:$M$33,MATCH(C49,'Catalog ref'!$A$2:$A$33,0))</f>
        <v>1800</v>
      </c>
    </row>
    <row r="50" customFormat="false" ht="15" hidden="false" customHeight="true" outlineLevel="0" collapsed="false">
      <c r="A50" s="6" t="s">
        <v>45</v>
      </c>
      <c r="B50" s="6" t="n">
        <v>7</v>
      </c>
      <c r="C50" s="6" t="s">
        <v>304</v>
      </c>
      <c r="D50" s="16" t="str">
        <f aca="false">INDEX('Catalog ref'!$C$2:$C$33,MATCH(C50,'Catalog ref'!$A$2:$A$33,0))</f>
        <v>D5 class (~170 hp, ~40k lb)</v>
      </c>
      <c r="E50" s="17" t="n">
        <v>0.5</v>
      </c>
      <c r="F50" s="6"/>
      <c r="G50" s="6"/>
      <c r="H50" s="6"/>
      <c r="I50" s="6"/>
      <c r="J50" s="6"/>
      <c r="K50" s="6"/>
      <c r="L50" s="6"/>
      <c r="M50" s="19" t="n">
        <f aca="false">INDEX('Catalog ref'!$D$2:$D$33,MATCH(C50,'Catalog ref'!$A$2:$A$33,0))</f>
        <v>1554</v>
      </c>
      <c r="N50" s="20" t="n">
        <f aca="false">INDEX('Catalog ref'!$K$2:$K$33,MATCH(C50,'Catalog ref'!$A$2:$A$33,0))</f>
        <v>4.12</v>
      </c>
      <c r="O50" s="19" t="n">
        <f aca="false">INDEX('Catalog ref'!$M$2:$M$33,MATCH(C50,'Catalog ref'!$A$2:$A$33,0))</f>
        <v>550</v>
      </c>
    </row>
    <row r="51" customFormat="false" ht="15" hidden="false" customHeight="true" outlineLevel="0" collapsed="false">
      <c r="A51" s="6" t="s">
        <v>45</v>
      </c>
      <c r="B51" s="6" t="n">
        <v>7</v>
      </c>
      <c r="C51" s="6" t="s">
        <v>307</v>
      </c>
      <c r="D51" s="16" t="str">
        <f aca="false">INDEX('Catalog ref'!$C$2:$C$33,MATCH(C51,'Catalog ref'!$A$2:$A$33,0))</f>
        <v>Cat 815 (~249 hp)</v>
      </c>
      <c r="E51" s="17" t="n">
        <v>2</v>
      </c>
      <c r="F51" s="6"/>
      <c r="G51" s="6"/>
      <c r="H51" s="6"/>
      <c r="I51" s="6"/>
      <c r="J51" s="6"/>
      <c r="K51" s="6"/>
      <c r="L51" s="6"/>
      <c r="M51" s="19" t="n">
        <f aca="false">INDEX('Catalog ref'!$D$2:$D$33,MATCH(C51,'Catalog ref'!$A$2:$A$33,0))</f>
        <v>2629</v>
      </c>
      <c r="N51" s="20" t="n">
        <f aca="false">INDEX('Catalog ref'!$K$2:$K$33,MATCH(C51,'Catalog ref'!$A$2:$A$33,0))</f>
        <v>6.84</v>
      </c>
      <c r="O51" s="19" t="n">
        <f aca="false">INDEX('Catalog ref'!$M$2:$M$33,MATCH(C51,'Catalog ref'!$A$2:$A$33,0))</f>
        <v>1800</v>
      </c>
    </row>
    <row r="52" customFormat="false" ht="15" hidden="false" customHeight="true" outlineLevel="0" collapsed="false">
      <c r="A52" s="6" t="s">
        <v>45</v>
      </c>
      <c r="B52" s="6" t="n">
        <v>7</v>
      </c>
      <c r="C52" s="6" t="s">
        <v>309</v>
      </c>
      <c r="D52" s="16" t="str">
        <f aca="false">INDEX('Catalog ref'!$C$2:$C$33,MATCH(C52,'Catalog ref'!$A$2:$A$33,0))</f>
        <v>8,000 gal ADT-based</v>
      </c>
      <c r="E52" s="17" t="n">
        <v>1</v>
      </c>
      <c r="F52" s="6"/>
      <c r="G52" s="6"/>
      <c r="H52" s="6" t="s">
        <v>291</v>
      </c>
      <c r="I52" s="6"/>
      <c r="J52" s="6"/>
      <c r="K52" s="6"/>
      <c r="L52" s="6"/>
      <c r="M52" s="19" t="n">
        <f aca="false">INDEX('Catalog ref'!$D$2:$D$33,MATCH(C52,'Catalog ref'!$A$2:$A$33,0))</f>
        <v>2810</v>
      </c>
      <c r="N52" s="20" t="n">
        <f aca="false">INDEX('Catalog ref'!$K$2:$K$33,MATCH(C52,'Catalog ref'!$A$2:$A$33,0))</f>
        <v>0</v>
      </c>
      <c r="O52" s="19" t="n">
        <f aca="false">INDEX('Catalog ref'!$M$2:$M$33,MATCH(C52,'Catalog ref'!$A$2:$A$33,0))</f>
        <v>1800</v>
      </c>
    </row>
    <row r="53" customFormat="false" ht="15" hidden="false" customHeight="true" outlineLevel="0" collapsed="false">
      <c r="A53" s="6" t="s">
        <v>45</v>
      </c>
      <c r="B53" s="6" t="n">
        <v>8</v>
      </c>
      <c r="C53" s="6" t="s">
        <v>308</v>
      </c>
      <c r="D53" s="16" t="str">
        <f aca="false">INDEX('Catalog ref'!$C$2:$C$33,MATCH(C53,'Catalog ref'!$A$2:$A$33,0))</f>
        <v>D8 class (~363 hp)</v>
      </c>
      <c r="E53" s="17" t="n">
        <v>2</v>
      </c>
      <c r="F53" s="6" t="s">
        <v>291</v>
      </c>
      <c r="G53" s="6"/>
      <c r="H53" s="6"/>
      <c r="I53" s="6"/>
      <c r="J53" s="6"/>
      <c r="K53" s="6"/>
      <c r="L53" s="6"/>
      <c r="M53" s="19" t="n">
        <f aca="false">INDEX('Catalog ref'!$D$2:$D$33,MATCH(C53,'Catalog ref'!$A$2:$A$33,0))</f>
        <v>4170</v>
      </c>
      <c r="N53" s="20" t="n">
        <f aca="false">INDEX('Catalog ref'!$K$2:$K$33,MATCH(C53,'Catalog ref'!$A$2:$A$33,0))</f>
        <v>8.59</v>
      </c>
      <c r="O53" s="19" t="n">
        <f aca="false">INDEX('Catalog ref'!$M$2:$M$33,MATCH(C53,'Catalog ref'!$A$2:$A$33,0))</f>
        <v>1800</v>
      </c>
    </row>
    <row r="54" customFormat="false" ht="15" hidden="false" customHeight="true" outlineLevel="0" collapsed="false">
      <c r="A54" s="6" t="s">
        <v>45</v>
      </c>
      <c r="B54" s="6" t="n">
        <v>8</v>
      </c>
      <c r="C54" s="6" t="s">
        <v>305</v>
      </c>
      <c r="D54" s="16" t="str">
        <f aca="false">INDEX('Catalog ref'!$C$2:$C$33,MATCH(C54,'Catalog ref'!$A$2:$A$33,0))</f>
        <v>D6 class (~215-240 hp, ~50k lb)</v>
      </c>
      <c r="E54" s="17" t="n">
        <v>1</v>
      </c>
      <c r="F54" s="6"/>
      <c r="G54" s="6"/>
      <c r="H54" s="6"/>
      <c r="I54" s="6"/>
      <c r="J54" s="6"/>
      <c r="K54" s="6"/>
      <c r="L54" s="6"/>
      <c r="M54" s="19" t="n">
        <f aca="false">INDEX('Catalog ref'!$D$2:$D$33,MATCH(C54,'Catalog ref'!$A$2:$A$33,0))</f>
        <v>2111</v>
      </c>
      <c r="N54" s="20" t="n">
        <f aca="false">INDEX('Catalog ref'!$K$2:$K$33,MATCH(C54,'Catalog ref'!$A$2:$A$33,0))</f>
        <v>4.82</v>
      </c>
      <c r="O54" s="19" t="n">
        <f aca="false">INDEX('Catalog ref'!$M$2:$M$33,MATCH(C54,'Catalog ref'!$A$2:$A$33,0))</f>
        <v>550</v>
      </c>
    </row>
    <row r="55" customFormat="false" ht="15" hidden="false" customHeight="true" outlineLevel="0" collapsed="false">
      <c r="A55" s="6" t="s">
        <v>45</v>
      </c>
      <c r="B55" s="6" t="n">
        <v>8</v>
      </c>
      <c r="C55" s="6" t="s">
        <v>306</v>
      </c>
      <c r="D55" s="16" t="str">
        <f aca="false">INDEX('Catalog ref'!$C$2:$C$33,MATCH(C55,'Catalog ref'!$A$2:$A$33,0))</f>
        <v>GPS/machine-control kit for dozer</v>
      </c>
      <c r="E55" s="17" t="n">
        <v>1</v>
      </c>
      <c r="F55" s="6"/>
      <c r="G55" s="6"/>
      <c r="H55" s="6"/>
      <c r="I55" s="6"/>
      <c r="J55" s="6"/>
      <c r="K55" s="6"/>
      <c r="L55" s="6"/>
      <c r="M55" s="19" t="n">
        <f aca="false">INDEX('Catalog ref'!$D$2:$D$33,MATCH(C55,'Catalog ref'!$A$2:$A$33,0))</f>
        <v>560</v>
      </c>
      <c r="N55" s="20" t="n">
        <f aca="false">INDEX('Catalog ref'!$K$2:$K$33,MATCH(C55,'Catalog ref'!$A$2:$A$33,0))</f>
        <v>0</v>
      </c>
      <c r="O55" s="19" t="n">
        <f aca="false">INDEX('Catalog ref'!$M$2:$M$33,MATCH(C55,'Catalog ref'!$A$2:$A$33,0))</f>
        <v>400</v>
      </c>
    </row>
    <row r="56" customFormat="false" ht="15" hidden="false" customHeight="true" outlineLevel="0" collapsed="false">
      <c r="A56" s="6" t="s">
        <v>45</v>
      </c>
      <c r="B56" s="6" t="n">
        <v>8</v>
      </c>
      <c r="C56" s="6" t="s">
        <v>310</v>
      </c>
      <c r="D56" s="16" t="str">
        <f aca="false">INDEX('Catalog ref'!$C$2:$C$33,MATCH(C56,'Catalog ref'!$A$2:$A$33,0))</f>
        <v>Cat 825 (~405 hp)</v>
      </c>
      <c r="E56" s="17" t="n">
        <v>2</v>
      </c>
      <c r="F56" s="6"/>
      <c r="G56" s="6"/>
      <c r="H56" s="6"/>
      <c r="I56" s="6"/>
      <c r="J56" s="6"/>
      <c r="K56" s="6"/>
      <c r="L56" s="6"/>
      <c r="M56" s="19" t="n">
        <f aca="false">INDEX('Catalog ref'!$D$2:$D$33,MATCH(C56,'Catalog ref'!$A$2:$A$33,0))</f>
        <v>4034</v>
      </c>
      <c r="N56" s="20" t="n">
        <f aca="false">INDEX('Catalog ref'!$K$2:$K$33,MATCH(C56,'Catalog ref'!$A$2:$A$33,0))</f>
        <v>10.06</v>
      </c>
      <c r="O56" s="19" t="n">
        <f aca="false">INDEX('Catalog ref'!$M$2:$M$33,MATCH(C56,'Catalog ref'!$A$2:$A$33,0))</f>
        <v>1800</v>
      </c>
    </row>
    <row r="57" customFormat="false" ht="15" hidden="false" customHeight="true" outlineLevel="0" collapsed="false">
      <c r="A57" s="6" t="s">
        <v>45</v>
      </c>
      <c r="B57" s="6" t="n">
        <v>8</v>
      </c>
      <c r="C57" s="6" t="s">
        <v>309</v>
      </c>
      <c r="D57" s="16" t="str">
        <f aca="false">INDEX('Catalog ref'!$C$2:$C$33,MATCH(C57,'Catalog ref'!$A$2:$A$33,0))</f>
        <v>8,000 gal ADT-based</v>
      </c>
      <c r="E57" s="17" t="n">
        <v>2</v>
      </c>
      <c r="F57" s="6"/>
      <c r="G57" s="6"/>
      <c r="H57" s="6" t="s">
        <v>291</v>
      </c>
      <c r="I57" s="6"/>
      <c r="J57" s="6"/>
      <c r="K57" s="6"/>
      <c r="L57" s="6"/>
      <c r="M57" s="19" t="n">
        <f aca="false">INDEX('Catalog ref'!$D$2:$D$33,MATCH(C57,'Catalog ref'!$A$2:$A$33,0))</f>
        <v>2810</v>
      </c>
      <c r="N57" s="20" t="n">
        <f aca="false">INDEX('Catalog ref'!$K$2:$K$33,MATCH(C57,'Catalog ref'!$A$2:$A$33,0))</f>
        <v>0</v>
      </c>
      <c r="O57" s="19" t="n">
        <f aca="false">INDEX('Catalog ref'!$M$2:$M$33,MATCH(C57,'Catalog ref'!$A$2:$A$33,0))</f>
        <v>1800</v>
      </c>
    </row>
    <row r="58" customFormat="false" ht="15" hidden="false" customHeight="true" outlineLevel="0" collapsed="false">
      <c r="A58" s="6" t="s">
        <v>50</v>
      </c>
      <c r="B58" s="6" t="n">
        <v>1</v>
      </c>
      <c r="C58" s="6" t="s">
        <v>300</v>
      </c>
      <c r="D58" s="16" t="str">
        <f aca="false">INDEX('Catalog ref'!$C$2:$C$33,MATCH(C58,'Catalog ref'!$A$2:$A$33,0))</f>
        <v>D3 class (~100-104 hp, 20-24k lb)</v>
      </c>
      <c r="E58" s="17" t="n">
        <v>1</v>
      </c>
      <c r="F58" s="6" t="s">
        <v>291</v>
      </c>
      <c r="G58" s="6" t="s">
        <v>292</v>
      </c>
      <c r="H58" s="6"/>
      <c r="I58" s="6" t="s">
        <v>311</v>
      </c>
      <c r="J58" s="18" t="n">
        <f aca="false">IFERROR(INDEX('Catalog production'!$D$2:$D$15,MATCH(C58&amp;"|"&amp;I58,'Catalog production'!$A$2:$A$15,0))*1,"")</f>
        <v>145.331622508162</v>
      </c>
      <c r="K58" s="16" t="str">
        <f aca="false">IFERROR(INDEX('Catalog production'!$E$2:$E$15,MATCH(C58&amp;"|"&amp;I58,'Catalog production'!$A$2:$A$15,0))&amp;"","")</f>
        <v>LCY/hr</v>
      </c>
      <c r="L58" s="10" t="n">
        <f aca="false">IF(N(J58)=0,"",E58*J58*Settings!$B$2*IF(K58="LCY/hr",1/Settings!$B$3,1))</f>
        <v>1162.6529800653</v>
      </c>
      <c r="M58" s="19" t="n">
        <f aca="false">INDEX('Catalog ref'!$D$2:$D$33,MATCH(C58,'Catalog ref'!$A$2:$A$33,0))</f>
        <v>875</v>
      </c>
      <c r="N58" s="20" t="n">
        <f aca="false">INDEX('Catalog ref'!$K$2:$K$33,MATCH(C58,'Catalog ref'!$A$2:$A$33,0))</f>
        <v>1.93</v>
      </c>
      <c r="O58" s="19" t="n">
        <f aca="false">INDEX('Catalog ref'!$M$2:$M$33,MATCH(C58,'Catalog ref'!$A$2:$A$33,0))</f>
        <v>550</v>
      </c>
    </row>
    <row r="59" customFormat="false" ht="15" hidden="false" customHeight="true" outlineLevel="0" collapsed="false">
      <c r="A59" s="6" t="s">
        <v>50</v>
      </c>
      <c r="B59" s="6" t="n">
        <v>2</v>
      </c>
      <c r="C59" s="6" t="s">
        <v>304</v>
      </c>
      <c r="D59" s="16" t="str">
        <f aca="false">INDEX('Catalog ref'!$C$2:$C$33,MATCH(C59,'Catalog ref'!$A$2:$A$33,0))</f>
        <v>D5 class (~170 hp, ~40k lb)</v>
      </c>
      <c r="E59" s="17" t="n">
        <v>1</v>
      </c>
      <c r="F59" s="6" t="s">
        <v>291</v>
      </c>
      <c r="G59" s="6" t="s">
        <v>292</v>
      </c>
      <c r="H59" s="6"/>
      <c r="I59" s="6" t="s">
        <v>311</v>
      </c>
      <c r="J59" s="18" t="n">
        <f aca="false">IFERROR(INDEX('Catalog production'!$D$2:$D$15,MATCH(C59&amp;"|"&amp;I59,'Catalog production'!$A$2:$A$15,0))*1,"")</f>
        <v>233.750162076065</v>
      </c>
      <c r="K59" s="16" t="str">
        <f aca="false">IFERROR(INDEX('Catalog production'!$E$2:$E$15,MATCH(C59&amp;"|"&amp;I59,'Catalog production'!$A$2:$A$15,0))&amp;"","")</f>
        <v>LCY/hr</v>
      </c>
      <c r="L59" s="10" t="n">
        <f aca="false">IF(N(J59)=0,"",E59*J59*Settings!$B$2*IF(K59="LCY/hr",1/Settings!$B$3,1))</f>
        <v>1870.00129660852</v>
      </c>
      <c r="M59" s="19" t="n">
        <f aca="false">INDEX('Catalog ref'!$D$2:$D$33,MATCH(C59,'Catalog ref'!$A$2:$A$33,0))</f>
        <v>1554</v>
      </c>
      <c r="N59" s="20" t="n">
        <f aca="false">INDEX('Catalog ref'!$K$2:$K$33,MATCH(C59,'Catalog ref'!$A$2:$A$33,0))</f>
        <v>4.12</v>
      </c>
      <c r="O59" s="19" t="n">
        <f aca="false">INDEX('Catalog ref'!$M$2:$M$33,MATCH(C59,'Catalog ref'!$A$2:$A$33,0))</f>
        <v>550</v>
      </c>
    </row>
    <row r="60" customFormat="false" ht="15" hidden="false" customHeight="true" outlineLevel="0" collapsed="false">
      <c r="A60" s="6" t="s">
        <v>50</v>
      </c>
      <c r="B60" s="6" t="n">
        <v>3</v>
      </c>
      <c r="C60" s="6" t="s">
        <v>305</v>
      </c>
      <c r="D60" s="16" t="str">
        <f aca="false">INDEX('Catalog ref'!$C$2:$C$33,MATCH(C60,'Catalog ref'!$A$2:$A$33,0))</f>
        <v>D6 class (~215-240 hp, ~50k lb)</v>
      </c>
      <c r="E60" s="17" t="n">
        <v>1</v>
      </c>
      <c r="F60" s="6" t="s">
        <v>291</v>
      </c>
      <c r="G60" s="6" t="s">
        <v>292</v>
      </c>
      <c r="H60" s="6"/>
      <c r="I60" s="6" t="s">
        <v>311</v>
      </c>
      <c r="J60" s="18" t="n">
        <f aca="false">IFERROR(INDEX('Catalog production'!$D$2:$D$15,MATCH(C60&amp;"|"&amp;I60,'Catalog production'!$A$2:$A$15,0))*1,"")</f>
        <v>381.114394689236</v>
      </c>
      <c r="K60" s="16" t="str">
        <f aca="false">IFERROR(INDEX('Catalog production'!$E$2:$E$15,MATCH(C60&amp;"|"&amp;I60,'Catalog production'!$A$2:$A$15,0))&amp;"","")</f>
        <v>LCY/hr</v>
      </c>
      <c r="L60" s="10" t="n">
        <f aca="false">IF(N(J60)=0,"",E60*J60*Settings!$B$2*IF(K60="LCY/hr",1/Settings!$B$3,1))</f>
        <v>3048.91515751389</v>
      </c>
      <c r="M60" s="19" t="n">
        <f aca="false">INDEX('Catalog ref'!$D$2:$D$33,MATCH(C60,'Catalog ref'!$A$2:$A$33,0))</f>
        <v>2111</v>
      </c>
      <c r="N60" s="20" t="n">
        <f aca="false">INDEX('Catalog ref'!$K$2:$K$33,MATCH(C60,'Catalog ref'!$A$2:$A$33,0))</f>
        <v>4.82</v>
      </c>
      <c r="O60" s="19" t="n">
        <f aca="false">INDEX('Catalog ref'!$M$2:$M$33,MATCH(C60,'Catalog ref'!$A$2:$A$33,0))</f>
        <v>550</v>
      </c>
    </row>
    <row r="61" customFormat="false" ht="15" hidden="false" customHeight="true" outlineLevel="0" collapsed="false">
      <c r="A61" s="6" t="s">
        <v>50</v>
      </c>
      <c r="B61" s="6" t="n">
        <v>4</v>
      </c>
      <c r="C61" s="6" t="s">
        <v>305</v>
      </c>
      <c r="D61" s="16" t="str">
        <f aca="false">INDEX('Catalog ref'!$C$2:$C$33,MATCH(C61,'Catalog ref'!$A$2:$A$33,0))</f>
        <v>D6 class (~215-240 hp, ~50k lb)</v>
      </c>
      <c r="E61" s="17" t="n">
        <v>1</v>
      </c>
      <c r="F61" s="6" t="s">
        <v>291</v>
      </c>
      <c r="G61" s="6" t="s">
        <v>292</v>
      </c>
      <c r="H61" s="6"/>
      <c r="I61" s="6" t="s">
        <v>311</v>
      </c>
      <c r="J61" s="18" t="n">
        <f aca="false">IFERROR(INDEX('Catalog production'!$D$2:$D$15,MATCH(C61&amp;"|"&amp;I61,'Catalog production'!$A$2:$A$15,0))*1,"")</f>
        <v>381.114394689236</v>
      </c>
      <c r="K61" s="16" t="str">
        <f aca="false">IFERROR(INDEX('Catalog production'!$E$2:$E$15,MATCH(C61&amp;"|"&amp;I61,'Catalog production'!$A$2:$A$15,0))&amp;"","")</f>
        <v>LCY/hr</v>
      </c>
      <c r="L61" s="10" t="n">
        <f aca="false">IF(N(J61)=0,"",E61*J61*Settings!$B$2*IF(K61="LCY/hr",1/Settings!$B$3,1))</f>
        <v>3048.91515751389</v>
      </c>
      <c r="M61" s="19" t="n">
        <f aca="false">INDEX('Catalog ref'!$D$2:$D$33,MATCH(C61,'Catalog ref'!$A$2:$A$33,0))</f>
        <v>2111</v>
      </c>
      <c r="N61" s="20" t="n">
        <f aca="false">INDEX('Catalog ref'!$K$2:$K$33,MATCH(C61,'Catalog ref'!$A$2:$A$33,0))</f>
        <v>4.82</v>
      </c>
      <c r="O61" s="19" t="n">
        <f aca="false">INDEX('Catalog ref'!$M$2:$M$33,MATCH(C61,'Catalog ref'!$A$2:$A$33,0))</f>
        <v>550</v>
      </c>
    </row>
    <row r="62" customFormat="false" ht="15" hidden="false" customHeight="true" outlineLevel="0" collapsed="false">
      <c r="A62" s="6" t="s">
        <v>50</v>
      </c>
      <c r="B62" s="6" t="n">
        <v>4</v>
      </c>
      <c r="C62" s="6" t="s">
        <v>304</v>
      </c>
      <c r="D62" s="16" t="str">
        <f aca="false">INDEX('Catalog ref'!$C$2:$C$33,MATCH(C62,'Catalog ref'!$A$2:$A$33,0))</f>
        <v>D5 class (~170 hp, ~40k lb)</v>
      </c>
      <c r="E62" s="17" t="n">
        <v>1</v>
      </c>
      <c r="F62" s="6"/>
      <c r="G62" s="6" t="s">
        <v>292</v>
      </c>
      <c r="H62" s="6"/>
      <c r="I62" s="6" t="s">
        <v>311</v>
      </c>
      <c r="J62" s="18" t="n">
        <f aca="false">IFERROR(INDEX('Catalog production'!$D$2:$D$15,MATCH(C62&amp;"|"&amp;I62,'Catalog production'!$A$2:$A$15,0))*1,"")</f>
        <v>233.750162076065</v>
      </c>
      <c r="K62" s="16" t="str">
        <f aca="false">IFERROR(INDEX('Catalog production'!$E$2:$E$15,MATCH(C62&amp;"|"&amp;I62,'Catalog production'!$A$2:$A$15,0))&amp;"","")</f>
        <v>LCY/hr</v>
      </c>
      <c r="L62" s="10" t="n">
        <f aca="false">IF(N(J62)=0,"",E62*J62*Settings!$B$2*IF(K62="LCY/hr",1/Settings!$B$3,1))</f>
        <v>1870.00129660852</v>
      </c>
      <c r="M62" s="19" t="n">
        <f aca="false">INDEX('Catalog ref'!$D$2:$D$33,MATCH(C62,'Catalog ref'!$A$2:$A$33,0))</f>
        <v>1554</v>
      </c>
      <c r="N62" s="20" t="n">
        <f aca="false">INDEX('Catalog ref'!$K$2:$K$33,MATCH(C62,'Catalog ref'!$A$2:$A$33,0))</f>
        <v>4.12</v>
      </c>
      <c r="O62" s="19" t="n">
        <f aca="false">INDEX('Catalog ref'!$M$2:$M$33,MATCH(C62,'Catalog ref'!$A$2:$A$33,0))</f>
        <v>550</v>
      </c>
    </row>
    <row r="63" customFormat="false" ht="15" hidden="false" customHeight="true" outlineLevel="0" collapsed="false">
      <c r="A63" s="6" t="s">
        <v>50</v>
      </c>
      <c r="B63" s="6" t="n">
        <v>5</v>
      </c>
      <c r="C63" s="6" t="s">
        <v>308</v>
      </c>
      <c r="D63" s="16" t="str">
        <f aca="false">INDEX('Catalog ref'!$C$2:$C$33,MATCH(C63,'Catalog ref'!$A$2:$A$33,0))</f>
        <v>D8 class (~363 hp)</v>
      </c>
      <c r="E63" s="17" t="n">
        <v>1</v>
      </c>
      <c r="F63" s="6" t="s">
        <v>291</v>
      </c>
      <c r="G63" s="6" t="s">
        <v>292</v>
      </c>
      <c r="H63" s="6"/>
      <c r="I63" s="6" t="s">
        <v>311</v>
      </c>
      <c r="J63" s="18" t="n">
        <f aca="false">IFERROR(INDEX('Catalog production'!$D$2:$D$15,MATCH(C63&amp;"|"&amp;I63,'Catalog production'!$A$2:$A$15,0))*1,"")</f>
        <v>684.481452861868</v>
      </c>
      <c r="K63" s="16" t="str">
        <f aca="false">IFERROR(INDEX('Catalog production'!$E$2:$E$15,MATCH(C63&amp;"|"&amp;I63,'Catalog production'!$A$2:$A$15,0))&amp;"","")</f>
        <v>LCY/hr</v>
      </c>
      <c r="L63" s="10" t="n">
        <f aca="false">IF(N(J63)=0,"",E63*J63*Settings!$B$2*IF(K63="LCY/hr",1/Settings!$B$3,1))</f>
        <v>5475.85162289495</v>
      </c>
      <c r="M63" s="19" t="n">
        <f aca="false">INDEX('Catalog ref'!$D$2:$D$33,MATCH(C63,'Catalog ref'!$A$2:$A$33,0))</f>
        <v>4170</v>
      </c>
      <c r="N63" s="20" t="n">
        <f aca="false">INDEX('Catalog ref'!$K$2:$K$33,MATCH(C63,'Catalog ref'!$A$2:$A$33,0))</f>
        <v>8.59</v>
      </c>
      <c r="O63" s="19" t="n">
        <f aca="false">INDEX('Catalog ref'!$M$2:$M$33,MATCH(C63,'Catalog ref'!$A$2:$A$33,0))</f>
        <v>1800</v>
      </c>
    </row>
    <row r="64" customFormat="false" ht="15" hidden="false" customHeight="true" outlineLevel="0" collapsed="false">
      <c r="A64" s="6" t="s">
        <v>50</v>
      </c>
      <c r="B64" s="6" t="n">
        <v>5</v>
      </c>
      <c r="C64" s="6" t="s">
        <v>305</v>
      </c>
      <c r="D64" s="16" t="str">
        <f aca="false">INDEX('Catalog ref'!$C$2:$C$33,MATCH(C64,'Catalog ref'!$A$2:$A$33,0))</f>
        <v>D6 class (~215-240 hp, ~50k lb)</v>
      </c>
      <c r="E64" s="17" t="n">
        <v>1</v>
      </c>
      <c r="F64" s="6"/>
      <c r="G64" s="6" t="s">
        <v>292</v>
      </c>
      <c r="H64" s="6"/>
      <c r="I64" s="6" t="s">
        <v>311</v>
      </c>
      <c r="J64" s="18" t="n">
        <f aca="false">IFERROR(INDEX('Catalog production'!$D$2:$D$15,MATCH(C64&amp;"|"&amp;I64,'Catalog production'!$A$2:$A$15,0))*1,"")</f>
        <v>381.114394689236</v>
      </c>
      <c r="K64" s="16" t="str">
        <f aca="false">IFERROR(INDEX('Catalog production'!$E$2:$E$15,MATCH(C64&amp;"|"&amp;I64,'Catalog production'!$A$2:$A$15,0))&amp;"","")</f>
        <v>LCY/hr</v>
      </c>
      <c r="L64" s="10" t="n">
        <f aca="false">IF(N(J64)=0,"",E64*J64*Settings!$B$2*IF(K64="LCY/hr",1/Settings!$B$3,1))</f>
        <v>3048.91515751389</v>
      </c>
      <c r="M64" s="19" t="n">
        <f aca="false">INDEX('Catalog ref'!$D$2:$D$33,MATCH(C64,'Catalog ref'!$A$2:$A$33,0))</f>
        <v>2111</v>
      </c>
      <c r="N64" s="20" t="n">
        <f aca="false">INDEX('Catalog ref'!$K$2:$K$33,MATCH(C64,'Catalog ref'!$A$2:$A$33,0))</f>
        <v>4.82</v>
      </c>
      <c r="O64" s="19" t="n">
        <f aca="false">INDEX('Catalog ref'!$M$2:$M$33,MATCH(C64,'Catalog ref'!$A$2:$A$33,0))</f>
        <v>550</v>
      </c>
    </row>
    <row r="65" customFormat="false" ht="15" hidden="false" customHeight="true" outlineLevel="0" collapsed="false">
      <c r="A65" s="6" t="s">
        <v>54</v>
      </c>
      <c r="B65" s="6" t="n">
        <v>1</v>
      </c>
      <c r="C65" s="6" t="s">
        <v>312</v>
      </c>
      <c r="D65" s="16" t="str">
        <f aca="false">INDEX('Catalog ref'!$C$2:$C$33,MATCH(C65,'Catalog ref'!$A$2:$A$33,0))</f>
        <v>ROC &gt;3,000 lb</v>
      </c>
      <c r="E65" s="17" t="n">
        <v>1</v>
      </c>
      <c r="F65" s="6" t="s">
        <v>291</v>
      </c>
      <c r="G65" s="6" t="s">
        <v>292</v>
      </c>
      <c r="H65" s="6"/>
      <c r="I65" s="6" t="s">
        <v>313</v>
      </c>
      <c r="J65" s="18" t="n">
        <f aca="false">IFERROR(INDEX('Catalog production'!$D$2:$D$15,MATCH(C65&amp;"|"&amp;I65,'Catalog production'!$A$2:$A$15,0))*1,"")</f>
        <v>70.0188</v>
      </c>
      <c r="K65" s="16" t="str">
        <f aca="false">IFERROR(INDEX('Catalog production'!$E$2:$E$15,MATCH(C65&amp;"|"&amp;I65,'Catalog production'!$A$2:$A$15,0))&amp;"","")</f>
        <v>LCY/hr</v>
      </c>
      <c r="L65" s="10" t="n">
        <f aca="false">IF(N(J65)=0,"",E65*J65*Settings!$B$2*IF(K65="LCY/hr",1/Settings!$B$3,1))</f>
        <v>560.1504</v>
      </c>
      <c r="M65" s="19" t="n">
        <f aca="false">INDEX('Catalog ref'!$D$2:$D$33,MATCH(C65,'Catalog ref'!$A$2:$A$33,0))</f>
        <v>500</v>
      </c>
      <c r="N65" s="20" t="n">
        <f aca="false">INDEX('Catalog ref'!$K$2:$K$33,MATCH(C65,'Catalog ref'!$A$2:$A$33,0))</f>
        <v>3.3</v>
      </c>
      <c r="O65" s="19" t="n">
        <f aca="false">INDEX('Catalog ref'!$M$2:$M$33,MATCH(C65,'Catalog ref'!$A$2:$A$33,0))</f>
        <v>500</v>
      </c>
    </row>
    <row r="66" customFormat="false" ht="15" hidden="false" customHeight="true" outlineLevel="0" collapsed="false">
      <c r="A66" s="6" t="s">
        <v>54</v>
      </c>
      <c r="B66" s="6" t="n">
        <v>1</v>
      </c>
      <c r="C66" s="6" t="s">
        <v>300</v>
      </c>
      <c r="D66" s="16" t="str">
        <f aca="false">INDEX('Catalog ref'!$C$2:$C$33,MATCH(C66,'Catalog ref'!$A$2:$A$33,0))</f>
        <v>D3 class (~100-104 hp, 20-24k lb)</v>
      </c>
      <c r="E66" s="17" t="n">
        <v>1</v>
      </c>
      <c r="F66" s="6"/>
      <c r="G66" s="6"/>
      <c r="H66" s="6"/>
      <c r="I66" s="6"/>
      <c r="J66" s="6"/>
      <c r="K66" s="6"/>
      <c r="L66" s="6"/>
      <c r="M66" s="19" t="n">
        <f aca="false">INDEX('Catalog ref'!$D$2:$D$33,MATCH(C66,'Catalog ref'!$A$2:$A$33,0))</f>
        <v>875</v>
      </c>
      <c r="N66" s="20" t="n">
        <f aca="false">INDEX('Catalog ref'!$K$2:$K$33,MATCH(C66,'Catalog ref'!$A$2:$A$33,0))</f>
        <v>1.93</v>
      </c>
      <c r="O66" s="19" t="n">
        <f aca="false">INDEX('Catalog ref'!$M$2:$M$33,MATCH(C66,'Catalog ref'!$A$2:$A$33,0))</f>
        <v>550</v>
      </c>
    </row>
    <row r="67" customFormat="false" ht="15" hidden="false" customHeight="true" outlineLevel="0" collapsed="false">
      <c r="A67" s="6" t="s">
        <v>54</v>
      </c>
      <c r="B67" s="6" t="n">
        <v>2</v>
      </c>
      <c r="C67" s="6" t="s">
        <v>314</v>
      </c>
      <c r="D67" s="16" t="str">
        <f aca="false">INDEX('Catalog ref'!$C$2:$C$33,MATCH(C67,'Catalog ref'!$A$2:$A$33,0))</f>
        <v>3-3.2 yd (~170 hp)</v>
      </c>
      <c r="E67" s="17" t="n">
        <v>1</v>
      </c>
      <c r="F67" s="6" t="s">
        <v>291</v>
      </c>
      <c r="G67" s="6" t="s">
        <v>292</v>
      </c>
      <c r="H67" s="6"/>
      <c r="I67" s="6" t="s">
        <v>313</v>
      </c>
      <c r="J67" s="18" t="n">
        <f aca="false">IFERROR(INDEX('Catalog production'!$D$2:$D$15,MATCH(C67&amp;"|"&amp;I67,'Catalog production'!$A$2:$A$15,0))*1,"")</f>
        <v>293.322</v>
      </c>
      <c r="K67" s="16" t="str">
        <f aca="false">IFERROR(INDEX('Catalog production'!$E$2:$E$15,MATCH(C67&amp;"|"&amp;I67,'Catalog production'!$A$2:$A$15,0))&amp;"","")</f>
        <v>LCY/hr</v>
      </c>
      <c r="L67" s="10" t="n">
        <f aca="false">IF(N(J67)=0,"",E67*J67*Settings!$B$2*IF(K67="LCY/hr",1/Settings!$B$3,1))</f>
        <v>2346.576</v>
      </c>
      <c r="M67" s="19" t="n">
        <f aca="false">INDEX('Catalog ref'!$D$2:$D$33,MATCH(C67,'Catalog ref'!$A$2:$A$33,0))</f>
        <v>825</v>
      </c>
      <c r="N67" s="20" t="n">
        <f aca="false">INDEX('Catalog ref'!$K$2:$K$33,MATCH(C67,'Catalog ref'!$A$2:$A$33,0))</f>
        <v>2.11</v>
      </c>
      <c r="O67" s="19" t="n">
        <f aca="false">INDEX('Catalog ref'!$M$2:$M$33,MATCH(C67,'Catalog ref'!$A$2:$A$33,0))</f>
        <v>550</v>
      </c>
    </row>
    <row r="68" customFormat="false" ht="15" hidden="false" customHeight="true" outlineLevel="0" collapsed="false">
      <c r="A68" s="6" t="s">
        <v>54</v>
      </c>
      <c r="B68" s="6" t="n">
        <v>2</v>
      </c>
      <c r="C68" s="6" t="s">
        <v>294</v>
      </c>
      <c r="D68" s="16" t="str">
        <f aca="false">INDEX('Catalog ref'!$C$2:$C$33,MATCH(C68,'Catalog ref'!$A$2:$A$33,0))</f>
        <v>26.5 t payload</v>
      </c>
      <c r="E68" s="17" t="n">
        <v>1</v>
      </c>
      <c r="F68" s="6"/>
      <c r="G68" s="6"/>
      <c r="H68" s="6"/>
      <c r="I68" s="6"/>
      <c r="J68" s="6"/>
      <c r="K68" s="6"/>
      <c r="L68" s="6"/>
      <c r="M68" s="19" t="n">
        <f aca="false">INDEX('Catalog ref'!$D$2:$D$33,MATCH(C68,'Catalog ref'!$A$2:$A$33,0))</f>
        <v>1882</v>
      </c>
      <c r="N68" s="20" t="n">
        <f aca="false">INDEX('Catalog ref'!$K$2:$K$33,MATCH(C68,'Catalog ref'!$A$2:$A$33,0))</f>
        <v>4.56</v>
      </c>
      <c r="O68" s="19" t="n">
        <f aca="false">INDEX('Catalog ref'!$M$2:$M$33,MATCH(C68,'Catalog ref'!$A$2:$A$33,0))</f>
        <v>1800</v>
      </c>
    </row>
    <row r="69" customFormat="false" ht="15" hidden="false" customHeight="true" outlineLevel="0" collapsed="false">
      <c r="A69" s="6" t="s">
        <v>54</v>
      </c>
      <c r="B69" s="6" t="n">
        <v>2</v>
      </c>
      <c r="C69" s="6" t="s">
        <v>315</v>
      </c>
      <c r="D69" s="16" t="str">
        <f aca="false">INDEX('Catalog ref'!$C$2:$C$33,MATCH(C69,'Catalog ref'!$A$2:$A$33,0))</f>
        <v>D4 class (~130 hp, ~30k lb)</v>
      </c>
      <c r="E69" s="17" t="n">
        <v>1</v>
      </c>
      <c r="F69" s="6"/>
      <c r="G69" s="6"/>
      <c r="H69" s="6"/>
      <c r="I69" s="6"/>
      <c r="J69" s="6"/>
      <c r="K69" s="6"/>
      <c r="L69" s="6"/>
      <c r="M69" s="19" t="n">
        <f aca="false">INDEX('Catalog ref'!$D$2:$D$33,MATCH(C69,'Catalog ref'!$A$2:$A$33,0))</f>
        <v>1142</v>
      </c>
      <c r="N69" s="20" t="n">
        <f aca="false">INDEX('Catalog ref'!$K$2:$K$33,MATCH(C69,'Catalog ref'!$A$2:$A$33,0))</f>
        <v>2.85</v>
      </c>
      <c r="O69" s="19" t="n">
        <f aca="false">INDEX('Catalog ref'!$M$2:$M$33,MATCH(C69,'Catalog ref'!$A$2:$A$33,0))</f>
        <v>550</v>
      </c>
    </row>
    <row r="70" customFormat="false" ht="15" hidden="false" customHeight="true" outlineLevel="0" collapsed="false">
      <c r="A70" s="6" t="s">
        <v>54</v>
      </c>
      <c r="B70" s="6" t="n">
        <v>3</v>
      </c>
      <c r="C70" s="6" t="s">
        <v>316</v>
      </c>
      <c r="D70" s="16" t="str">
        <f aca="false">INDEX('Catalog ref'!$C$2:$C$33,MATCH(C70,'Catalog ref'!$A$2:$A$33,0))</f>
        <v>4.5 yd (~225-250 hp)</v>
      </c>
      <c r="E70" s="17" t="n">
        <v>1</v>
      </c>
      <c r="F70" s="6" t="s">
        <v>291</v>
      </c>
      <c r="G70" s="6" t="s">
        <v>292</v>
      </c>
      <c r="H70" s="6"/>
      <c r="I70" s="6" t="s">
        <v>313</v>
      </c>
      <c r="J70" s="18" t="n">
        <f aca="false">IFERROR(INDEX('Catalog production'!$D$2:$D$15,MATCH(C70&amp;"|"&amp;I70,'Catalog production'!$A$2:$A$15,0))*1,"")</f>
        <v>425.79</v>
      </c>
      <c r="K70" s="16" t="str">
        <f aca="false">IFERROR(INDEX('Catalog production'!$E$2:$E$15,MATCH(C70&amp;"|"&amp;I70,'Catalog production'!$A$2:$A$15,0))&amp;"","")</f>
        <v>LCY/hr</v>
      </c>
      <c r="L70" s="10" t="n">
        <f aca="false">IF(N(J70)=0,"",E70*J70*Settings!$B$2*IF(K70="LCY/hr",1/Settings!$B$3,1))</f>
        <v>3406.32</v>
      </c>
      <c r="M70" s="19" t="n">
        <f aca="false">INDEX('Catalog ref'!$D$2:$D$33,MATCH(C70,'Catalog ref'!$A$2:$A$33,0))</f>
        <v>1473</v>
      </c>
      <c r="N70" s="20" t="n">
        <f aca="false">INDEX('Catalog ref'!$K$2:$K$33,MATCH(C70,'Catalog ref'!$A$2:$A$33,0))</f>
        <v>3.02</v>
      </c>
      <c r="O70" s="19" t="n">
        <f aca="false">INDEX('Catalog ref'!$M$2:$M$33,MATCH(C70,'Catalog ref'!$A$2:$A$33,0))</f>
        <v>550</v>
      </c>
    </row>
    <row r="71" customFormat="false" ht="15" hidden="false" customHeight="true" outlineLevel="0" collapsed="false">
      <c r="A71" s="6" t="s">
        <v>54</v>
      </c>
      <c r="B71" s="6" t="n">
        <v>3</v>
      </c>
      <c r="C71" s="6" t="s">
        <v>296</v>
      </c>
      <c r="D71" s="16" t="str">
        <f aca="false">INDEX('Catalog ref'!$C$2:$C$33,MATCH(C71,'Catalog ref'!$A$2:$A$33,0))</f>
        <v>30 t payload</v>
      </c>
      <c r="E71" s="17" t="n">
        <v>2</v>
      </c>
      <c r="F71" s="6"/>
      <c r="G71" s="6"/>
      <c r="H71" s="6"/>
      <c r="I71" s="6"/>
      <c r="J71" s="6"/>
      <c r="K71" s="6"/>
      <c r="L71" s="6"/>
      <c r="M71" s="19" t="n">
        <f aca="false">INDEX('Catalog ref'!$D$2:$D$33,MATCH(C71,'Catalog ref'!$A$2:$A$33,0))</f>
        <v>2126</v>
      </c>
      <c r="N71" s="20" t="n">
        <f aca="false">INDEX('Catalog ref'!$K$2:$K$33,MATCH(C71,'Catalog ref'!$A$2:$A$33,0))</f>
        <v>4.38</v>
      </c>
      <c r="O71" s="19" t="n">
        <f aca="false">INDEX('Catalog ref'!$M$2:$M$33,MATCH(C71,'Catalog ref'!$A$2:$A$33,0))</f>
        <v>1800</v>
      </c>
    </row>
    <row r="72" customFormat="false" ht="15" hidden="false" customHeight="true" outlineLevel="0" collapsed="false">
      <c r="A72" s="6" t="s">
        <v>54</v>
      </c>
      <c r="B72" s="6" t="n">
        <v>3</v>
      </c>
      <c r="C72" s="6" t="s">
        <v>304</v>
      </c>
      <c r="D72" s="16" t="str">
        <f aca="false">INDEX('Catalog ref'!$C$2:$C$33,MATCH(C72,'Catalog ref'!$A$2:$A$33,0))</f>
        <v>D5 class (~170 hp, ~40k lb)</v>
      </c>
      <c r="E72" s="17" t="n">
        <v>1</v>
      </c>
      <c r="F72" s="6"/>
      <c r="G72" s="6"/>
      <c r="H72" s="6"/>
      <c r="I72" s="6"/>
      <c r="J72" s="6"/>
      <c r="K72" s="6"/>
      <c r="L72" s="6"/>
      <c r="M72" s="19" t="n">
        <f aca="false">INDEX('Catalog ref'!$D$2:$D$33,MATCH(C72,'Catalog ref'!$A$2:$A$33,0))</f>
        <v>1554</v>
      </c>
      <c r="N72" s="20" t="n">
        <f aca="false">INDEX('Catalog ref'!$K$2:$K$33,MATCH(C72,'Catalog ref'!$A$2:$A$33,0))</f>
        <v>4.12</v>
      </c>
      <c r="O72" s="19" t="n">
        <f aca="false">INDEX('Catalog ref'!$M$2:$M$33,MATCH(C72,'Catalog ref'!$A$2:$A$33,0))</f>
        <v>550</v>
      </c>
    </row>
    <row r="73" customFormat="false" ht="15" hidden="false" customHeight="true" outlineLevel="0" collapsed="false">
      <c r="A73" s="6" t="s">
        <v>54</v>
      </c>
      <c r="B73" s="6" t="n">
        <v>4</v>
      </c>
      <c r="C73" s="6" t="s">
        <v>316</v>
      </c>
      <c r="D73" s="16" t="str">
        <f aca="false">INDEX('Catalog ref'!$C$2:$C$33,MATCH(C73,'Catalog ref'!$A$2:$A$33,0))</f>
        <v>4.5 yd (~225-250 hp)</v>
      </c>
      <c r="E73" s="17" t="n">
        <v>1</v>
      </c>
      <c r="F73" s="6" t="s">
        <v>291</v>
      </c>
      <c r="G73" s="6" t="s">
        <v>292</v>
      </c>
      <c r="H73" s="6"/>
      <c r="I73" s="6" t="s">
        <v>313</v>
      </c>
      <c r="J73" s="18" t="n">
        <f aca="false">IFERROR(INDEX('Catalog production'!$D$2:$D$15,MATCH(C73&amp;"|"&amp;I73,'Catalog production'!$A$2:$A$15,0))*1,"")</f>
        <v>425.79</v>
      </c>
      <c r="K73" s="16" t="str">
        <f aca="false">IFERROR(INDEX('Catalog production'!$E$2:$E$15,MATCH(C73&amp;"|"&amp;I73,'Catalog production'!$A$2:$A$15,0))&amp;"","")</f>
        <v>LCY/hr</v>
      </c>
      <c r="L73" s="10" t="n">
        <f aca="false">IF(N(J73)=0,"",E73*J73*Settings!$B$2*IF(K73="LCY/hr",1/Settings!$B$3,1))</f>
        <v>3406.32</v>
      </c>
      <c r="M73" s="19" t="n">
        <f aca="false">INDEX('Catalog ref'!$D$2:$D$33,MATCH(C73,'Catalog ref'!$A$2:$A$33,0))</f>
        <v>1473</v>
      </c>
      <c r="N73" s="20" t="n">
        <f aca="false">INDEX('Catalog ref'!$K$2:$K$33,MATCH(C73,'Catalog ref'!$A$2:$A$33,0))</f>
        <v>3.02</v>
      </c>
      <c r="O73" s="19" t="n">
        <f aca="false">INDEX('Catalog ref'!$M$2:$M$33,MATCH(C73,'Catalog ref'!$A$2:$A$33,0))</f>
        <v>550</v>
      </c>
    </row>
    <row r="74" customFormat="false" ht="15" hidden="false" customHeight="true" outlineLevel="0" collapsed="false">
      <c r="A74" s="6" t="s">
        <v>54</v>
      </c>
      <c r="B74" s="6" t="n">
        <v>4</v>
      </c>
      <c r="C74" s="6" t="s">
        <v>296</v>
      </c>
      <c r="D74" s="16" t="str">
        <f aca="false">INDEX('Catalog ref'!$C$2:$C$33,MATCH(C74,'Catalog ref'!$A$2:$A$33,0))</f>
        <v>30 t payload</v>
      </c>
      <c r="E74" s="17" t="n">
        <v>3</v>
      </c>
      <c r="F74" s="6"/>
      <c r="G74" s="6"/>
      <c r="H74" s="6"/>
      <c r="I74" s="6"/>
      <c r="J74" s="6"/>
      <c r="K74" s="6"/>
      <c r="L74" s="6"/>
      <c r="M74" s="19" t="n">
        <f aca="false">INDEX('Catalog ref'!$D$2:$D$33,MATCH(C74,'Catalog ref'!$A$2:$A$33,0))</f>
        <v>2126</v>
      </c>
      <c r="N74" s="20" t="n">
        <f aca="false">INDEX('Catalog ref'!$K$2:$K$33,MATCH(C74,'Catalog ref'!$A$2:$A$33,0))</f>
        <v>4.38</v>
      </c>
      <c r="O74" s="19" t="n">
        <f aca="false">INDEX('Catalog ref'!$M$2:$M$33,MATCH(C74,'Catalog ref'!$A$2:$A$33,0))</f>
        <v>1800</v>
      </c>
    </row>
    <row r="75" customFormat="false" ht="15" hidden="false" customHeight="true" outlineLevel="0" collapsed="false">
      <c r="A75" s="6" t="s">
        <v>54</v>
      </c>
      <c r="B75" s="6" t="n">
        <v>4</v>
      </c>
      <c r="C75" s="6" t="s">
        <v>305</v>
      </c>
      <c r="D75" s="16" t="str">
        <f aca="false">INDEX('Catalog ref'!$C$2:$C$33,MATCH(C75,'Catalog ref'!$A$2:$A$33,0))</f>
        <v>D6 class (~215-240 hp, ~50k lb)</v>
      </c>
      <c r="E75" s="17" t="n">
        <v>1</v>
      </c>
      <c r="F75" s="6"/>
      <c r="G75" s="6"/>
      <c r="H75" s="6"/>
      <c r="I75" s="6"/>
      <c r="J75" s="6"/>
      <c r="K75" s="6"/>
      <c r="L75" s="6"/>
      <c r="M75" s="19" t="n">
        <f aca="false">INDEX('Catalog ref'!$D$2:$D$33,MATCH(C75,'Catalog ref'!$A$2:$A$33,0))</f>
        <v>2111</v>
      </c>
      <c r="N75" s="20" t="n">
        <f aca="false">INDEX('Catalog ref'!$K$2:$K$33,MATCH(C75,'Catalog ref'!$A$2:$A$33,0))</f>
        <v>4.82</v>
      </c>
      <c r="O75" s="19" t="n">
        <f aca="false">INDEX('Catalog ref'!$M$2:$M$33,MATCH(C75,'Catalog ref'!$A$2:$A$33,0))</f>
        <v>550</v>
      </c>
    </row>
    <row r="76" customFormat="false" ht="15" hidden="false" customHeight="true" outlineLevel="0" collapsed="false">
      <c r="A76" s="6" t="s">
        <v>58</v>
      </c>
      <c r="B76" s="6" t="n">
        <v>1</v>
      </c>
      <c r="C76" s="6" t="s">
        <v>314</v>
      </c>
      <c r="D76" s="16" t="str">
        <f aca="false">INDEX('Catalog ref'!$C$2:$C$33,MATCH(C76,'Catalog ref'!$A$2:$A$33,0))</f>
        <v>3-3.2 yd (~170 hp)</v>
      </c>
      <c r="E76" s="17" t="n">
        <v>1</v>
      </c>
      <c r="F76" s="6" t="s">
        <v>291</v>
      </c>
      <c r="G76" s="6" t="s">
        <v>317</v>
      </c>
      <c r="H76" s="6"/>
      <c r="I76" s="6" t="s">
        <v>313</v>
      </c>
      <c r="J76" s="18" t="n">
        <f aca="false">IFERROR(INDEX('Catalog production'!$D$2:$D$15,MATCH(C76&amp;"|"&amp;I76,'Catalog production'!$A$2:$A$15,0))*1,"")</f>
        <v>293.322</v>
      </c>
      <c r="K76" s="16" t="str">
        <f aca="false">IFERROR(INDEX('Catalog production'!$E$2:$E$15,MATCH(C76&amp;"|"&amp;I76,'Catalog production'!$A$2:$A$15,0))&amp;"","")</f>
        <v>LCY/hr</v>
      </c>
      <c r="L76" s="10" t="n">
        <f aca="false">IF(N(J76)=0,"",E76*J76*Settings!$B$2*1)</f>
        <v>2933.22</v>
      </c>
      <c r="M76" s="19" t="n">
        <f aca="false">INDEX('Catalog ref'!$D$2:$D$33,MATCH(C76,'Catalog ref'!$A$2:$A$33,0))</f>
        <v>825</v>
      </c>
      <c r="N76" s="20" t="n">
        <f aca="false">INDEX('Catalog ref'!$K$2:$K$33,MATCH(C76,'Catalog ref'!$A$2:$A$33,0))</f>
        <v>2.11</v>
      </c>
      <c r="O76" s="19" t="n">
        <f aca="false">INDEX('Catalog ref'!$M$2:$M$33,MATCH(C76,'Catalog ref'!$A$2:$A$33,0))</f>
        <v>550</v>
      </c>
    </row>
    <row r="77" customFormat="false" ht="15" hidden="false" customHeight="true" outlineLevel="0" collapsed="false">
      <c r="A77" s="6" t="s">
        <v>58</v>
      </c>
      <c r="B77" s="6" t="n">
        <v>1</v>
      </c>
      <c r="C77" s="6" t="s">
        <v>318</v>
      </c>
      <c r="D77" s="16" t="str">
        <f aca="false">INDEX('Catalog ref'!$C$2:$C$33,MATCH(C77,'Catalog ref'!$A$2:$A$33,0))</f>
        <v>3-axle (tri-axle), operated</v>
      </c>
      <c r="E77" s="17" t="n">
        <v>2</v>
      </c>
      <c r="F77" s="6"/>
      <c r="G77" s="6" t="s">
        <v>319</v>
      </c>
      <c r="H77" s="6"/>
      <c r="I77" s="6" t="s">
        <v>320</v>
      </c>
      <c r="J77" s="21" t="n">
        <f aca="false">Settings!$B$5/Settings!$B$2</f>
        <v>14</v>
      </c>
      <c r="K77" s="6" t="s">
        <v>321</v>
      </c>
      <c r="L77" s="10" t="n">
        <f aca="false">IF(N(J77)=0,"",E77*J77*Settings!$B$2*1)</f>
        <v>280</v>
      </c>
      <c r="M77" s="19" t="n">
        <f aca="false">INDEX('Catalog ref'!$D$2:$D$33,MATCH(C77,'Catalog ref'!$A$2:$A$33,0))</f>
        <v>0</v>
      </c>
      <c r="N77" s="20" t="n">
        <f aca="false">INDEX('Catalog ref'!$K$2:$K$33,MATCH(C77,'Catalog ref'!$A$2:$A$33,0))</f>
        <v>0</v>
      </c>
      <c r="O77" s="19" t="n">
        <f aca="false">INDEX('Catalog ref'!$M$2:$M$33,MATCH(C77,'Catalog ref'!$A$2:$A$33,0))</f>
        <v>0</v>
      </c>
    </row>
    <row r="78" customFormat="false" ht="15" hidden="false" customHeight="true" outlineLevel="0" collapsed="false">
      <c r="A78" s="6" t="s">
        <v>58</v>
      </c>
      <c r="B78" s="6" t="n">
        <v>2</v>
      </c>
      <c r="C78" s="6" t="s">
        <v>314</v>
      </c>
      <c r="D78" s="16" t="str">
        <f aca="false">INDEX('Catalog ref'!$C$2:$C$33,MATCH(C78,'Catalog ref'!$A$2:$A$33,0))</f>
        <v>3-3.2 yd (~170 hp)</v>
      </c>
      <c r="E78" s="17" t="n">
        <v>1</v>
      </c>
      <c r="F78" s="6" t="s">
        <v>291</v>
      </c>
      <c r="G78" s="6" t="s">
        <v>317</v>
      </c>
      <c r="H78" s="6"/>
      <c r="I78" s="6" t="s">
        <v>313</v>
      </c>
      <c r="J78" s="18" t="n">
        <f aca="false">IFERROR(INDEX('Catalog production'!$D$2:$D$15,MATCH(C78&amp;"|"&amp;I78,'Catalog production'!$A$2:$A$15,0))*1,"")</f>
        <v>293.322</v>
      </c>
      <c r="K78" s="16" t="str">
        <f aca="false">IFERROR(INDEX('Catalog production'!$E$2:$E$15,MATCH(C78&amp;"|"&amp;I78,'Catalog production'!$A$2:$A$15,0))&amp;"","")</f>
        <v>LCY/hr</v>
      </c>
      <c r="L78" s="10" t="n">
        <f aca="false">IF(N(J78)=0,"",E78*J78*Settings!$B$2*1)</f>
        <v>2933.22</v>
      </c>
      <c r="M78" s="19" t="n">
        <f aca="false">INDEX('Catalog ref'!$D$2:$D$33,MATCH(C78,'Catalog ref'!$A$2:$A$33,0))</f>
        <v>825</v>
      </c>
      <c r="N78" s="20" t="n">
        <f aca="false">INDEX('Catalog ref'!$K$2:$K$33,MATCH(C78,'Catalog ref'!$A$2:$A$33,0))</f>
        <v>2.11</v>
      </c>
      <c r="O78" s="19" t="n">
        <f aca="false">INDEX('Catalog ref'!$M$2:$M$33,MATCH(C78,'Catalog ref'!$A$2:$A$33,0))</f>
        <v>550</v>
      </c>
    </row>
    <row r="79" customFormat="false" ht="15" hidden="false" customHeight="true" outlineLevel="0" collapsed="false">
      <c r="A79" s="6" t="s">
        <v>58</v>
      </c>
      <c r="B79" s="6" t="n">
        <v>2</v>
      </c>
      <c r="C79" s="6" t="s">
        <v>318</v>
      </c>
      <c r="D79" s="16" t="str">
        <f aca="false">INDEX('Catalog ref'!$C$2:$C$33,MATCH(C79,'Catalog ref'!$A$2:$A$33,0))</f>
        <v>3-axle (tri-axle), operated</v>
      </c>
      <c r="E79" s="17" t="n">
        <v>3</v>
      </c>
      <c r="F79" s="6"/>
      <c r="G79" s="6" t="s">
        <v>319</v>
      </c>
      <c r="H79" s="6"/>
      <c r="I79" s="6" t="s">
        <v>320</v>
      </c>
      <c r="J79" s="21" t="n">
        <f aca="false">Settings!$B$5/Settings!$B$2</f>
        <v>14</v>
      </c>
      <c r="K79" s="6" t="s">
        <v>321</v>
      </c>
      <c r="L79" s="10" t="n">
        <f aca="false">IF(N(J79)=0,"",E79*J79*Settings!$B$2*1)</f>
        <v>420</v>
      </c>
      <c r="M79" s="19" t="n">
        <f aca="false">INDEX('Catalog ref'!$D$2:$D$33,MATCH(C79,'Catalog ref'!$A$2:$A$33,0))</f>
        <v>0</v>
      </c>
      <c r="N79" s="20" t="n">
        <f aca="false">INDEX('Catalog ref'!$K$2:$K$33,MATCH(C79,'Catalog ref'!$A$2:$A$33,0))</f>
        <v>0</v>
      </c>
      <c r="O79" s="19" t="n">
        <f aca="false">INDEX('Catalog ref'!$M$2:$M$33,MATCH(C79,'Catalog ref'!$A$2:$A$33,0))</f>
        <v>0</v>
      </c>
    </row>
    <row r="80" customFormat="false" ht="15" hidden="false" customHeight="true" outlineLevel="0" collapsed="false">
      <c r="A80" s="6" t="s">
        <v>58</v>
      </c>
      <c r="B80" s="6" t="n">
        <v>3</v>
      </c>
      <c r="C80" s="6" t="s">
        <v>314</v>
      </c>
      <c r="D80" s="16" t="str">
        <f aca="false">INDEX('Catalog ref'!$C$2:$C$33,MATCH(C80,'Catalog ref'!$A$2:$A$33,0))</f>
        <v>3-3.2 yd (~170 hp)</v>
      </c>
      <c r="E80" s="17" t="n">
        <v>1</v>
      </c>
      <c r="F80" s="6" t="s">
        <v>291</v>
      </c>
      <c r="G80" s="6" t="s">
        <v>317</v>
      </c>
      <c r="H80" s="6"/>
      <c r="I80" s="6" t="s">
        <v>313</v>
      </c>
      <c r="J80" s="18" t="n">
        <f aca="false">IFERROR(INDEX('Catalog production'!$D$2:$D$15,MATCH(C80&amp;"|"&amp;I80,'Catalog production'!$A$2:$A$15,0))*1,"")</f>
        <v>293.322</v>
      </c>
      <c r="K80" s="16" t="str">
        <f aca="false">IFERROR(INDEX('Catalog production'!$E$2:$E$15,MATCH(C80&amp;"|"&amp;I80,'Catalog production'!$A$2:$A$15,0))&amp;"","")</f>
        <v>LCY/hr</v>
      </c>
      <c r="L80" s="10" t="n">
        <f aca="false">IF(N(J80)=0,"",E80*J80*Settings!$B$2*1)</f>
        <v>2933.22</v>
      </c>
      <c r="M80" s="19" t="n">
        <f aca="false">INDEX('Catalog ref'!$D$2:$D$33,MATCH(C80,'Catalog ref'!$A$2:$A$33,0))</f>
        <v>825</v>
      </c>
      <c r="N80" s="20" t="n">
        <f aca="false">INDEX('Catalog ref'!$K$2:$K$33,MATCH(C80,'Catalog ref'!$A$2:$A$33,0))</f>
        <v>2.11</v>
      </c>
      <c r="O80" s="19" t="n">
        <f aca="false">INDEX('Catalog ref'!$M$2:$M$33,MATCH(C80,'Catalog ref'!$A$2:$A$33,0))</f>
        <v>550</v>
      </c>
    </row>
    <row r="81" customFormat="false" ht="15" hidden="false" customHeight="true" outlineLevel="0" collapsed="false">
      <c r="A81" s="6" t="s">
        <v>58</v>
      </c>
      <c r="B81" s="6" t="n">
        <v>3</v>
      </c>
      <c r="C81" s="6" t="s">
        <v>318</v>
      </c>
      <c r="D81" s="16" t="str">
        <f aca="false">INDEX('Catalog ref'!$C$2:$C$33,MATCH(C81,'Catalog ref'!$A$2:$A$33,0))</f>
        <v>3-axle (tri-axle), operated</v>
      </c>
      <c r="E81" s="17" t="n">
        <v>4</v>
      </c>
      <c r="F81" s="6"/>
      <c r="G81" s="6" t="s">
        <v>319</v>
      </c>
      <c r="H81" s="6"/>
      <c r="I81" s="6" t="s">
        <v>320</v>
      </c>
      <c r="J81" s="21" t="n">
        <f aca="false">Settings!$B$5/Settings!$B$2</f>
        <v>14</v>
      </c>
      <c r="K81" s="6" t="s">
        <v>321</v>
      </c>
      <c r="L81" s="10" t="n">
        <f aca="false">IF(N(J81)=0,"",E81*J81*Settings!$B$2*1)</f>
        <v>560</v>
      </c>
      <c r="M81" s="19" t="n">
        <f aca="false">INDEX('Catalog ref'!$D$2:$D$33,MATCH(C81,'Catalog ref'!$A$2:$A$33,0))</f>
        <v>0</v>
      </c>
      <c r="N81" s="20" t="n">
        <f aca="false">INDEX('Catalog ref'!$K$2:$K$33,MATCH(C81,'Catalog ref'!$A$2:$A$33,0))</f>
        <v>0</v>
      </c>
      <c r="O81" s="19" t="n">
        <f aca="false">INDEX('Catalog ref'!$M$2:$M$33,MATCH(C81,'Catalog ref'!$A$2:$A$33,0))</f>
        <v>0</v>
      </c>
    </row>
    <row r="82" customFormat="false" ht="15" hidden="false" customHeight="true" outlineLevel="0" collapsed="false">
      <c r="A82" s="6" t="s">
        <v>58</v>
      </c>
      <c r="B82" s="6" t="n">
        <v>4</v>
      </c>
      <c r="C82" s="6" t="s">
        <v>314</v>
      </c>
      <c r="D82" s="16" t="str">
        <f aca="false">INDEX('Catalog ref'!$C$2:$C$33,MATCH(C82,'Catalog ref'!$A$2:$A$33,0))</f>
        <v>3-3.2 yd (~170 hp)</v>
      </c>
      <c r="E82" s="17" t="n">
        <v>1</v>
      </c>
      <c r="F82" s="6" t="s">
        <v>291</v>
      </c>
      <c r="G82" s="6" t="s">
        <v>317</v>
      </c>
      <c r="H82" s="6"/>
      <c r="I82" s="6" t="s">
        <v>313</v>
      </c>
      <c r="J82" s="18" t="n">
        <f aca="false">IFERROR(INDEX('Catalog production'!$D$2:$D$15,MATCH(C82&amp;"|"&amp;I82,'Catalog production'!$A$2:$A$15,0))*1,"")</f>
        <v>293.322</v>
      </c>
      <c r="K82" s="16" t="str">
        <f aca="false">IFERROR(INDEX('Catalog production'!$E$2:$E$15,MATCH(C82&amp;"|"&amp;I82,'Catalog production'!$A$2:$A$15,0))&amp;"","")</f>
        <v>LCY/hr</v>
      </c>
      <c r="L82" s="10" t="n">
        <f aca="false">IF(N(J82)=0,"",E82*J82*Settings!$B$2*1)</f>
        <v>2933.22</v>
      </c>
      <c r="M82" s="19" t="n">
        <f aca="false">INDEX('Catalog ref'!$D$2:$D$33,MATCH(C82,'Catalog ref'!$A$2:$A$33,0))</f>
        <v>825</v>
      </c>
      <c r="N82" s="20" t="n">
        <f aca="false">INDEX('Catalog ref'!$K$2:$K$33,MATCH(C82,'Catalog ref'!$A$2:$A$33,0))</f>
        <v>2.11</v>
      </c>
      <c r="O82" s="19" t="n">
        <f aca="false">INDEX('Catalog ref'!$M$2:$M$33,MATCH(C82,'Catalog ref'!$A$2:$A$33,0))</f>
        <v>550</v>
      </c>
    </row>
    <row r="83" customFormat="false" ht="15" hidden="false" customHeight="true" outlineLevel="0" collapsed="false">
      <c r="A83" s="6" t="s">
        <v>58</v>
      </c>
      <c r="B83" s="6" t="n">
        <v>4</v>
      </c>
      <c r="C83" s="6" t="s">
        <v>318</v>
      </c>
      <c r="D83" s="16" t="str">
        <f aca="false">INDEX('Catalog ref'!$C$2:$C$33,MATCH(C83,'Catalog ref'!$A$2:$A$33,0))</f>
        <v>3-axle (tri-axle), operated</v>
      </c>
      <c r="E83" s="17" t="n">
        <v>5</v>
      </c>
      <c r="F83" s="6"/>
      <c r="G83" s="6" t="s">
        <v>319</v>
      </c>
      <c r="H83" s="6"/>
      <c r="I83" s="6" t="s">
        <v>320</v>
      </c>
      <c r="J83" s="21" t="n">
        <f aca="false">Settings!$B$5/Settings!$B$2</f>
        <v>14</v>
      </c>
      <c r="K83" s="6" t="s">
        <v>321</v>
      </c>
      <c r="L83" s="10" t="n">
        <f aca="false">IF(N(J83)=0,"",E83*J83*Settings!$B$2*1)</f>
        <v>700</v>
      </c>
      <c r="M83" s="19" t="n">
        <f aca="false">INDEX('Catalog ref'!$D$2:$D$33,MATCH(C83,'Catalog ref'!$A$2:$A$33,0))</f>
        <v>0</v>
      </c>
      <c r="N83" s="20" t="n">
        <f aca="false">INDEX('Catalog ref'!$K$2:$K$33,MATCH(C83,'Catalog ref'!$A$2:$A$33,0))</f>
        <v>0</v>
      </c>
      <c r="O83" s="19" t="n">
        <f aca="false">INDEX('Catalog ref'!$M$2:$M$33,MATCH(C83,'Catalog ref'!$A$2:$A$33,0))</f>
        <v>0</v>
      </c>
    </row>
    <row r="84" customFormat="false" ht="15" hidden="false" customHeight="true" outlineLevel="0" collapsed="false">
      <c r="A84" s="6" t="s">
        <v>58</v>
      </c>
      <c r="B84" s="6" t="n">
        <v>5</v>
      </c>
      <c r="C84" s="6" t="s">
        <v>314</v>
      </c>
      <c r="D84" s="16" t="str">
        <f aca="false">INDEX('Catalog ref'!$C$2:$C$33,MATCH(C84,'Catalog ref'!$A$2:$A$33,0))</f>
        <v>3-3.2 yd (~170 hp)</v>
      </c>
      <c r="E84" s="17" t="n">
        <v>1</v>
      </c>
      <c r="F84" s="6" t="s">
        <v>291</v>
      </c>
      <c r="G84" s="6" t="s">
        <v>317</v>
      </c>
      <c r="H84" s="6"/>
      <c r="I84" s="6" t="s">
        <v>313</v>
      </c>
      <c r="J84" s="18" t="n">
        <f aca="false">IFERROR(INDEX('Catalog production'!$D$2:$D$15,MATCH(C84&amp;"|"&amp;I84,'Catalog production'!$A$2:$A$15,0))*1,"")</f>
        <v>293.322</v>
      </c>
      <c r="K84" s="16" t="str">
        <f aca="false">IFERROR(INDEX('Catalog production'!$E$2:$E$15,MATCH(C84&amp;"|"&amp;I84,'Catalog production'!$A$2:$A$15,0))&amp;"","")</f>
        <v>LCY/hr</v>
      </c>
      <c r="L84" s="10" t="n">
        <f aca="false">IF(N(J84)=0,"",E84*J84*Settings!$B$2*1)</f>
        <v>2933.22</v>
      </c>
      <c r="M84" s="19" t="n">
        <f aca="false">INDEX('Catalog ref'!$D$2:$D$33,MATCH(C84,'Catalog ref'!$A$2:$A$33,0))</f>
        <v>825</v>
      </c>
      <c r="N84" s="20" t="n">
        <f aca="false">INDEX('Catalog ref'!$K$2:$K$33,MATCH(C84,'Catalog ref'!$A$2:$A$33,0))</f>
        <v>2.11</v>
      </c>
      <c r="O84" s="19" t="n">
        <f aca="false">INDEX('Catalog ref'!$M$2:$M$33,MATCH(C84,'Catalog ref'!$A$2:$A$33,0))</f>
        <v>550</v>
      </c>
    </row>
    <row r="85" customFormat="false" ht="15" hidden="false" customHeight="true" outlineLevel="0" collapsed="false">
      <c r="A85" s="6" t="s">
        <v>58</v>
      </c>
      <c r="B85" s="6" t="n">
        <v>5</v>
      </c>
      <c r="C85" s="6" t="s">
        <v>318</v>
      </c>
      <c r="D85" s="16" t="str">
        <f aca="false">INDEX('Catalog ref'!$C$2:$C$33,MATCH(C85,'Catalog ref'!$A$2:$A$33,0))</f>
        <v>3-axle (tri-axle), operated</v>
      </c>
      <c r="E85" s="17" t="n">
        <v>6</v>
      </c>
      <c r="F85" s="6"/>
      <c r="G85" s="6" t="s">
        <v>319</v>
      </c>
      <c r="H85" s="6"/>
      <c r="I85" s="6" t="s">
        <v>320</v>
      </c>
      <c r="J85" s="21" t="n">
        <f aca="false">Settings!$B$5/Settings!$B$2</f>
        <v>14</v>
      </c>
      <c r="K85" s="6" t="s">
        <v>321</v>
      </c>
      <c r="L85" s="10" t="n">
        <f aca="false">IF(N(J85)=0,"",E85*J85*Settings!$B$2*1)</f>
        <v>840</v>
      </c>
      <c r="M85" s="19" t="n">
        <f aca="false">INDEX('Catalog ref'!$D$2:$D$33,MATCH(C85,'Catalog ref'!$A$2:$A$33,0))</f>
        <v>0</v>
      </c>
      <c r="N85" s="20" t="n">
        <f aca="false">INDEX('Catalog ref'!$K$2:$K$33,MATCH(C85,'Catalog ref'!$A$2:$A$33,0))</f>
        <v>0</v>
      </c>
      <c r="O85" s="19" t="n">
        <f aca="false">INDEX('Catalog ref'!$M$2:$M$33,MATCH(C85,'Catalog ref'!$A$2:$A$33,0))</f>
        <v>0</v>
      </c>
    </row>
    <row r="86" customFormat="false" ht="15" hidden="false" customHeight="true" outlineLevel="0" collapsed="false">
      <c r="A86" s="6" t="s">
        <v>58</v>
      </c>
      <c r="B86" s="6" t="n">
        <v>6</v>
      </c>
      <c r="C86" s="6" t="s">
        <v>314</v>
      </c>
      <c r="D86" s="16" t="str">
        <f aca="false">INDEX('Catalog ref'!$C$2:$C$33,MATCH(C86,'Catalog ref'!$A$2:$A$33,0))</f>
        <v>3-3.2 yd (~170 hp)</v>
      </c>
      <c r="E86" s="17" t="n">
        <v>1</v>
      </c>
      <c r="F86" s="6" t="s">
        <v>291</v>
      </c>
      <c r="G86" s="6" t="s">
        <v>317</v>
      </c>
      <c r="H86" s="6"/>
      <c r="I86" s="6" t="s">
        <v>313</v>
      </c>
      <c r="J86" s="18" t="n">
        <f aca="false">IFERROR(INDEX('Catalog production'!$D$2:$D$15,MATCH(C86&amp;"|"&amp;I86,'Catalog production'!$A$2:$A$15,0))*1,"")</f>
        <v>293.322</v>
      </c>
      <c r="K86" s="16" t="str">
        <f aca="false">IFERROR(INDEX('Catalog production'!$E$2:$E$15,MATCH(C86&amp;"|"&amp;I86,'Catalog production'!$A$2:$A$15,0))&amp;"","")</f>
        <v>LCY/hr</v>
      </c>
      <c r="L86" s="10" t="n">
        <f aca="false">IF(N(J86)=0,"",E86*J86*Settings!$B$2*1)</f>
        <v>2933.22</v>
      </c>
      <c r="M86" s="19" t="n">
        <f aca="false">INDEX('Catalog ref'!$D$2:$D$33,MATCH(C86,'Catalog ref'!$A$2:$A$33,0))</f>
        <v>825</v>
      </c>
      <c r="N86" s="20" t="n">
        <f aca="false">INDEX('Catalog ref'!$K$2:$K$33,MATCH(C86,'Catalog ref'!$A$2:$A$33,0))</f>
        <v>2.11</v>
      </c>
      <c r="O86" s="19" t="n">
        <f aca="false">INDEX('Catalog ref'!$M$2:$M$33,MATCH(C86,'Catalog ref'!$A$2:$A$33,0))</f>
        <v>550</v>
      </c>
    </row>
    <row r="87" customFormat="false" ht="15" hidden="false" customHeight="true" outlineLevel="0" collapsed="false">
      <c r="A87" s="6" t="s">
        <v>58</v>
      </c>
      <c r="B87" s="6" t="n">
        <v>6</v>
      </c>
      <c r="C87" s="6" t="s">
        <v>318</v>
      </c>
      <c r="D87" s="16" t="str">
        <f aca="false">INDEX('Catalog ref'!$C$2:$C$33,MATCH(C87,'Catalog ref'!$A$2:$A$33,0))</f>
        <v>3-axle (tri-axle), operated</v>
      </c>
      <c r="E87" s="17" t="n">
        <v>8</v>
      </c>
      <c r="F87" s="6"/>
      <c r="G87" s="6" t="s">
        <v>319</v>
      </c>
      <c r="H87" s="6"/>
      <c r="I87" s="6" t="s">
        <v>320</v>
      </c>
      <c r="J87" s="21" t="n">
        <f aca="false">Settings!$B$5/Settings!$B$2</f>
        <v>14</v>
      </c>
      <c r="K87" s="6" t="s">
        <v>321</v>
      </c>
      <c r="L87" s="10" t="n">
        <f aca="false">IF(N(J87)=0,"",E87*J87*Settings!$B$2*1)</f>
        <v>1120</v>
      </c>
      <c r="M87" s="19" t="n">
        <f aca="false">INDEX('Catalog ref'!$D$2:$D$33,MATCH(C87,'Catalog ref'!$A$2:$A$33,0))</f>
        <v>0</v>
      </c>
      <c r="N87" s="20" t="n">
        <f aca="false">INDEX('Catalog ref'!$K$2:$K$33,MATCH(C87,'Catalog ref'!$A$2:$A$33,0))</f>
        <v>0</v>
      </c>
      <c r="O87" s="19" t="n">
        <f aca="false">INDEX('Catalog ref'!$M$2:$M$33,MATCH(C87,'Catalog ref'!$A$2:$A$33,0))</f>
        <v>0</v>
      </c>
    </row>
    <row r="88" customFormat="false" ht="15" hidden="false" customHeight="true" outlineLevel="0" collapsed="false">
      <c r="A88" s="6" t="s">
        <v>58</v>
      </c>
      <c r="B88" s="6" t="n">
        <v>7</v>
      </c>
      <c r="C88" s="6" t="s">
        <v>316</v>
      </c>
      <c r="D88" s="16" t="str">
        <f aca="false">INDEX('Catalog ref'!$C$2:$C$33,MATCH(C88,'Catalog ref'!$A$2:$A$33,0))</f>
        <v>4.5 yd (~225-250 hp)</v>
      </c>
      <c r="E88" s="17" t="n">
        <v>1</v>
      </c>
      <c r="F88" s="6" t="s">
        <v>291</v>
      </c>
      <c r="G88" s="6" t="s">
        <v>317</v>
      </c>
      <c r="H88" s="6"/>
      <c r="I88" s="6" t="s">
        <v>313</v>
      </c>
      <c r="J88" s="18" t="n">
        <f aca="false">IFERROR(INDEX('Catalog production'!$D$2:$D$15,MATCH(C88&amp;"|"&amp;I88,'Catalog production'!$A$2:$A$15,0))*1,"")</f>
        <v>425.79</v>
      </c>
      <c r="K88" s="16" t="str">
        <f aca="false">IFERROR(INDEX('Catalog production'!$E$2:$E$15,MATCH(C88&amp;"|"&amp;I88,'Catalog production'!$A$2:$A$15,0))&amp;"","")</f>
        <v>LCY/hr</v>
      </c>
      <c r="L88" s="10" t="n">
        <f aca="false">IF(N(J88)=0,"",E88*J88*Settings!$B$2*1)</f>
        <v>4257.9</v>
      </c>
      <c r="M88" s="19" t="n">
        <f aca="false">INDEX('Catalog ref'!$D$2:$D$33,MATCH(C88,'Catalog ref'!$A$2:$A$33,0))</f>
        <v>1473</v>
      </c>
      <c r="N88" s="20" t="n">
        <f aca="false">INDEX('Catalog ref'!$K$2:$K$33,MATCH(C88,'Catalog ref'!$A$2:$A$33,0))</f>
        <v>3.02</v>
      </c>
      <c r="O88" s="19" t="n">
        <f aca="false">INDEX('Catalog ref'!$M$2:$M$33,MATCH(C88,'Catalog ref'!$A$2:$A$33,0))</f>
        <v>550</v>
      </c>
    </row>
    <row r="89" customFormat="false" ht="15" hidden="false" customHeight="true" outlineLevel="0" collapsed="false">
      <c r="A89" s="6" t="s">
        <v>58</v>
      </c>
      <c r="B89" s="6" t="n">
        <v>7</v>
      </c>
      <c r="C89" s="6" t="s">
        <v>318</v>
      </c>
      <c r="D89" s="16" t="str">
        <f aca="false">INDEX('Catalog ref'!$C$2:$C$33,MATCH(C89,'Catalog ref'!$A$2:$A$33,0))</f>
        <v>3-axle (tri-axle), operated</v>
      </c>
      <c r="E89" s="17" t="n">
        <v>10</v>
      </c>
      <c r="F89" s="6"/>
      <c r="G89" s="6" t="s">
        <v>319</v>
      </c>
      <c r="H89" s="6"/>
      <c r="I89" s="6" t="s">
        <v>320</v>
      </c>
      <c r="J89" s="21" t="n">
        <f aca="false">Settings!$B$5/Settings!$B$2</f>
        <v>14</v>
      </c>
      <c r="K89" s="6" t="s">
        <v>321</v>
      </c>
      <c r="L89" s="10" t="n">
        <f aca="false">IF(N(J89)=0,"",E89*J89*Settings!$B$2*1)</f>
        <v>1400</v>
      </c>
      <c r="M89" s="19" t="n">
        <f aca="false">INDEX('Catalog ref'!$D$2:$D$33,MATCH(C89,'Catalog ref'!$A$2:$A$33,0))</f>
        <v>0</v>
      </c>
      <c r="N89" s="20" t="n">
        <f aca="false">INDEX('Catalog ref'!$K$2:$K$33,MATCH(C89,'Catalog ref'!$A$2:$A$33,0))</f>
        <v>0</v>
      </c>
      <c r="O89" s="19" t="n">
        <f aca="false">INDEX('Catalog ref'!$M$2:$M$33,MATCH(C89,'Catalog ref'!$A$2:$A$33,0))</f>
        <v>0</v>
      </c>
    </row>
    <row r="90" customFormat="false" ht="15" hidden="false" customHeight="true" outlineLevel="0" collapsed="false">
      <c r="A90" s="6" t="s">
        <v>58</v>
      </c>
      <c r="B90" s="6" t="n">
        <v>8</v>
      </c>
      <c r="C90" s="6" t="s">
        <v>316</v>
      </c>
      <c r="D90" s="16" t="str">
        <f aca="false">INDEX('Catalog ref'!$C$2:$C$33,MATCH(C90,'Catalog ref'!$A$2:$A$33,0))</f>
        <v>4.5 yd (~225-250 hp)</v>
      </c>
      <c r="E90" s="17" t="n">
        <v>1</v>
      </c>
      <c r="F90" s="6" t="s">
        <v>291</v>
      </c>
      <c r="G90" s="6" t="s">
        <v>317</v>
      </c>
      <c r="H90" s="6"/>
      <c r="I90" s="6" t="s">
        <v>313</v>
      </c>
      <c r="J90" s="18" t="n">
        <f aca="false">IFERROR(INDEX('Catalog production'!$D$2:$D$15,MATCH(C90&amp;"|"&amp;I90,'Catalog production'!$A$2:$A$15,0))*1,"")</f>
        <v>425.79</v>
      </c>
      <c r="K90" s="16" t="str">
        <f aca="false">IFERROR(INDEX('Catalog production'!$E$2:$E$15,MATCH(C90&amp;"|"&amp;I90,'Catalog production'!$A$2:$A$15,0))&amp;"","")</f>
        <v>LCY/hr</v>
      </c>
      <c r="L90" s="10" t="n">
        <f aca="false">IF(N(J90)=0,"",E90*J90*Settings!$B$2*1)</f>
        <v>4257.9</v>
      </c>
      <c r="M90" s="19" t="n">
        <f aca="false">INDEX('Catalog ref'!$D$2:$D$33,MATCH(C90,'Catalog ref'!$A$2:$A$33,0))</f>
        <v>1473</v>
      </c>
      <c r="N90" s="20" t="n">
        <f aca="false">INDEX('Catalog ref'!$K$2:$K$33,MATCH(C90,'Catalog ref'!$A$2:$A$33,0))</f>
        <v>3.02</v>
      </c>
      <c r="O90" s="19" t="n">
        <f aca="false">INDEX('Catalog ref'!$M$2:$M$33,MATCH(C90,'Catalog ref'!$A$2:$A$33,0))</f>
        <v>550</v>
      </c>
    </row>
    <row r="91" customFormat="false" ht="15" hidden="false" customHeight="true" outlineLevel="0" collapsed="false">
      <c r="A91" s="6" t="s">
        <v>58</v>
      </c>
      <c r="B91" s="6" t="n">
        <v>8</v>
      </c>
      <c r="C91" s="6" t="s">
        <v>318</v>
      </c>
      <c r="D91" s="16" t="str">
        <f aca="false">INDEX('Catalog ref'!$C$2:$C$33,MATCH(C91,'Catalog ref'!$A$2:$A$33,0))</f>
        <v>3-axle (tri-axle), operated</v>
      </c>
      <c r="E91" s="17" t="n">
        <v>12</v>
      </c>
      <c r="F91" s="6"/>
      <c r="G91" s="6" t="s">
        <v>319</v>
      </c>
      <c r="H91" s="6"/>
      <c r="I91" s="6" t="s">
        <v>320</v>
      </c>
      <c r="J91" s="21" t="n">
        <f aca="false">Settings!$B$5/Settings!$B$2</f>
        <v>14</v>
      </c>
      <c r="K91" s="6" t="s">
        <v>321</v>
      </c>
      <c r="L91" s="10" t="n">
        <f aca="false">IF(N(J91)=0,"",E91*J91*Settings!$B$2*1)</f>
        <v>1680</v>
      </c>
      <c r="M91" s="19" t="n">
        <f aca="false">INDEX('Catalog ref'!$D$2:$D$33,MATCH(C91,'Catalog ref'!$A$2:$A$33,0))</f>
        <v>0</v>
      </c>
      <c r="N91" s="20" t="n">
        <f aca="false">INDEX('Catalog ref'!$K$2:$K$33,MATCH(C91,'Catalog ref'!$A$2:$A$33,0))</f>
        <v>0</v>
      </c>
      <c r="O91" s="19" t="n">
        <f aca="false">INDEX('Catalog ref'!$M$2:$M$33,MATCH(C91,'Catalog ref'!$A$2:$A$33,0))</f>
        <v>0</v>
      </c>
    </row>
    <row r="92" customFormat="false" ht="15" hidden="false" customHeight="true" outlineLevel="0" collapsed="false">
      <c r="A92" s="6" t="s">
        <v>58</v>
      </c>
      <c r="B92" s="6" t="n">
        <v>9</v>
      </c>
      <c r="C92" s="6" t="s">
        <v>316</v>
      </c>
      <c r="D92" s="16" t="str">
        <f aca="false">INDEX('Catalog ref'!$C$2:$C$33,MATCH(C92,'Catalog ref'!$A$2:$A$33,0))</f>
        <v>4.5 yd (~225-250 hp)</v>
      </c>
      <c r="E92" s="17" t="n">
        <v>1</v>
      </c>
      <c r="F92" s="6" t="s">
        <v>291</v>
      </c>
      <c r="G92" s="6" t="s">
        <v>317</v>
      </c>
      <c r="H92" s="6"/>
      <c r="I92" s="6" t="s">
        <v>313</v>
      </c>
      <c r="J92" s="18" t="n">
        <f aca="false">IFERROR(INDEX('Catalog production'!$D$2:$D$15,MATCH(C92&amp;"|"&amp;I92,'Catalog production'!$A$2:$A$15,0))*1,"")</f>
        <v>425.79</v>
      </c>
      <c r="K92" s="16" t="str">
        <f aca="false">IFERROR(INDEX('Catalog production'!$E$2:$E$15,MATCH(C92&amp;"|"&amp;I92,'Catalog production'!$A$2:$A$15,0))&amp;"","")</f>
        <v>LCY/hr</v>
      </c>
      <c r="L92" s="10" t="n">
        <f aca="false">IF(N(J92)=0,"",E92*J92*Settings!$B$2*1)</f>
        <v>4257.9</v>
      </c>
      <c r="M92" s="19" t="n">
        <f aca="false">INDEX('Catalog ref'!$D$2:$D$33,MATCH(C92,'Catalog ref'!$A$2:$A$33,0))</f>
        <v>1473</v>
      </c>
      <c r="N92" s="20" t="n">
        <f aca="false">INDEX('Catalog ref'!$K$2:$K$33,MATCH(C92,'Catalog ref'!$A$2:$A$33,0))</f>
        <v>3.02</v>
      </c>
      <c r="O92" s="19" t="n">
        <f aca="false">INDEX('Catalog ref'!$M$2:$M$33,MATCH(C92,'Catalog ref'!$A$2:$A$33,0))</f>
        <v>550</v>
      </c>
    </row>
    <row r="93" customFormat="false" ht="15" hidden="false" customHeight="true" outlineLevel="0" collapsed="false">
      <c r="A93" s="6" t="s">
        <v>58</v>
      </c>
      <c r="B93" s="6" t="n">
        <v>9</v>
      </c>
      <c r="C93" s="6" t="s">
        <v>318</v>
      </c>
      <c r="D93" s="16" t="str">
        <f aca="false">INDEX('Catalog ref'!$C$2:$C$33,MATCH(C93,'Catalog ref'!$A$2:$A$33,0))</f>
        <v>3-axle (tri-axle), operated</v>
      </c>
      <c r="E93" s="17" t="n">
        <v>15</v>
      </c>
      <c r="F93" s="6"/>
      <c r="G93" s="6" t="s">
        <v>319</v>
      </c>
      <c r="H93" s="6"/>
      <c r="I93" s="6" t="s">
        <v>320</v>
      </c>
      <c r="J93" s="21" t="n">
        <f aca="false">Settings!$B$5/Settings!$B$2</f>
        <v>14</v>
      </c>
      <c r="K93" s="6" t="s">
        <v>321</v>
      </c>
      <c r="L93" s="10" t="n">
        <f aca="false">IF(N(J93)=0,"",E93*J93*Settings!$B$2*1)</f>
        <v>2100</v>
      </c>
      <c r="M93" s="19" t="n">
        <f aca="false">INDEX('Catalog ref'!$D$2:$D$33,MATCH(C93,'Catalog ref'!$A$2:$A$33,0))</f>
        <v>0</v>
      </c>
      <c r="N93" s="20" t="n">
        <f aca="false">INDEX('Catalog ref'!$K$2:$K$33,MATCH(C93,'Catalog ref'!$A$2:$A$33,0))</f>
        <v>0</v>
      </c>
      <c r="O93" s="19" t="n">
        <f aca="false">INDEX('Catalog ref'!$M$2:$M$33,MATCH(C93,'Catalog ref'!$A$2:$A$33,0))</f>
        <v>0</v>
      </c>
    </row>
    <row r="94" customFormat="false" ht="15" hidden="false" customHeight="true" outlineLevel="0" collapsed="false">
      <c r="A94" s="6" t="s">
        <v>58</v>
      </c>
      <c r="B94" s="6" t="n">
        <v>10</v>
      </c>
      <c r="C94" s="6" t="s">
        <v>316</v>
      </c>
      <c r="D94" s="16" t="str">
        <f aca="false">INDEX('Catalog ref'!$C$2:$C$33,MATCH(C94,'Catalog ref'!$A$2:$A$33,0))</f>
        <v>4.5 yd (~225-250 hp)</v>
      </c>
      <c r="E94" s="17" t="n">
        <v>1</v>
      </c>
      <c r="F94" s="6" t="s">
        <v>291</v>
      </c>
      <c r="G94" s="6" t="s">
        <v>317</v>
      </c>
      <c r="H94" s="6"/>
      <c r="I94" s="6" t="s">
        <v>313</v>
      </c>
      <c r="J94" s="18" t="n">
        <f aca="false">IFERROR(INDEX('Catalog production'!$D$2:$D$15,MATCH(C94&amp;"|"&amp;I94,'Catalog production'!$A$2:$A$15,0))*1,"")</f>
        <v>425.79</v>
      </c>
      <c r="K94" s="16" t="str">
        <f aca="false">IFERROR(INDEX('Catalog production'!$E$2:$E$15,MATCH(C94&amp;"|"&amp;I94,'Catalog production'!$A$2:$A$15,0))&amp;"","")</f>
        <v>LCY/hr</v>
      </c>
      <c r="L94" s="10" t="n">
        <f aca="false">IF(N(J94)=0,"",E94*J94*Settings!$B$2*1)</f>
        <v>4257.9</v>
      </c>
      <c r="M94" s="19" t="n">
        <f aca="false">INDEX('Catalog ref'!$D$2:$D$33,MATCH(C94,'Catalog ref'!$A$2:$A$33,0))</f>
        <v>1473</v>
      </c>
      <c r="N94" s="20" t="n">
        <f aca="false">INDEX('Catalog ref'!$K$2:$K$33,MATCH(C94,'Catalog ref'!$A$2:$A$33,0))</f>
        <v>3.02</v>
      </c>
      <c r="O94" s="19" t="n">
        <f aca="false">INDEX('Catalog ref'!$M$2:$M$33,MATCH(C94,'Catalog ref'!$A$2:$A$33,0))</f>
        <v>550</v>
      </c>
    </row>
    <row r="95" customFormat="false" ht="15" hidden="false" customHeight="true" outlineLevel="0" collapsed="false">
      <c r="A95" s="6" t="s">
        <v>58</v>
      </c>
      <c r="B95" s="6" t="n">
        <v>10</v>
      </c>
      <c r="C95" s="6" t="s">
        <v>318</v>
      </c>
      <c r="D95" s="16" t="str">
        <f aca="false">INDEX('Catalog ref'!$C$2:$C$33,MATCH(C95,'Catalog ref'!$A$2:$A$33,0))</f>
        <v>3-axle (tri-axle), operated</v>
      </c>
      <c r="E95" s="17" t="n">
        <v>18</v>
      </c>
      <c r="F95" s="6"/>
      <c r="G95" s="6" t="s">
        <v>319</v>
      </c>
      <c r="H95" s="6"/>
      <c r="I95" s="6" t="s">
        <v>320</v>
      </c>
      <c r="J95" s="21" t="n">
        <f aca="false">Settings!$B$5/Settings!$B$2</f>
        <v>14</v>
      </c>
      <c r="K95" s="6" t="s">
        <v>321</v>
      </c>
      <c r="L95" s="10" t="n">
        <f aca="false">IF(N(J95)=0,"",E95*J95*Settings!$B$2*1)</f>
        <v>2520</v>
      </c>
      <c r="M95" s="19" t="n">
        <f aca="false">INDEX('Catalog ref'!$D$2:$D$33,MATCH(C95,'Catalog ref'!$A$2:$A$33,0))</f>
        <v>0</v>
      </c>
      <c r="N95" s="20" t="n">
        <f aca="false">INDEX('Catalog ref'!$K$2:$K$33,MATCH(C95,'Catalog ref'!$A$2:$A$33,0))</f>
        <v>0</v>
      </c>
      <c r="O95" s="19" t="n">
        <f aca="false">INDEX('Catalog ref'!$M$2:$M$33,MATCH(C95,'Catalog ref'!$A$2:$A$33,0))</f>
        <v>0</v>
      </c>
    </row>
    <row r="96" customFormat="false" ht="15" hidden="false" customHeight="true" outlineLevel="0" collapsed="false">
      <c r="A96" s="6" t="s">
        <v>58</v>
      </c>
      <c r="B96" s="6" t="n">
        <v>11</v>
      </c>
      <c r="C96" s="6" t="s">
        <v>316</v>
      </c>
      <c r="D96" s="16" t="str">
        <f aca="false">INDEX('Catalog ref'!$C$2:$C$33,MATCH(C96,'Catalog ref'!$A$2:$A$33,0))</f>
        <v>4.5 yd (~225-250 hp)</v>
      </c>
      <c r="E96" s="17" t="n">
        <v>1</v>
      </c>
      <c r="F96" s="6" t="s">
        <v>291</v>
      </c>
      <c r="G96" s="6" t="s">
        <v>317</v>
      </c>
      <c r="H96" s="6"/>
      <c r="I96" s="6" t="s">
        <v>313</v>
      </c>
      <c r="J96" s="18" t="n">
        <f aca="false">IFERROR(INDEX('Catalog production'!$D$2:$D$15,MATCH(C96&amp;"|"&amp;I96,'Catalog production'!$A$2:$A$15,0))*1,"")</f>
        <v>425.79</v>
      </c>
      <c r="K96" s="16" t="str">
        <f aca="false">IFERROR(INDEX('Catalog production'!$E$2:$E$15,MATCH(C96&amp;"|"&amp;I96,'Catalog production'!$A$2:$A$15,0))&amp;"","")</f>
        <v>LCY/hr</v>
      </c>
      <c r="L96" s="10" t="n">
        <f aca="false">IF(N(J96)=0,"",E96*J96*Settings!$B$2*1)</f>
        <v>4257.9</v>
      </c>
      <c r="M96" s="19" t="n">
        <f aca="false">INDEX('Catalog ref'!$D$2:$D$33,MATCH(C96,'Catalog ref'!$A$2:$A$33,0))</f>
        <v>1473</v>
      </c>
      <c r="N96" s="20" t="n">
        <f aca="false">INDEX('Catalog ref'!$K$2:$K$33,MATCH(C96,'Catalog ref'!$A$2:$A$33,0))</f>
        <v>3.02</v>
      </c>
      <c r="O96" s="19" t="n">
        <f aca="false">INDEX('Catalog ref'!$M$2:$M$33,MATCH(C96,'Catalog ref'!$A$2:$A$33,0))</f>
        <v>550</v>
      </c>
    </row>
    <row r="97" customFormat="false" ht="15" hidden="false" customHeight="true" outlineLevel="0" collapsed="false">
      <c r="A97" s="6" t="s">
        <v>58</v>
      </c>
      <c r="B97" s="6" t="n">
        <v>11</v>
      </c>
      <c r="C97" s="6" t="s">
        <v>318</v>
      </c>
      <c r="D97" s="16" t="str">
        <f aca="false">INDEX('Catalog ref'!$C$2:$C$33,MATCH(C97,'Catalog ref'!$A$2:$A$33,0))</f>
        <v>3-axle (tri-axle), operated</v>
      </c>
      <c r="E97" s="17" t="n">
        <v>22</v>
      </c>
      <c r="F97" s="6"/>
      <c r="G97" s="6" t="s">
        <v>319</v>
      </c>
      <c r="H97" s="6"/>
      <c r="I97" s="6" t="s">
        <v>320</v>
      </c>
      <c r="J97" s="21" t="n">
        <f aca="false">Settings!$B$5/Settings!$B$2</f>
        <v>14</v>
      </c>
      <c r="K97" s="6" t="s">
        <v>321</v>
      </c>
      <c r="L97" s="10" t="n">
        <f aca="false">IF(N(J97)=0,"",E97*J97*Settings!$B$2*1)</f>
        <v>3080</v>
      </c>
      <c r="M97" s="19" t="n">
        <f aca="false">INDEX('Catalog ref'!$D$2:$D$33,MATCH(C97,'Catalog ref'!$A$2:$A$33,0))</f>
        <v>0</v>
      </c>
      <c r="N97" s="20" t="n">
        <f aca="false">INDEX('Catalog ref'!$K$2:$K$33,MATCH(C97,'Catalog ref'!$A$2:$A$33,0))</f>
        <v>0</v>
      </c>
      <c r="O97" s="19" t="n">
        <f aca="false">INDEX('Catalog ref'!$M$2:$M$33,MATCH(C97,'Catalog ref'!$A$2:$A$33,0))</f>
        <v>0</v>
      </c>
    </row>
    <row r="98" customFormat="false" ht="15" hidden="false" customHeight="true" outlineLevel="0" collapsed="false">
      <c r="A98" s="6" t="s">
        <v>63</v>
      </c>
      <c r="B98" s="6" t="n">
        <v>1</v>
      </c>
      <c r="C98" s="6" t="s">
        <v>318</v>
      </c>
      <c r="D98" s="16" t="str">
        <f aca="false">INDEX('Catalog ref'!$C$2:$C$33,MATCH(C98,'Catalog ref'!$A$2:$A$33,0))</f>
        <v>3-axle (tri-axle), operated</v>
      </c>
      <c r="E98" s="17" t="n">
        <v>2</v>
      </c>
      <c r="F98" s="6" t="s">
        <v>291</v>
      </c>
      <c r="G98" s="6" t="s">
        <v>319</v>
      </c>
      <c r="H98" s="6"/>
      <c r="I98" s="6" t="s">
        <v>320</v>
      </c>
      <c r="J98" s="21" t="n">
        <f aca="false">Settings!$B$5/Settings!$B$2</f>
        <v>14</v>
      </c>
      <c r="K98" s="6" t="s">
        <v>321</v>
      </c>
      <c r="L98" s="10" t="n">
        <f aca="false">IF(N(J98)=0,"",E98*J98*Settings!$B$2*1)</f>
        <v>280</v>
      </c>
      <c r="M98" s="19" t="n">
        <f aca="false">INDEX('Catalog ref'!$D$2:$D$33,MATCH(C98,'Catalog ref'!$A$2:$A$33,0))</f>
        <v>0</v>
      </c>
      <c r="N98" s="20" t="n">
        <f aca="false">INDEX('Catalog ref'!$K$2:$K$33,MATCH(C98,'Catalog ref'!$A$2:$A$33,0))</f>
        <v>0</v>
      </c>
      <c r="O98" s="19" t="n">
        <f aca="false">INDEX('Catalog ref'!$M$2:$M$33,MATCH(C98,'Catalog ref'!$A$2:$A$33,0))</f>
        <v>0</v>
      </c>
    </row>
    <row r="99" customFormat="false" ht="15" hidden="false" customHeight="true" outlineLevel="0" collapsed="false">
      <c r="A99" s="6" t="s">
        <v>63</v>
      </c>
      <c r="B99" s="6" t="n">
        <v>2</v>
      </c>
      <c r="C99" s="6" t="s">
        <v>318</v>
      </c>
      <c r="D99" s="16" t="str">
        <f aca="false">INDEX('Catalog ref'!$C$2:$C$33,MATCH(C99,'Catalog ref'!$A$2:$A$33,0))</f>
        <v>3-axle (tri-axle), operated</v>
      </c>
      <c r="E99" s="17" t="n">
        <v>3</v>
      </c>
      <c r="F99" s="6" t="s">
        <v>291</v>
      </c>
      <c r="G99" s="6" t="s">
        <v>319</v>
      </c>
      <c r="H99" s="6"/>
      <c r="I99" s="6" t="s">
        <v>320</v>
      </c>
      <c r="J99" s="21" t="n">
        <f aca="false">Settings!$B$5/Settings!$B$2</f>
        <v>14</v>
      </c>
      <c r="K99" s="6" t="s">
        <v>321</v>
      </c>
      <c r="L99" s="10" t="n">
        <f aca="false">IF(N(J99)=0,"",E99*J99*Settings!$B$2*1)</f>
        <v>420</v>
      </c>
      <c r="M99" s="19" t="n">
        <f aca="false">INDEX('Catalog ref'!$D$2:$D$33,MATCH(C99,'Catalog ref'!$A$2:$A$33,0))</f>
        <v>0</v>
      </c>
      <c r="N99" s="20" t="n">
        <f aca="false">INDEX('Catalog ref'!$K$2:$K$33,MATCH(C99,'Catalog ref'!$A$2:$A$33,0))</f>
        <v>0</v>
      </c>
      <c r="O99" s="19" t="n">
        <f aca="false">INDEX('Catalog ref'!$M$2:$M$33,MATCH(C99,'Catalog ref'!$A$2:$A$33,0))</f>
        <v>0</v>
      </c>
    </row>
    <row r="100" customFormat="false" ht="15" hidden="false" customHeight="true" outlineLevel="0" collapsed="false">
      <c r="A100" s="6" t="s">
        <v>63</v>
      </c>
      <c r="B100" s="6" t="n">
        <v>3</v>
      </c>
      <c r="C100" s="6" t="s">
        <v>318</v>
      </c>
      <c r="D100" s="16" t="str">
        <f aca="false">INDEX('Catalog ref'!$C$2:$C$33,MATCH(C100,'Catalog ref'!$A$2:$A$33,0))</f>
        <v>3-axle (tri-axle), operated</v>
      </c>
      <c r="E100" s="17" t="n">
        <v>4</v>
      </c>
      <c r="F100" s="6" t="s">
        <v>291</v>
      </c>
      <c r="G100" s="6" t="s">
        <v>319</v>
      </c>
      <c r="H100" s="6"/>
      <c r="I100" s="6" t="s">
        <v>320</v>
      </c>
      <c r="J100" s="21" t="n">
        <f aca="false">Settings!$B$5/Settings!$B$2</f>
        <v>14</v>
      </c>
      <c r="K100" s="6" t="s">
        <v>321</v>
      </c>
      <c r="L100" s="10" t="n">
        <f aca="false">IF(N(J100)=0,"",E100*J100*Settings!$B$2*1)</f>
        <v>560</v>
      </c>
      <c r="M100" s="19" t="n">
        <f aca="false">INDEX('Catalog ref'!$D$2:$D$33,MATCH(C100,'Catalog ref'!$A$2:$A$33,0))</f>
        <v>0</v>
      </c>
      <c r="N100" s="20" t="n">
        <f aca="false">INDEX('Catalog ref'!$K$2:$K$33,MATCH(C100,'Catalog ref'!$A$2:$A$33,0))</f>
        <v>0</v>
      </c>
      <c r="O100" s="19" t="n">
        <f aca="false">INDEX('Catalog ref'!$M$2:$M$33,MATCH(C100,'Catalog ref'!$A$2:$A$33,0))</f>
        <v>0</v>
      </c>
    </row>
    <row r="101" customFormat="false" ht="15" hidden="false" customHeight="true" outlineLevel="0" collapsed="false">
      <c r="A101" s="6" t="s">
        <v>63</v>
      </c>
      <c r="B101" s="6" t="n">
        <v>4</v>
      </c>
      <c r="C101" s="6" t="s">
        <v>318</v>
      </c>
      <c r="D101" s="16" t="str">
        <f aca="false">INDEX('Catalog ref'!$C$2:$C$33,MATCH(C101,'Catalog ref'!$A$2:$A$33,0))</f>
        <v>3-axle (tri-axle), operated</v>
      </c>
      <c r="E101" s="17" t="n">
        <v>5</v>
      </c>
      <c r="F101" s="6" t="s">
        <v>291</v>
      </c>
      <c r="G101" s="6" t="s">
        <v>319</v>
      </c>
      <c r="H101" s="6"/>
      <c r="I101" s="6" t="s">
        <v>320</v>
      </c>
      <c r="J101" s="21" t="n">
        <f aca="false">Settings!$B$5/Settings!$B$2</f>
        <v>14</v>
      </c>
      <c r="K101" s="6" t="s">
        <v>321</v>
      </c>
      <c r="L101" s="10" t="n">
        <f aca="false">IF(N(J101)=0,"",E101*J101*Settings!$B$2*1)</f>
        <v>700</v>
      </c>
      <c r="M101" s="19" t="n">
        <f aca="false">INDEX('Catalog ref'!$D$2:$D$33,MATCH(C101,'Catalog ref'!$A$2:$A$33,0))</f>
        <v>0</v>
      </c>
      <c r="N101" s="20" t="n">
        <f aca="false">INDEX('Catalog ref'!$K$2:$K$33,MATCH(C101,'Catalog ref'!$A$2:$A$33,0))</f>
        <v>0</v>
      </c>
      <c r="O101" s="19" t="n">
        <f aca="false">INDEX('Catalog ref'!$M$2:$M$33,MATCH(C101,'Catalog ref'!$A$2:$A$33,0))</f>
        <v>0</v>
      </c>
    </row>
    <row r="102" customFormat="false" ht="15" hidden="false" customHeight="true" outlineLevel="0" collapsed="false">
      <c r="A102" s="6" t="s">
        <v>63</v>
      </c>
      <c r="B102" s="6" t="n">
        <v>5</v>
      </c>
      <c r="C102" s="6" t="s">
        <v>318</v>
      </c>
      <c r="D102" s="16" t="str">
        <f aca="false">INDEX('Catalog ref'!$C$2:$C$33,MATCH(C102,'Catalog ref'!$A$2:$A$33,0))</f>
        <v>3-axle (tri-axle), operated</v>
      </c>
      <c r="E102" s="17" t="n">
        <v>6</v>
      </c>
      <c r="F102" s="6" t="s">
        <v>291</v>
      </c>
      <c r="G102" s="6" t="s">
        <v>319</v>
      </c>
      <c r="H102" s="6"/>
      <c r="I102" s="6" t="s">
        <v>320</v>
      </c>
      <c r="J102" s="21" t="n">
        <f aca="false">Settings!$B$5/Settings!$B$2</f>
        <v>14</v>
      </c>
      <c r="K102" s="6" t="s">
        <v>321</v>
      </c>
      <c r="L102" s="10" t="n">
        <f aca="false">IF(N(J102)=0,"",E102*J102*Settings!$B$2*1)</f>
        <v>840</v>
      </c>
      <c r="M102" s="19" t="n">
        <f aca="false">INDEX('Catalog ref'!$D$2:$D$33,MATCH(C102,'Catalog ref'!$A$2:$A$33,0))</f>
        <v>0</v>
      </c>
      <c r="N102" s="20" t="n">
        <f aca="false">INDEX('Catalog ref'!$K$2:$K$33,MATCH(C102,'Catalog ref'!$A$2:$A$33,0))</f>
        <v>0</v>
      </c>
      <c r="O102" s="19" t="n">
        <f aca="false">INDEX('Catalog ref'!$M$2:$M$33,MATCH(C102,'Catalog ref'!$A$2:$A$33,0))</f>
        <v>0</v>
      </c>
    </row>
    <row r="103" customFormat="false" ht="15" hidden="false" customHeight="true" outlineLevel="0" collapsed="false">
      <c r="A103" s="6" t="s">
        <v>63</v>
      </c>
      <c r="B103" s="6" t="n">
        <v>6</v>
      </c>
      <c r="C103" s="6" t="s">
        <v>318</v>
      </c>
      <c r="D103" s="16" t="str">
        <f aca="false">INDEX('Catalog ref'!$C$2:$C$33,MATCH(C103,'Catalog ref'!$A$2:$A$33,0))</f>
        <v>3-axle (tri-axle), operated</v>
      </c>
      <c r="E103" s="17" t="n">
        <v>8</v>
      </c>
      <c r="F103" s="6" t="s">
        <v>291</v>
      </c>
      <c r="G103" s="6" t="s">
        <v>319</v>
      </c>
      <c r="H103" s="6"/>
      <c r="I103" s="6" t="s">
        <v>320</v>
      </c>
      <c r="J103" s="21" t="n">
        <f aca="false">Settings!$B$5/Settings!$B$2</f>
        <v>14</v>
      </c>
      <c r="K103" s="6" t="s">
        <v>321</v>
      </c>
      <c r="L103" s="10" t="n">
        <f aca="false">IF(N(J103)=0,"",E103*J103*Settings!$B$2*1)</f>
        <v>1120</v>
      </c>
      <c r="M103" s="19" t="n">
        <f aca="false">INDEX('Catalog ref'!$D$2:$D$33,MATCH(C103,'Catalog ref'!$A$2:$A$33,0))</f>
        <v>0</v>
      </c>
      <c r="N103" s="20" t="n">
        <f aca="false">INDEX('Catalog ref'!$K$2:$K$33,MATCH(C103,'Catalog ref'!$A$2:$A$33,0))</f>
        <v>0</v>
      </c>
      <c r="O103" s="19" t="n">
        <f aca="false">INDEX('Catalog ref'!$M$2:$M$33,MATCH(C103,'Catalog ref'!$A$2:$A$33,0))</f>
        <v>0</v>
      </c>
    </row>
    <row r="104" customFormat="false" ht="15" hidden="false" customHeight="true" outlineLevel="0" collapsed="false">
      <c r="A104" s="6" t="s">
        <v>63</v>
      </c>
      <c r="B104" s="6" t="n">
        <v>7</v>
      </c>
      <c r="C104" s="6" t="s">
        <v>318</v>
      </c>
      <c r="D104" s="16" t="str">
        <f aca="false">INDEX('Catalog ref'!$C$2:$C$33,MATCH(C104,'Catalog ref'!$A$2:$A$33,0))</f>
        <v>3-axle (tri-axle), operated</v>
      </c>
      <c r="E104" s="17" t="n">
        <v>10</v>
      </c>
      <c r="F104" s="6" t="s">
        <v>291</v>
      </c>
      <c r="G104" s="6" t="s">
        <v>319</v>
      </c>
      <c r="H104" s="6"/>
      <c r="I104" s="6" t="s">
        <v>320</v>
      </c>
      <c r="J104" s="21" t="n">
        <f aca="false">Settings!$B$5/Settings!$B$2</f>
        <v>14</v>
      </c>
      <c r="K104" s="6" t="s">
        <v>321</v>
      </c>
      <c r="L104" s="10" t="n">
        <f aca="false">IF(N(J104)=0,"",E104*J104*Settings!$B$2*1)</f>
        <v>1400</v>
      </c>
      <c r="M104" s="19" t="n">
        <f aca="false">INDEX('Catalog ref'!$D$2:$D$33,MATCH(C104,'Catalog ref'!$A$2:$A$33,0))</f>
        <v>0</v>
      </c>
      <c r="N104" s="20" t="n">
        <f aca="false">INDEX('Catalog ref'!$K$2:$K$33,MATCH(C104,'Catalog ref'!$A$2:$A$33,0))</f>
        <v>0</v>
      </c>
      <c r="O104" s="19" t="n">
        <f aca="false">INDEX('Catalog ref'!$M$2:$M$33,MATCH(C104,'Catalog ref'!$A$2:$A$33,0))</f>
        <v>0</v>
      </c>
    </row>
    <row r="105" customFormat="false" ht="15" hidden="false" customHeight="true" outlineLevel="0" collapsed="false">
      <c r="A105" s="6" t="s">
        <v>63</v>
      </c>
      <c r="B105" s="6" t="n">
        <v>8</v>
      </c>
      <c r="C105" s="6" t="s">
        <v>318</v>
      </c>
      <c r="D105" s="16" t="str">
        <f aca="false">INDEX('Catalog ref'!$C$2:$C$33,MATCH(C105,'Catalog ref'!$A$2:$A$33,0))</f>
        <v>3-axle (tri-axle), operated</v>
      </c>
      <c r="E105" s="17" t="n">
        <v>12</v>
      </c>
      <c r="F105" s="6" t="s">
        <v>291</v>
      </c>
      <c r="G105" s="6" t="s">
        <v>319</v>
      </c>
      <c r="H105" s="6"/>
      <c r="I105" s="6" t="s">
        <v>320</v>
      </c>
      <c r="J105" s="21" t="n">
        <f aca="false">Settings!$B$5/Settings!$B$2</f>
        <v>14</v>
      </c>
      <c r="K105" s="6" t="s">
        <v>321</v>
      </c>
      <c r="L105" s="10" t="n">
        <f aca="false">IF(N(J105)=0,"",E105*J105*Settings!$B$2*1)</f>
        <v>1680</v>
      </c>
      <c r="M105" s="19" t="n">
        <f aca="false">INDEX('Catalog ref'!$D$2:$D$33,MATCH(C105,'Catalog ref'!$A$2:$A$33,0))</f>
        <v>0</v>
      </c>
      <c r="N105" s="20" t="n">
        <f aca="false">INDEX('Catalog ref'!$K$2:$K$33,MATCH(C105,'Catalog ref'!$A$2:$A$33,0))</f>
        <v>0</v>
      </c>
      <c r="O105" s="19" t="n">
        <f aca="false">INDEX('Catalog ref'!$M$2:$M$33,MATCH(C105,'Catalog ref'!$A$2:$A$33,0))</f>
        <v>0</v>
      </c>
    </row>
    <row r="106" customFormat="false" ht="15" hidden="false" customHeight="true" outlineLevel="0" collapsed="false">
      <c r="A106" s="6" t="s">
        <v>63</v>
      </c>
      <c r="B106" s="6" t="n">
        <v>9</v>
      </c>
      <c r="C106" s="6" t="s">
        <v>318</v>
      </c>
      <c r="D106" s="16" t="str">
        <f aca="false">INDEX('Catalog ref'!$C$2:$C$33,MATCH(C106,'Catalog ref'!$A$2:$A$33,0))</f>
        <v>3-axle (tri-axle), operated</v>
      </c>
      <c r="E106" s="17" t="n">
        <v>15</v>
      </c>
      <c r="F106" s="6" t="s">
        <v>291</v>
      </c>
      <c r="G106" s="6" t="s">
        <v>319</v>
      </c>
      <c r="H106" s="6"/>
      <c r="I106" s="6" t="s">
        <v>320</v>
      </c>
      <c r="J106" s="21" t="n">
        <f aca="false">Settings!$B$5/Settings!$B$2</f>
        <v>14</v>
      </c>
      <c r="K106" s="6" t="s">
        <v>321</v>
      </c>
      <c r="L106" s="10" t="n">
        <f aca="false">IF(N(J106)=0,"",E106*J106*Settings!$B$2*1)</f>
        <v>2100</v>
      </c>
      <c r="M106" s="19" t="n">
        <f aca="false">INDEX('Catalog ref'!$D$2:$D$33,MATCH(C106,'Catalog ref'!$A$2:$A$33,0))</f>
        <v>0</v>
      </c>
      <c r="N106" s="20" t="n">
        <f aca="false">INDEX('Catalog ref'!$K$2:$K$33,MATCH(C106,'Catalog ref'!$A$2:$A$33,0))</f>
        <v>0</v>
      </c>
      <c r="O106" s="19" t="n">
        <f aca="false">INDEX('Catalog ref'!$M$2:$M$33,MATCH(C106,'Catalog ref'!$A$2:$A$33,0))</f>
        <v>0</v>
      </c>
    </row>
    <row r="107" customFormat="false" ht="15" hidden="false" customHeight="true" outlineLevel="0" collapsed="false">
      <c r="A107" s="6" t="s">
        <v>63</v>
      </c>
      <c r="B107" s="6" t="n">
        <v>10</v>
      </c>
      <c r="C107" s="6" t="s">
        <v>318</v>
      </c>
      <c r="D107" s="16" t="str">
        <f aca="false">INDEX('Catalog ref'!$C$2:$C$33,MATCH(C107,'Catalog ref'!$A$2:$A$33,0))</f>
        <v>3-axle (tri-axle), operated</v>
      </c>
      <c r="E107" s="17" t="n">
        <v>18</v>
      </c>
      <c r="F107" s="6" t="s">
        <v>291</v>
      </c>
      <c r="G107" s="6" t="s">
        <v>319</v>
      </c>
      <c r="H107" s="6"/>
      <c r="I107" s="6" t="s">
        <v>320</v>
      </c>
      <c r="J107" s="21" t="n">
        <f aca="false">Settings!$B$5/Settings!$B$2</f>
        <v>14</v>
      </c>
      <c r="K107" s="6" t="s">
        <v>321</v>
      </c>
      <c r="L107" s="10" t="n">
        <f aca="false">IF(N(J107)=0,"",E107*J107*Settings!$B$2*1)</f>
        <v>2520</v>
      </c>
      <c r="M107" s="19" t="n">
        <f aca="false">INDEX('Catalog ref'!$D$2:$D$33,MATCH(C107,'Catalog ref'!$A$2:$A$33,0))</f>
        <v>0</v>
      </c>
      <c r="N107" s="20" t="n">
        <f aca="false">INDEX('Catalog ref'!$K$2:$K$33,MATCH(C107,'Catalog ref'!$A$2:$A$33,0))</f>
        <v>0</v>
      </c>
      <c r="O107" s="19" t="n">
        <f aca="false">INDEX('Catalog ref'!$M$2:$M$33,MATCH(C107,'Catalog ref'!$A$2:$A$33,0))</f>
        <v>0</v>
      </c>
    </row>
    <row r="108" customFormat="false" ht="15" hidden="false" customHeight="true" outlineLevel="0" collapsed="false">
      <c r="A108" s="6" t="s">
        <v>63</v>
      </c>
      <c r="B108" s="6" t="n">
        <v>11</v>
      </c>
      <c r="C108" s="6" t="s">
        <v>318</v>
      </c>
      <c r="D108" s="16" t="str">
        <f aca="false">INDEX('Catalog ref'!$C$2:$C$33,MATCH(C108,'Catalog ref'!$A$2:$A$33,0))</f>
        <v>3-axle (tri-axle), operated</v>
      </c>
      <c r="E108" s="17" t="n">
        <v>22</v>
      </c>
      <c r="F108" s="6" t="s">
        <v>291</v>
      </c>
      <c r="G108" s="6" t="s">
        <v>319</v>
      </c>
      <c r="H108" s="6"/>
      <c r="I108" s="6" t="s">
        <v>320</v>
      </c>
      <c r="J108" s="21" t="n">
        <f aca="false">Settings!$B$5/Settings!$B$2</f>
        <v>14</v>
      </c>
      <c r="K108" s="6" t="s">
        <v>321</v>
      </c>
      <c r="L108" s="10" t="n">
        <f aca="false">IF(N(J108)=0,"",E108*J108*Settings!$B$2*1)</f>
        <v>3080</v>
      </c>
      <c r="M108" s="19" t="n">
        <f aca="false">INDEX('Catalog ref'!$D$2:$D$33,MATCH(C108,'Catalog ref'!$A$2:$A$33,0))</f>
        <v>0</v>
      </c>
      <c r="N108" s="20" t="n">
        <f aca="false">INDEX('Catalog ref'!$K$2:$K$33,MATCH(C108,'Catalog ref'!$A$2:$A$33,0))</f>
        <v>0</v>
      </c>
      <c r="O108" s="19" t="n">
        <f aca="false">INDEX('Catalog ref'!$M$2:$M$33,MATCH(C108,'Catalog ref'!$A$2:$A$33,0))</f>
        <v>0</v>
      </c>
    </row>
    <row r="109" customFormat="false" ht="15" hidden="false" customHeight="true" outlineLevel="0" collapsed="false">
      <c r="A109" s="6" t="s">
        <v>67</v>
      </c>
      <c r="B109" s="6" t="n">
        <v>1</v>
      </c>
      <c r="C109" s="6" t="s">
        <v>318</v>
      </c>
      <c r="D109" s="16" t="str">
        <f aca="false">INDEX('Catalog ref'!$C$2:$C$33,MATCH(C109,'Catalog ref'!$A$2:$A$33,0))</f>
        <v>3-axle (tri-axle), operated</v>
      </c>
      <c r="E109" s="17" t="n">
        <v>2</v>
      </c>
      <c r="F109" s="6" t="s">
        <v>291</v>
      </c>
      <c r="G109" s="6" t="s">
        <v>319</v>
      </c>
      <c r="H109" s="6"/>
      <c r="I109" s="6" t="s">
        <v>320</v>
      </c>
      <c r="J109" s="21" t="n">
        <f aca="false">Settings!$B$5/Settings!$B$2</f>
        <v>14</v>
      </c>
      <c r="K109" s="6" t="s">
        <v>321</v>
      </c>
      <c r="L109" s="10" t="n">
        <f aca="false">IF(N(J109)=0,"",E109*J109*Settings!$B$2*1)</f>
        <v>280</v>
      </c>
      <c r="M109" s="19" t="n">
        <f aca="false">INDEX('Catalog ref'!$D$2:$D$33,MATCH(C109,'Catalog ref'!$A$2:$A$33,0))</f>
        <v>0</v>
      </c>
      <c r="N109" s="20" t="n">
        <f aca="false">INDEX('Catalog ref'!$K$2:$K$33,MATCH(C109,'Catalog ref'!$A$2:$A$33,0))</f>
        <v>0</v>
      </c>
      <c r="O109" s="19" t="n">
        <f aca="false">INDEX('Catalog ref'!$M$2:$M$33,MATCH(C109,'Catalog ref'!$A$2:$A$33,0))</f>
        <v>0</v>
      </c>
    </row>
    <row r="110" customFormat="false" ht="15" hidden="false" customHeight="true" outlineLevel="0" collapsed="false">
      <c r="A110" s="6" t="s">
        <v>67</v>
      </c>
      <c r="B110" s="6" t="n">
        <v>2</v>
      </c>
      <c r="C110" s="6" t="s">
        <v>318</v>
      </c>
      <c r="D110" s="16" t="str">
        <f aca="false">INDEX('Catalog ref'!$C$2:$C$33,MATCH(C110,'Catalog ref'!$A$2:$A$33,0))</f>
        <v>3-axle (tri-axle), operated</v>
      </c>
      <c r="E110" s="17" t="n">
        <v>3</v>
      </c>
      <c r="F110" s="6" t="s">
        <v>291</v>
      </c>
      <c r="G110" s="6" t="s">
        <v>319</v>
      </c>
      <c r="H110" s="6"/>
      <c r="I110" s="6" t="s">
        <v>320</v>
      </c>
      <c r="J110" s="21" t="n">
        <f aca="false">Settings!$B$5/Settings!$B$2</f>
        <v>14</v>
      </c>
      <c r="K110" s="6" t="s">
        <v>321</v>
      </c>
      <c r="L110" s="10" t="n">
        <f aca="false">IF(N(J110)=0,"",E110*J110*Settings!$B$2*1)</f>
        <v>420</v>
      </c>
      <c r="M110" s="19" t="n">
        <f aca="false">INDEX('Catalog ref'!$D$2:$D$33,MATCH(C110,'Catalog ref'!$A$2:$A$33,0))</f>
        <v>0</v>
      </c>
      <c r="N110" s="20" t="n">
        <f aca="false">INDEX('Catalog ref'!$K$2:$K$33,MATCH(C110,'Catalog ref'!$A$2:$A$33,0))</f>
        <v>0</v>
      </c>
      <c r="O110" s="19" t="n">
        <f aca="false">INDEX('Catalog ref'!$M$2:$M$33,MATCH(C110,'Catalog ref'!$A$2:$A$33,0))</f>
        <v>0</v>
      </c>
    </row>
    <row r="111" customFormat="false" ht="15" hidden="false" customHeight="true" outlineLevel="0" collapsed="false">
      <c r="A111" s="6" t="s">
        <v>67</v>
      </c>
      <c r="B111" s="6" t="n">
        <v>3</v>
      </c>
      <c r="C111" s="6" t="s">
        <v>318</v>
      </c>
      <c r="D111" s="16" t="str">
        <f aca="false">INDEX('Catalog ref'!$C$2:$C$33,MATCH(C111,'Catalog ref'!$A$2:$A$33,0))</f>
        <v>3-axle (tri-axle), operated</v>
      </c>
      <c r="E111" s="17" t="n">
        <v>4</v>
      </c>
      <c r="F111" s="6" t="s">
        <v>291</v>
      </c>
      <c r="G111" s="6" t="s">
        <v>319</v>
      </c>
      <c r="H111" s="6"/>
      <c r="I111" s="6" t="s">
        <v>320</v>
      </c>
      <c r="J111" s="21" t="n">
        <f aca="false">Settings!$B$5/Settings!$B$2</f>
        <v>14</v>
      </c>
      <c r="K111" s="6" t="s">
        <v>321</v>
      </c>
      <c r="L111" s="10" t="n">
        <f aca="false">IF(N(J111)=0,"",E111*J111*Settings!$B$2*1)</f>
        <v>560</v>
      </c>
      <c r="M111" s="19" t="n">
        <f aca="false">INDEX('Catalog ref'!$D$2:$D$33,MATCH(C111,'Catalog ref'!$A$2:$A$33,0))</f>
        <v>0</v>
      </c>
      <c r="N111" s="20" t="n">
        <f aca="false">INDEX('Catalog ref'!$K$2:$K$33,MATCH(C111,'Catalog ref'!$A$2:$A$33,0))</f>
        <v>0</v>
      </c>
      <c r="O111" s="19" t="n">
        <f aca="false">INDEX('Catalog ref'!$M$2:$M$33,MATCH(C111,'Catalog ref'!$A$2:$A$33,0))</f>
        <v>0</v>
      </c>
    </row>
    <row r="112" customFormat="false" ht="15" hidden="false" customHeight="true" outlineLevel="0" collapsed="false">
      <c r="A112" s="6" t="s">
        <v>67</v>
      </c>
      <c r="B112" s="6" t="n">
        <v>4</v>
      </c>
      <c r="C112" s="6" t="s">
        <v>318</v>
      </c>
      <c r="D112" s="16" t="str">
        <f aca="false">INDEX('Catalog ref'!$C$2:$C$33,MATCH(C112,'Catalog ref'!$A$2:$A$33,0))</f>
        <v>3-axle (tri-axle), operated</v>
      </c>
      <c r="E112" s="17" t="n">
        <v>5</v>
      </c>
      <c r="F112" s="6" t="s">
        <v>291</v>
      </c>
      <c r="G112" s="6" t="s">
        <v>319</v>
      </c>
      <c r="H112" s="6"/>
      <c r="I112" s="6" t="s">
        <v>320</v>
      </c>
      <c r="J112" s="21" t="n">
        <f aca="false">Settings!$B$5/Settings!$B$2</f>
        <v>14</v>
      </c>
      <c r="K112" s="6" t="s">
        <v>321</v>
      </c>
      <c r="L112" s="10" t="n">
        <f aca="false">IF(N(J112)=0,"",E112*J112*Settings!$B$2*1)</f>
        <v>700</v>
      </c>
      <c r="M112" s="19" t="n">
        <f aca="false">INDEX('Catalog ref'!$D$2:$D$33,MATCH(C112,'Catalog ref'!$A$2:$A$33,0))</f>
        <v>0</v>
      </c>
      <c r="N112" s="20" t="n">
        <f aca="false">INDEX('Catalog ref'!$K$2:$K$33,MATCH(C112,'Catalog ref'!$A$2:$A$33,0))</f>
        <v>0</v>
      </c>
      <c r="O112" s="19" t="n">
        <f aca="false">INDEX('Catalog ref'!$M$2:$M$33,MATCH(C112,'Catalog ref'!$A$2:$A$33,0))</f>
        <v>0</v>
      </c>
    </row>
    <row r="113" customFormat="false" ht="15" hidden="false" customHeight="true" outlineLevel="0" collapsed="false">
      <c r="A113" s="6" t="s">
        <v>67</v>
      </c>
      <c r="B113" s="6" t="n">
        <v>5</v>
      </c>
      <c r="C113" s="6" t="s">
        <v>318</v>
      </c>
      <c r="D113" s="16" t="str">
        <f aca="false">INDEX('Catalog ref'!$C$2:$C$33,MATCH(C113,'Catalog ref'!$A$2:$A$33,0))</f>
        <v>3-axle (tri-axle), operated</v>
      </c>
      <c r="E113" s="17" t="n">
        <v>6</v>
      </c>
      <c r="F113" s="6" t="s">
        <v>291</v>
      </c>
      <c r="G113" s="6" t="s">
        <v>319</v>
      </c>
      <c r="H113" s="6"/>
      <c r="I113" s="6" t="s">
        <v>320</v>
      </c>
      <c r="J113" s="21" t="n">
        <f aca="false">Settings!$B$5/Settings!$B$2</f>
        <v>14</v>
      </c>
      <c r="K113" s="6" t="s">
        <v>321</v>
      </c>
      <c r="L113" s="10" t="n">
        <f aca="false">IF(N(J113)=0,"",E113*J113*Settings!$B$2*1)</f>
        <v>840</v>
      </c>
      <c r="M113" s="19" t="n">
        <f aca="false">INDEX('Catalog ref'!$D$2:$D$33,MATCH(C113,'Catalog ref'!$A$2:$A$33,0))</f>
        <v>0</v>
      </c>
      <c r="N113" s="20" t="n">
        <f aca="false">INDEX('Catalog ref'!$K$2:$K$33,MATCH(C113,'Catalog ref'!$A$2:$A$33,0))</f>
        <v>0</v>
      </c>
      <c r="O113" s="19" t="n">
        <f aca="false">INDEX('Catalog ref'!$M$2:$M$33,MATCH(C113,'Catalog ref'!$A$2:$A$33,0))</f>
        <v>0</v>
      </c>
    </row>
    <row r="114" customFormat="false" ht="15" hidden="false" customHeight="true" outlineLevel="0" collapsed="false">
      <c r="A114" s="6" t="s">
        <v>67</v>
      </c>
      <c r="B114" s="6" t="n">
        <v>6</v>
      </c>
      <c r="C114" s="6" t="s">
        <v>318</v>
      </c>
      <c r="D114" s="16" t="str">
        <f aca="false">INDEX('Catalog ref'!$C$2:$C$33,MATCH(C114,'Catalog ref'!$A$2:$A$33,0))</f>
        <v>3-axle (tri-axle), operated</v>
      </c>
      <c r="E114" s="17" t="n">
        <v>8</v>
      </c>
      <c r="F114" s="6" t="s">
        <v>291</v>
      </c>
      <c r="G114" s="6" t="s">
        <v>319</v>
      </c>
      <c r="H114" s="6"/>
      <c r="I114" s="6" t="s">
        <v>320</v>
      </c>
      <c r="J114" s="21" t="n">
        <f aca="false">Settings!$B$5/Settings!$B$2</f>
        <v>14</v>
      </c>
      <c r="K114" s="6" t="s">
        <v>321</v>
      </c>
      <c r="L114" s="10" t="n">
        <f aca="false">IF(N(J114)=0,"",E114*J114*Settings!$B$2*1)</f>
        <v>1120</v>
      </c>
      <c r="M114" s="19" t="n">
        <f aca="false">INDEX('Catalog ref'!$D$2:$D$33,MATCH(C114,'Catalog ref'!$A$2:$A$33,0))</f>
        <v>0</v>
      </c>
      <c r="N114" s="20" t="n">
        <f aca="false">INDEX('Catalog ref'!$K$2:$K$33,MATCH(C114,'Catalog ref'!$A$2:$A$33,0))</f>
        <v>0</v>
      </c>
      <c r="O114" s="19" t="n">
        <f aca="false">INDEX('Catalog ref'!$M$2:$M$33,MATCH(C114,'Catalog ref'!$A$2:$A$33,0))</f>
        <v>0</v>
      </c>
    </row>
    <row r="115" customFormat="false" ht="15" hidden="false" customHeight="true" outlineLevel="0" collapsed="false">
      <c r="A115" s="6" t="s">
        <v>67</v>
      </c>
      <c r="B115" s="6" t="n">
        <v>7</v>
      </c>
      <c r="C115" s="6" t="s">
        <v>318</v>
      </c>
      <c r="D115" s="16" t="str">
        <f aca="false">INDEX('Catalog ref'!$C$2:$C$33,MATCH(C115,'Catalog ref'!$A$2:$A$33,0))</f>
        <v>3-axle (tri-axle), operated</v>
      </c>
      <c r="E115" s="17" t="n">
        <v>10</v>
      </c>
      <c r="F115" s="6" t="s">
        <v>291</v>
      </c>
      <c r="G115" s="6" t="s">
        <v>319</v>
      </c>
      <c r="H115" s="6"/>
      <c r="I115" s="6" t="s">
        <v>320</v>
      </c>
      <c r="J115" s="21" t="n">
        <f aca="false">Settings!$B$5/Settings!$B$2</f>
        <v>14</v>
      </c>
      <c r="K115" s="6" t="s">
        <v>321</v>
      </c>
      <c r="L115" s="10" t="n">
        <f aca="false">IF(N(J115)=0,"",E115*J115*Settings!$B$2*1)</f>
        <v>1400</v>
      </c>
      <c r="M115" s="19" t="n">
        <f aca="false">INDEX('Catalog ref'!$D$2:$D$33,MATCH(C115,'Catalog ref'!$A$2:$A$33,0))</f>
        <v>0</v>
      </c>
      <c r="N115" s="20" t="n">
        <f aca="false">INDEX('Catalog ref'!$K$2:$K$33,MATCH(C115,'Catalog ref'!$A$2:$A$33,0))</f>
        <v>0</v>
      </c>
      <c r="O115" s="19" t="n">
        <f aca="false">INDEX('Catalog ref'!$M$2:$M$33,MATCH(C115,'Catalog ref'!$A$2:$A$33,0))</f>
        <v>0</v>
      </c>
    </row>
    <row r="116" customFormat="false" ht="15" hidden="false" customHeight="true" outlineLevel="0" collapsed="false">
      <c r="A116" s="6" t="s">
        <v>67</v>
      </c>
      <c r="B116" s="6" t="n">
        <v>8</v>
      </c>
      <c r="C116" s="6" t="s">
        <v>318</v>
      </c>
      <c r="D116" s="16" t="str">
        <f aca="false">INDEX('Catalog ref'!$C$2:$C$33,MATCH(C116,'Catalog ref'!$A$2:$A$33,0))</f>
        <v>3-axle (tri-axle), operated</v>
      </c>
      <c r="E116" s="17" t="n">
        <v>12</v>
      </c>
      <c r="F116" s="6" t="s">
        <v>291</v>
      </c>
      <c r="G116" s="6" t="s">
        <v>319</v>
      </c>
      <c r="H116" s="6"/>
      <c r="I116" s="6" t="s">
        <v>320</v>
      </c>
      <c r="J116" s="21" t="n">
        <f aca="false">Settings!$B$5/Settings!$B$2</f>
        <v>14</v>
      </c>
      <c r="K116" s="6" t="s">
        <v>321</v>
      </c>
      <c r="L116" s="10" t="n">
        <f aca="false">IF(N(J116)=0,"",E116*J116*Settings!$B$2*1)</f>
        <v>1680</v>
      </c>
      <c r="M116" s="19" t="n">
        <f aca="false">INDEX('Catalog ref'!$D$2:$D$33,MATCH(C116,'Catalog ref'!$A$2:$A$33,0))</f>
        <v>0</v>
      </c>
      <c r="N116" s="20" t="n">
        <f aca="false">INDEX('Catalog ref'!$K$2:$K$33,MATCH(C116,'Catalog ref'!$A$2:$A$33,0))</f>
        <v>0</v>
      </c>
      <c r="O116" s="19" t="n">
        <f aca="false">INDEX('Catalog ref'!$M$2:$M$33,MATCH(C116,'Catalog ref'!$A$2:$A$33,0))</f>
        <v>0</v>
      </c>
    </row>
    <row r="117" customFormat="false" ht="15" hidden="false" customHeight="true" outlineLevel="0" collapsed="false">
      <c r="A117" s="6" t="s">
        <v>67</v>
      </c>
      <c r="B117" s="6" t="n">
        <v>9</v>
      </c>
      <c r="C117" s="6" t="s">
        <v>318</v>
      </c>
      <c r="D117" s="16" t="str">
        <f aca="false">INDEX('Catalog ref'!$C$2:$C$33,MATCH(C117,'Catalog ref'!$A$2:$A$33,0))</f>
        <v>3-axle (tri-axle), operated</v>
      </c>
      <c r="E117" s="17" t="n">
        <v>15</v>
      </c>
      <c r="F117" s="6" t="s">
        <v>291</v>
      </c>
      <c r="G117" s="6" t="s">
        <v>319</v>
      </c>
      <c r="H117" s="6"/>
      <c r="I117" s="6" t="s">
        <v>320</v>
      </c>
      <c r="J117" s="21" t="n">
        <f aca="false">Settings!$B$5/Settings!$B$2</f>
        <v>14</v>
      </c>
      <c r="K117" s="6" t="s">
        <v>321</v>
      </c>
      <c r="L117" s="10" t="n">
        <f aca="false">IF(N(J117)=0,"",E117*J117*Settings!$B$2*1)</f>
        <v>2100</v>
      </c>
      <c r="M117" s="19" t="n">
        <f aca="false">INDEX('Catalog ref'!$D$2:$D$33,MATCH(C117,'Catalog ref'!$A$2:$A$33,0))</f>
        <v>0</v>
      </c>
      <c r="N117" s="20" t="n">
        <f aca="false">INDEX('Catalog ref'!$K$2:$K$33,MATCH(C117,'Catalog ref'!$A$2:$A$33,0))</f>
        <v>0</v>
      </c>
      <c r="O117" s="19" t="n">
        <f aca="false">INDEX('Catalog ref'!$M$2:$M$33,MATCH(C117,'Catalog ref'!$A$2:$A$33,0))</f>
        <v>0</v>
      </c>
    </row>
    <row r="118" customFormat="false" ht="15" hidden="false" customHeight="true" outlineLevel="0" collapsed="false">
      <c r="A118" s="6" t="s">
        <v>67</v>
      </c>
      <c r="B118" s="6" t="n">
        <v>10</v>
      </c>
      <c r="C118" s="6" t="s">
        <v>318</v>
      </c>
      <c r="D118" s="16" t="str">
        <f aca="false">INDEX('Catalog ref'!$C$2:$C$33,MATCH(C118,'Catalog ref'!$A$2:$A$33,0))</f>
        <v>3-axle (tri-axle), operated</v>
      </c>
      <c r="E118" s="17" t="n">
        <v>18</v>
      </c>
      <c r="F118" s="6" t="s">
        <v>291</v>
      </c>
      <c r="G118" s="6" t="s">
        <v>319</v>
      </c>
      <c r="H118" s="6"/>
      <c r="I118" s="6" t="s">
        <v>320</v>
      </c>
      <c r="J118" s="21" t="n">
        <f aca="false">Settings!$B$5/Settings!$B$2</f>
        <v>14</v>
      </c>
      <c r="K118" s="6" t="s">
        <v>321</v>
      </c>
      <c r="L118" s="10" t="n">
        <f aca="false">IF(N(J118)=0,"",E118*J118*Settings!$B$2*1)</f>
        <v>2520</v>
      </c>
      <c r="M118" s="19" t="n">
        <f aca="false">INDEX('Catalog ref'!$D$2:$D$33,MATCH(C118,'Catalog ref'!$A$2:$A$33,0))</f>
        <v>0</v>
      </c>
      <c r="N118" s="20" t="n">
        <f aca="false">INDEX('Catalog ref'!$K$2:$K$33,MATCH(C118,'Catalog ref'!$A$2:$A$33,0))</f>
        <v>0</v>
      </c>
      <c r="O118" s="19" t="n">
        <f aca="false">INDEX('Catalog ref'!$M$2:$M$33,MATCH(C118,'Catalog ref'!$A$2:$A$33,0))</f>
        <v>0</v>
      </c>
    </row>
    <row r="119" customFormat="false" ht="15" hidden="false" customHeight="true" outlineLevel="0" collapsed="false">
      <c r="A119" s="6" t="s">
        <v>67</v>
      </c>
      <c r="B119" s="6" t="n">
        <v>11</v>
      </c>
      <c r="C119" s="6" t="s">
        <v>318</v>
      </c>
      <c r="D119" s="16" t="str">
        <f aca="false">INDEX('Catalog ref'!$C$2:$C$33,MATCH(C119,'Catalog ref'!$A$2:$A$33,0))</f>
        <v>3-axle (tri-axle), operated</v>
      </c>
      <c r="E119" s="17" t="n">
        <v>22</v>
      </c>
      <c r="F119" s="6" t="s">
        <v>291</v>
      </c>
      <c r="G119" s="6" t="s">
        <v>319</v>
      </c>
      <c r="H119" s="6"/>
      <c r="I119" s="6" t="s">
        <v>320</v>
      </c>
      <c r="J119" s="21" t="n">
        <f aca="false">Settings!$B$5/Settings!$B$2</f>
        <v>14</v>
      </c>
      <c r="K119" s="6" t="s">
        <v>321</v>
      </c>
      <c r="L119" s="10" t="n">
        <f aca="false">IF(N(J119)=0,"",E119*J119*Settings!$B$2*1)</f>
        <v>3080</v>
      </c>
      <c r="M119" s="19" t="n">
        <f aca="false">INDEX('Catalog ref'!$D$2:$D$33,MATCH(C119,'Catalog ref'!$A$2:$A$33,0))</f>
        <v>0</v>
      </c>
      <c r="N119" s="20" t="n">
        <f aca="false">INDEX('Catalog ref'!$K$2:$K$33,MATCH(C119,'Catalog ref'!$A$2:$A$33,0))</f>
        <v>0</v>
      </c>
      <c r="O119" s="19" t="n">
        <f aca="false">INDEX('Catalog ref'!$M$2:$M$33,MATCH(C119,'Catalog ref'!$A$2:$A$33,0))</f>
        <v>0</v>
      </c>
    </row>
    <row r="120" customFormat="false" ht="15" hidden="false" customHeight="true" outlineLevel="0" collapsed="false">
      <c r="A120" s="6" t="s">
        <v>71</v>
      </c>
      <c r="B120" s="6" t="n">
        <v>1</v>
      </c>
      <c r="C120" s="6" t="s">
        <v>295</v>
      </c>
      <c r="D120" s="16" t="str">
        <f aca="false">INDEX('Catalog ref'!$C$2:$C$33,MATCH(C120,'Catalog ref'!$A$2:$A$33,0))</f>
        <v>20-25 t (~48,500-62,800 lb)</v>
      </c>
      <c r="E120" s="17" t="n">
        <v>1</v>
      </c>
      <c r="F120" s="6" t="s">
        <v>291</v>
      </c>
      <c r="G120" s="6"/>
      <c r="H120" s="6"/>
      <c r="I120" s="6"/>
      <c r="J120" s="6"/>
      <c r="K120" s="6"/>
      <c r="L120" s="6"/>
      <c r="M120" s="19" t="n">
        <f aca="false">INDEX('Catalog ref'!$D$2:$D$33,MATCH(C120,'Catalog ref'!$A$2:$A$33,0))</f>
        <v>1040</v>
      </c>
      <c r="N120" s="20" t="n">
        <f aca="false">INDEX('Catalog ref'!$K$2:$K$33,MATCH(C120,'Catalog ref'!$A$2:$A$33,0))</f>
        <v>2.78</v>
      </c>
      <c r="O120" s="19" t="n">
        <f aca="false">INDEX('Catalog ref'!$M$2:$M$33,MATCH(C120,'Catalog ref'!$A$2:$A$33,0))</f>
        <v>550</v>
      </c>
    </row>
    <row r="121" customFormat="false" ht="15" hidden="false" customHeight="true" outlineLevel="0" collapsed="false">
      <c r="A121" s="6" t="s">
        <v>71</v>
      </c>
      <c r="B121" s="6" t="n">
        <v>1</v>
      </c>
      <c r="C121" s="6" t="s">
        <v>322</v>
      </c>
      <c r="D121" s="16" t="str">
        <f aca="false">INDEX('Catalog ref'!$C$2:$C$33,MATCH(C121,'Catalog ref'!$A$2:$A$33,0))</f>
        <v>Hydraulic breaker for 20-30 t excavator</v>
      </c>
      <c r="E121" s="17" t="n">
        <v>1</v>
      </c>
      <c r="F121" s="6"/>
      <c r="G121" s="6"/>
      <c r="H121" s="6"/>
      <c r="I121" s="6"/>
      <c r="J121" s="6"/>
      <c r="K121" s="6"/>
      <c r="L121" s="6"/>
      <c r="M121" s="19" t="n">
        <f aca="false">INDEX('Catalog ref'!$D$2:$D$33,MATCH(C121,'Catalog ref'!$A$2:$A$33,0))</f>
        <v>1050</v>
      </c>
      <c r="N121" s="20" t="n">
        <f aca="false">INDEX('Catalog ref'!$K$2:$K$33,MATCH(C121,'Catalog ref'!$A$2:$A$33,0))</f>
        <v>0</v>
      </c>
      <c r="O121" s="19" t="n">
        <f aca="false">INDEX('Catalog ref'!$M$2:$M$33,MATCH(C121,'Catalog ref'!$A$2:$A$33,0))</f>
        <v>400</v>
      </c>
    </row>
    <row r="122" customFormat="false" ht="15" hidden="false" customHeight="true" outlineLevel="0" collapsed="false">
      <c r="A122" s="6" t="s">
        <v>71</v>
      </c>
      <c r="B122" s="6" t="n">
        <v>2</v>
      </c>
      <c r="C122" s="6" t="s">
        <v>297</v>
      </c>
      <c r="D122" s="16" t="str">
        <f aca="false">INDEX('Catalog ref'!$C$2:$C$33,MATCH(C122,'Catalog ref'!$A$2:$A$33,0))</f>
        <v>30-36 t (~68,000-81,000 lb)</v>
      </c>
      <c r="E122" s="17" t="n">
        <v>1</v>
      </c>
      <c r="F122" s="6" t="s">
        <v>291</v>
      </c>
      <c r="G122" s="6"/>
      <c r="H122" s="6"/>
      <c r="I122" s="6"/>
      <c r="J122" s="6"/>
      <c r="K122" s="6"/>
      <c r="L122" s="6"/>
      <c r="M122" s="19" t="n">
        <f aca="false">INDEX('Catalog ref'!$D$2:$D$33,MATCH(C122,'Catalog ref'!$A$2:$A$33,0))</f>
        <v>1424</v>
      </c>
      <c r="N122" s="20" t="n">
        <f aca="false">INDEX('Catalog ref'!$K$2:$K$33,MATCH(C122,'Catalog ref'!$A$2:$A$33,0))</f>
        <v>4.5</v>
      </c>
      <c r="O122" s="19" t="n">
        <f aca="false">INDEX('Catalog ref'!$M$2:$M$33,MATCH(C122,'Catalog ref'!$A$2:$A$33,0))</f>
        <v>1800</v>
      </c>
    </row>
    <row r="123" customFormat="false" ht="23.25" hidden="false" customHeight="true" outlineLevel="0" collapsed="false">
      <c r="A123" s="6" t="s">
        <v>71</v>
      </c>
      <c r="B123" s="6" t="n">
        <v>2</v>
      </c>
      <c r="C123" s="6" t="s">
        <v>323</v>
      </c>
      <c r="D123" s="16" t="str">
        <f aca="false">INDEX('Catalog ref'!$C$2:$C$33,MATCH(C123,'Catalog ref'!$A$2:$A$33,0))</f>
        <v>Hydraulic breaker for ~36 t excavator (HB-3100)</v>
      </c>
      <c r="E123" s="17" t="n">
        <v>1</v>
      </c>
      <c r="F123" s="6"/>
      <c r="G123" s="6"/>
      <c r="H123" s="6"/>
      <c r="I123" s="6"/>
      <c r="J123" s="6"/>
      <c r="K123" s="6"/>
      <c r="L123" s="6"/>
      <c r="M123" s="19" t="n">
        <f aca="false">INDEX('Catalog ref'!$D$2:$D$33,MATCH(C123,'Catalog ref'!$A$2:$A$33,0))</f>
        <v>1600</v>
      </c>
      <c r="N123" s="20" t="n">
        <f aca="false">INDEX('Catalog ref'!$K$2:$K$33,MATCH(C123,'Catalog ref'!$A$2:$A$33,0))</f>
        <v>0</v>
      </c>
      <c r="O123" s="19" t="n">
        <f aca="false">INDEX('Catalog ref'!$M$2:$M$33,MATCH(C123,'Catalog ref'!$A$2:$A$33,0))</f>
        <v>400</v>
      </c>
    </row>
    <row r="124" customFormat="false" ht="15" hidden="false" customHeight="true" outlineLevel="0" collapsed="false">
      <c r="A124" s="6" t="s">
        <v>71</v>
      </c>
      <c r="B124" s="6" t="n">
        <v>2</v>
      </c>
      <c r="C124" s="6" t="s">
        <v>295</v>
      </c>
      <c r="D124" s="16" t="str">
        <f aca="false">INDEX('Catalog ref'!$C$2:$C$33,MATCH(C124,'Catalog ref'!$A$2:$A$33,0))</f>
        <v>20-25 t (~48,500-62,800 lb)</v>
      </c>
      <c r="E124" s="17" t="n">
        <v>1</v>
      </c>
      <c r="F124" s="6"/>
      <c r="G124" s="6"/>
      <c r="H124" s="6"/>
      <c r="I124" s="6"/>
      <c r="J124" s="6"/>
      <c r="K124" s="6"/>
      <c r="L124" s="6"/>
      <c r="M124" s="19" t="n">
        <f aca="false">INDEX('Catalog ref'!$D$2:$D$33,MATCH(C124,'Catalog ref'!$A$2:$A$33,0))</f>
        <v>1040</v>
      </c>
      <c r="N124" s="20" t="n">
        <f aca="false">INDEX('Catalog ref'!$K$2:$K$33,MATCH(C124,'Catalog ref'!$A$2:$A$33,0))</f>
        <v>2.78</v>
      </c>
      <c r="O124" s="19" t="n">
        <f aca="false">INDEX('Catalog ref'!$M$2:$M$33,MATCH(C124,'Catalog ref'!$A$2:$A$33,0))</f>
        <v>550</v>
      </c>
    </row>
    <row r="125" customFormat="false" ht="15" hidden="false" customHeight="true" outlineLevel="0" collapsed="false">
      <c r="A125" s="6" t="s">
        <v>71</v>
      </c>
      <c r="B125" s="6" t="n">
        <v>3</v>
      </c>
      <c r="C125" s="6" t="s">
        <v>297</v>
      </c>
      <c r="D125" s="16" t="str">
        <f aca="false">INDEX('Catalog ref'!$C$2:$C$33,MATCH(C125,'Catalog ref'!$A$2:$A$33,0))</f>
        <v>30-36 t (~68,000-81,000 lb)</v>
      </c>
      <c r="E125" s="17" t="n">
        <v>2</v>
      </c>
      <c r="F125" s="6" t="s">
        <v>291</v>
      </c>
      <c r="G125" s="6"/>
      <c r="H125" s="6"/>
      <c r="I125" s="6"/>
      <c r="J125" s="6"/>
      <c r="K125" s="6"/>
      <c r="L125" s="6"/>
      <c r="M125" s="19" t="n">
        <f aca="false">INDEX('Catalog ref'!$D$2:$D$33,MATCH(C125,'Catalog ref'!$A$2:$A$33,0))</f>
        <v>1424</v>
      </c>
      <c r="N125" s="20" t="n">
        <f aca="false">INDEX('Catalog ref'!$K$2:$K$33,MATCH(C125,'Catalog ref'!$A$2:$A$33,0))</f>
        <v>4.5</v>
      </c>
      <c r="O125" s="19" t="n">
        <f aca="false">INDEX('Catalog ref'!$M$2:$M$33,MATCH(C125,'Catalog ref'!$A$2:$A$33,0))</f>
        <v>1800</v>
      </c>
    </row>
    <row r="126" customFormat="false" ht="23.25" hidden="false" customHeight="true" outlineLevel="0" collapsed="false">
      <c r="A126" s="6" t="s">
        <v>71</v>
      </c>
      <c r="B126" s="6" t="n">
        <v>3</v>
      </c>
      <c r="C126" s="6" t="s">
        <v>323</v>
      </c>
      <c r="D126" s="16" t="str">
        <f aca="false">INDEX('Catalog ref'!$C$2:$C$33,MATCH(C126,'Catalog ref'!$A$2:$A$33,0))</f>
        <v>Hydraulic breaker for ~36 t excavator (HB-3100)</v>
      </c>
      <c r="E126" s="17" t="n">
        <v>2</v>
      </c>
      <c r="F126" s="6"/>
      <c r="G126" s="6"/>
      <c r="H126" s="6"/>
      <c r="I126" s="6"/>
      <c r="J126" s="6"/>
      <c r="K126" s="6"/>
      <c r="L126" s="6"/>
      <c r="M126" s="19" t="n">
        <f aca="false">INDEX('Catalog ref'!$D$2:$D$33,MATCH(C126,'Catalog ref'!$A$2:$A$33,0))</f>
        <v>1600</v>
      </c>
      <c r="N126" s="20" t="n">
        <f aca="false">INDEX('Catalog ref'!$K$2:$K$33,MATCH(C126,'Catalog ref'!$A$2:$A$33,0))</f>
        <v>0</v>
      </c>
      <c r="O126" s="19" t="n">
        <f aca="false">INDEX('Catalog ref'!$M$2:$M$33,MATCH(C126,'Catalog ref'!$A$2:$A$33,0))</f>
        <v>400</v>
      </c>
    </row>
    <row r="127" customFormat="false" ht="15" hidden="false" customHeight="true" outlineLevel="0" collapsed="false">
      <c r="A127" s="6" t="s">
        <v>71</v>
      </c>
      <c r="B127" s="6" t="n">
        <v>3</v>
      </c>
      <c r="C127" s="6" t="s">
        <v>297</v>
      </c>
      <c r="D127" s="16" t="str">
        <f aca="false">INDEX('Catalog ref'!$C$2:$C$33,MATCH(C127,'Catalog ref'!$A$2:$A$33,0))</f>
        <v>30-36 t (~68,000-81,000 lb)</v>
      </c>
      <c r="E127" s="17" t="n">
        <v>1</v>
      </c>
      <c r="F127" s="6"/>
      <c r="G127" s="6"/>
      <c r="H127" s="6"/>
      <c r="I127" s="6"/>
      <c r="J127" s="6"/>
      <c r="K127" s="6"/>
      <c r="L127" s="6"/>
      <c r="M127" s="19" t="n">
        <f aca="false">INDEX('Catalog ref'!$D$2:$D$33,MATCH(C127,'Catalog ref'!$A$2:$A$33,0))</f>
        <v>1424</v>
      </c>
      <c r="N127" s="20" t="n">
        <f aca="false">INDEX('Catalog ref'!$K$2:$K$33,MATCH(C127,'Catalog ref'!$A$2:$A$33,0))</f>
        <v>4.5</v>
      </c>
      <c r="O127" s="19" t="n">
        <f aca="false">INDEX('Catalog ref'!$M$2:$M$33,MATCH(C127,'Catalog ref'!$A$2:$A$33,0))</f>
        <v>1800</v>
      </c>
    </row>
    <row r="128" customFormat="false" ht="15" hidden="false" customHeight="true" outlineLevel="0" collapsed="false">
      <c r="A128" s="6" t="s">
        <v>71</v>
      </c>
      <c r="B128" s="6" t="n">
        <v>4</v>
      </c>
      <c r="C128" s="6" t="s">
        <v>297</v>
      </c>
      <c r="D128" s="16" t="str">
        <f aca="false">INDEX('Catalog ref'!$C$2:$C$33,MATCH(C128,'Catalog ref'!$A$2:$A$33,0))</f>
        <v>30-36 t (~68,000-81,000 lb)</v>
      </c>
      <c r="E128" s="17" t="n">
        <v>3</v>
      </c>
      <c r="F128" s="6" t="s">
        <v>291</v>
      </c>
      <c r="G128" s="6"/>
      <c r="H128" s="6"/>
      <c r="I128" s="6"/>
      <c r="J128" s="6"/>
      <c r="K128" s="6"/>
      <c r="L128" s="6"/>
      <c r="M128" s="19" t="n">
        <f aca="false">INDEX('Catalog ref'!$D$2:$D$33,MATCH(C128,'Catalog ref'!$A$2:$A$33,0))</f>
        <v>1424</v>
      </c>
      <c r="N128" s="20" t="n">
        <f aca="false">INDEX('Catalog ref'!$K$2:$K$33,MATCH(C128,'Catalog ref'!$A$2:$A$33,0))</f>
        <v>4.5</v>
      </c>
      <c r="O128" s="19" t="n">
        <f aca="false">INDEX('Catalog ref'!$M$2:$M$33,MATCH(C128,'Catalog ref'!$A$2:$A$33,0))</f>
        <v>1800</v>
      </c>
    </row>
    <row r="129" customFormat="false" ht="23.25" hidden="false" customHeight="true" outlineLevel="0" collapsed="false">
      <c r="A129" s="6" t="s">
        <v>71</v>
      </c>
      <c r="B129" s="6" t="n">
        <v>4</v>
      </c>
      <c r="C129" s="6" t="s">
        <v>323</v>
      </c>
      <c r="D129" s="16" t="str">
        <f aca="false">INDEX('Catalog ref'!$C$2:$C$33,MATCH(C129,'Catalog ref'!$A$2:$A$33,0))</f>
        <v>Hydraulic breaker for ~36 t excavator (HB-3100)</v>
      </c>
      <c r="E129" s="17" t="n">
        <v>3</v>
      </c>
      <c r="F129" s="6"/>
      <c r="G129" s="6"/>
      <c r="H129" s="6"/>
      <c r="I129" s="6"/>
      <c r="J129" s="6"/>
      <c r="K129" s="6"/>
      <c r="L129" s="6"/>
      <c r="M129" s="19" t="n">
        <f aca="false">INDEX('Catalog ref'!$D$2:$D$33,MATCH(C129,'Catalog ref'!$A$2:$A$33,0))</f>
        <v>1600</v>
      </c>
      <c r="N129" s="20" t="n">
        <f aca="false">INDEX('Catalog ref'!$K$2:$K$33,MATCH(C129,'Catalog ref'!$A$2:$A$33,0))</f>
        <v>0</v>
      </c>
      <c r="O129" s="19" t="n">
        <f aca="false">INDEX('Catalog ref'!$M$2:$M$33,MATCH(C129,'Catalog ref'!$A$2:$A$33,0))</f>
        <v>400</v>
      </c>
    </row>
    <row r="130" customFormat="false" ht="15" hidden="false" customHeight="true" outlineLevel="0" collapsed="false">
      <c r="A130" s="6" t="s">
        <v>71</v>
      </c>
      <c r="B130" s="6" t="n">
        <v>4</v>
      </c>
      <c r="C130" s="6" t="s">
        <v>298</v>
      </c>
      <c r="D130" s="16" t="str">
        <f aca="false">INDEX('Catalog ref'!$C$2:$C$33,MATCH(C130,'Catalog ref'!$A$2:$A$33,0))</f>
        <v>45-55 t (~105,000-108,000 lb)</v>
      </c>
      <c r="E130" s="17" t="n">
        <v>1</v>
      </c>
      <c r="F130" s="6"/>
      <c r="G130" s="6"/>
      <c r="H130" s="6"/>
      <c r="I130" s="6"/>
      <c r="J130" s="6"/>
      <c r="K130" s="6"/>
      <c r="L130" s="6"/>
      <c r="M130" s="19" t="n">
        <f aca="false">INDEX('Catalog ref'!$D$2:$D$33,MATCH(C130,'Catalog ref'!$A$2:$A$33,0))</f>
        <v>2250</v>
      </c>
      <c r="N130" s="20" t="n">
        <f aca="false">INDEX('Catalog ref'!$K$2:$K$33,MATCH(C130,'Catalog ref'!$A$2:$A$33,0))</f>
        <v>8.02</v>
      </c>
      <c r="O130" s="19" t="n">
        <f aca="false">INDEX('Catalog ref'!$M$2:$M$33,MATCH(C130,'Catalog ref'!$A$2:$A$33,0))</f>
        <v>1913</v>
      </c>
    </row>
    <row r="131" customFormat="false" ht="15" hidden="false" customHeight="true" outlineLevel="0" collapsed="false">
      <c r="A131" s="6" t="s">
        <v>75</v>
      </c>
      <c r="B131" s="6" t="n">
        <v>1</v>
      </c>
      <c r="C131" s="6" t="s">
        <v>308</v>
      </c>
      <c r="D131" s="16" t="str">
        <f aca="false">INDEX('Catalog ref'!$C$2:$C$33,MATCH(C131,'Catalog ref'!$A$2:$A$33,0))</f>
        <v>D8 class (~363 hp)</v>
      </c>
      <c r="E131" s="17" t="n">
        <v>1</v>
      </c>
      <c r="F131" s="6" t="s">
        <v>291</v>
      </c>
      <c r="G131" s="6" t="s">
        <v>292</v>
      </c>
      <c r="H131" s="6"/>
      <c r="I131" s="6" t="s">
        <v>324</v>
      </c>
      <c r="J131" s="18" t="n">
        <f aca="false">IFERROR(INDEX('Catalog production'!$D$2:$D$15,MATCH(C131&amp;"|"&amp;I131,'Catalog production'!$A$2:$A$15,0))*1,"")</f>
        <v>300</v>
      </c>
      <c r="K131" s="16" t="str">
        <f aca="false">IFERROR(INDEX('Catalog production'!$E$2:$E$15,MATCH(C131&amp;"|"&amp;I131,'Catalog production'!$A$2:$A$15,0))&amp;"","")</f>
        <v>BCY/hr</v>
      </c>
      <c r="L131" s="10" t="n">
        <f aca="false">IF(N(J131)=0,"",E131*J131*Settings!$B$2*IF(K131="LCY/hr",1/Settings!$B$3,1))</f>
        <v>3000</v>
      </c>
      <c r="M131" s="19" t="n">
        <f aca="false">INDEX('Catalog ref'!$D$2:$D$33,MATCH(C131,'Catalog ref'!$A$2:$A$33,0))</f>
        <v>4170</v>
      </c>
      <c r="N131" s="20" t="n">
        <f aca="false">INDEX('Catalog ref'!$K$2:$K$33,MATCH(C131,'Catalog ref'!$A$2:$A$33,0))</f>
        <v>8.59</v>
      </c>
      <c r="O131" s="19" t="n">
        <f aca="false">INDEX('Catalog ref'!$M$2:$M$33,MATCH(C131,'Catalog ref'!$A$2:$A$33,0))</f>
        <v>1800</v>
      </c>
    </row>
    <row r="132" customFormat="false" ht="15" hidden="false" customHeight="true" outlineLevel="0" collapsed="false">
      <c r="A132" s="6" t="s">
        <v>75</v>
      </c>
      <c r="B132" s="6" t="n">
        <v>2</v>
      </c>
      <c r="C132" s="6" t="s">
        <v>308</v>
      </c>
      <c r="D132" s="16" t="str">
        <f aca="false">INDEX('Catalog ref'!$C$2:$C$33,MATCH(C132,'Catalog ref'!$A$2:$A$33,0))</f>
        <v>D8 class (~363 hp)</v>
      </c>
      <c r="E132" s="17" t="n">
        <v>2</v>
      </c>
      <c r="F132" s="6" t="s">
        <v>291</v>
      </c>
      <c r="G132" s="6" t="s">
        <v>292</v>
      </c>
      <c r="H132" s="6"/>
      <c r="I132" s="6" t="s">
        <v>324</v>
      </c>
      <c r="J132" s="18" t="n">
        <f aca="false">IFERROR(INDEX('Catalog production'!$D$2:$D$15,MATCH(C132&amp;"|"&amp;I132,'Catalog production'!$A$2:$A$15,0))*1,"")</f>
        <v>300</v>
      </c>
      <c r="K132" s="16" t="str">
        <f aca="false">IFERROR(INDEX('Catalog production'!$E$2:$E$15,MATCH(C132&amp;"|"&amp;I132,'Catalog production'!$A$2:$A$15,0))&amp;"","")</f>
        <v>BCY/hr</v>
      </c>
      <c r="L132" s="10" t="n">
        <f aca="false">IF(N(J132)=0,"",E132*J132*Settings!$B$2*IF(K132="LCY/hr",1/Settings!$B$3,1))</f>
        <v>6000</v>
      </c>
      <c r="M132" s="19" t="n">
        <f aca="false">INDEX('Catalog ref'!$D$2:$D$33,MATCH(C132,'Catalog ref'!$A$2:$A$33,0))</f>
        <v>4170</v>
      </c>
      <c r="N132" s="20" t="n">
        <f aca="false">INDEX('Catalog ref'!$K$2:$K$33,MATCH(C132,'Catalog ref'!$A$2:$A$33,0))</f>
        <v>8.59</v>
      </c>
      <c r="O132" s="19" t="n">
        <f aca="false">INDEX('Catalog ref'!$M$2:$M$33,MATCH(C132,'Catalog ref'!$A$2:$A$33,0))</f>
        <v>1800</v>
      </c>
    </row>
    <row r="133" customFormat="false" ht="15" hidden="false" customHeight="true" outlineLevel="0" collapsed="false">
      <c r="A133" s="6" t="s">
        <v>79</v>
      </c>
      <c r="B133" s="6" t="n">
        <v>1</v>
      </c>
      <c r="C133" s="6" t="s">
        <v>312</v>
      </c>
      <c r="D133" s="16" t="str">
        <f aca="false">INDEX('Catalog ref'!$C$2:$C$33,MATCH(C133,'Catalog ref'!$A$2:$A$33,0))</f>
        <v>ROC &gt;3,000 lb</v>
      </c>
      <c r="E133" s="17" t="n">
        <v>1</v>
      </c>
      <c r="F133" s="6" t="s">
        <v>291</v>
      </c>
      <c r="G133" s="6"/>
      <c r="H133" s="6"/>
      <c r="I133" s="6"/>
      <c r="J133" s="6"/>
      <c r="K133" s="6"/>
      <c r="L133" s="6"/>
      <c r="M133" s="19" t="n">
        <f aca="false">INDEX('Catalog ref'!$D$2:$D$33,MATCH(C133,'Catalog ref'!$A$2:$A$33,0))</f>
        <v>500</v>
      </c>
      <c r="N133" s="20" t="n">
        <f aca="false">INDEX('Catalog ref'!$K$2:$K$33,MATCH(C133,'Catalog ref'!$A$2:$A$33,0))</f>
        <v>3.3</v>
      </c>
      <c r="O133" s="19" t="n">
        <f aca="false">INDEX('Catalog ref'!$M$2:$M$33,MATCH(C133,'Catalog ref'!$A$2:$A$33,0))</f>
        <v>500</v>
      </c>
    </row>
    <row r="134" customFormat="false" ht="15" hidden="false" customHeight="true" outlineLevel="0" collapsed="false">
      <c r="A134" s="6" t="s">
        <v>79</v>
      </c>
      <c r="B134" s="6" t="n">
        <v>1</v>
      </c>
      <c r="C134" s="6" t="s">
        <v>301</v>
      </c>
      <c r="D134" s="16" t="str">
        <f aca="false">INDEX('Catalog ref'!$C$2:$C$33,MATCH(C134,'Catalog ref'!$A$2:$A$33,0))</f>
        <v>84 in smooth</v>
      </c>
      <c r="E134" s="17" t="n">
        <v>0.5</v>
      </c>
      <c r="F134" s="6"/>
      <c r="G134" s="6"/>
      <c r="H134" s="6"/>
      <c r="I134" s="6"/>
      <c r="J134" s="6"/>
      <c r="K134" s="6"/>
      <c r="L134" s="6"/>
      <c r="M134" s="19" t="n">
        <f aca="false">INDEX('Catalog ref'!$D$2:$D$33,MATCH(C134,'Catalog ref'!$A$2:$A$33,0))</f>
        <v>700</v>
      </c>
      <c r="N134" s="20" t="n">
        <f aca="false">INDEX('Catalog ref'!$K$2:$K$33,MATCH(C134,'Catalog ref'!$A$2:$A$33,0))</f>
        <v>2.91</v>
      </c>
      <c r="O134" s="19" t="n">
        <f aca="false">INDEX('Catalog ref'!$M$2:$M$33,MATCH(C134,'Catalog ref'!$A$2:$A$33,0))</f>
        <v>550</v>
      </c>
    </row>
    <row r="135" customFormat="false" ht="15" hidden="false" customHeight="true" outlineLevel="0" collapsed="false">
      <c r="A135" s="6" t="s">
        <v>79</v>
      </c>
      <c r="B135" s="6" t="n">
        <v>2</v>
      </c>
      <c r="C135" s="6" t="s">
        <v>325</v>
      </c>
      <c r="D135" s="16" t="str">
        <f aca="false">INDEX('Catalog ref'!$C$2:$C$33,MATCH(C135,'Catalog ref'!$A$2:$A$33,0))</f>
        <v>12 ft (Cat 140)</v>
      </c>
      <c r="E135" s="17" t="n">
        <v>1</v>
      </c>
      <c r="F135" s="6" t="s">
        <v>291</v>
      </c>
      <c r="G135" s="6"/>
      <c r="H135" s="6"/>
      <c r="I135" s="6"/>
      <c r="J135" s="6"/>
      <c r="K135" s="6"/>
      <c r="L135" s="6"/>
      <c r="M135" s="19" t="n">
        <f aca="false">INDEX('Catalog ref'!$D$2:$D$33,MATCH(C135,'Catalog ref'!$A$2:$A$33,0))</f>
        <v>1949</v>
      </c>
      <c r="N135" s="20" t="n">
        <f aca="false">INDEX('Catalog ref'!$K$2:$K$33,MATCH(C135,'Catalog ref'!$A$2:$A$33,0))</f>
        <v>3.53</v>
      </c>
      <c r="O135" s="19" t="n">
        <f aca="false">INDEX('Catalog ref'!$M$2:$M$33,MATCH(C135,'Catalog ref'!$A$2:$A$33,0))</f>
        <v>550</v>
      </c>
    </row>
    <row r="136" customFormat="false" ht="15" hidden="false" customHeight="true" outlineLevel="0" collapsed="false">
      <c r="A136" s="6" t="s">
        <v>79</v>
      </c>
      <c r="B136" s="6" t="n">
        <v>2</v>
      </c>
      <c r="C136" s="6" t="s">
        <v>301</v>
      </c>
      <c r="D136" s="16" t="str">
        <f aca="false">INDEX('Catalog ref'!$C$2:$C$33,MATCH(C136,'Catalog ref'!$A$2:$A$33,0))</f>
        <v>84 in smooth</v>
      </c>
      <c r="E136" s="17" t="n">
        <v>0.5</v>
      </c>
      <c r="F136" s="6"/>
      <c r="G136" s="6"/>
      <c r="H136" s="6"/>
      <c r="I136" s="6"/>
      <c r="J136" s="6"/>
      <c r="K136" s="6"/>
      <c r="L136" s="6"/>
      <c r="M136" s="19" t="n">
        <f aca="false">INDEX('Catalog ref'!$D$2:$D$33,MATCH(C136,'Catalog ref'!$A$2:$A$33,0))</f>
        <v>700</v>
      </c>
      <c r="N136" s="20" t="n">
        <f aca="false">INDEX('Catalog ref'!$K$2:$K$33,MATCH(C136,'Catalog ref'!$A$2:$A$33,0))</f>
        <v>2.91</v>
      </c>
      <c r="O136" s="19" t="n">
        <f aca="false">INDEX('Catalog ref'!$M$2:$M$33,MATCH(C136,'Catalog ref'!$A$2:$A$33,0))</f>
        <v>550</v>
      </c>
    </row>
    <row r="137" customFormat="false" ht="15" hidden="false" customHeight="true" outlineLevel="0" collapsed="false">
      <c r="A137" s="6" t="s">
        <v>79</v>
      </c>
      <c r="B137" s="6" t="n">
        <v>2</v>
      </c>
      <c r="C137" s="6" t="s">
        <v>303</v>
      </c>
      <c r="D137" s="16" t="str">
        <f aca="false">INDEX('Catalog ref'!$C$2:$C$33,MATCH(C137,'Catalog ref'!$A$2:$A$33,0))</f>
        <v>4,000 gal (6x4)</v>
      </c>
      <c r="E137" s="17" t="n">
        <v>0.25</v>
      </c>
      <c r="F137" s="6"/>
      <c r="G137" s="6"/>
      <c r="H137" s="6" t="s">
        <v>291</v>
      </c>
      <c r="I137" s="6"/>
      <c r="J137" s="6"/>
      <c r="K137" s="6"/>
      <c r="L137" s="6"/>
      <c r="M137" s="19" t="n">
        <f aca="false">INDEX('Catalog ref'!$D$2:$D$33,MATCH(C137,'Catalog ref'!$A$2:$A$33,0))</f>
        <v>1057</v>
      </c>
      <c r="N137" s="20" t="n">
        <f aca="false">INDEX('Catalog ref'!$K$2:$K$33,MATCH(C137,'Catalog ref'!$A$2:$A$33,0))</f>
        <v>0</v>
      </c>
      <c r="O137" s="19" t="n">
        <f aca="false">INDEX('Catalog ref'!$M$2:$M$33,MATCH(C137,'Catalog ref'!$A$2:$A$33,0))</f>
        <v>0</v>
      </c>
    </row>
    <row r="138" customFormat="false" ht="15" hidden="false" customHeight="true" outlineLevel="0" collapsed="false">
      <c r="A138" s="6" t="s">
        <v>79</v>
      </c>
      <c r="B138" s="6" t="n">
        <v>3</v>
      </c>
      <c r="C138" s="6" t="s">
        <v>325</v>
      </c>
      <c r="D138" s="16" t="str">
        <f aca="false">INDEX('Catalog ref'!$C$2:$C$33,MATCH(C138,'Catalog ref'!$A$2:$A$33,0))</f>
        <v>12 ft (Cat 140)</v>
      </c>
      <c r="E138" s="17" t="n">
        <v>1</v>
      </c>
      <c r="F138" s="6" t="s">
        <v>291</v>
      </c>
      <c r="G138" s="6"/>
      <c r="H138" s="6"/>
      <c r="I138" s="6"/>
      <c r="J138" s="6"/>
      <c r="K138" s="6"/>
      <c r="L138" s="6"/>
      <c r="M138" s="19" t="n">
        <f aca="false">INDEX('Catalog ref'!$D$2:$D$33,MATCH(C138,'Catalog ref'!$A$2:$A$33,0))</f>
        <v>1949</v>
      </c>
      <c r="N138" s="20" t="n">
        <f aca="false">INDEX('Catalog ref'!$K$2:$K$33,MATCH(C138,'Catalog ref'!$A$2:$A$33,0))</f>
        <v>3.53</v>
      </c>
      <c r="O138" s="19" t="n">
        <f aca="false">INDEX('Catalog ref'!$M$2:$M$33,MATCH(C138,'Catalog ref'!$A$2:$A$33,0))</f>
        <v>550</v>
      </c>
    </row>
    <row r="139" customFormat="false" ht="15" hidden="false" customHeight="true" outlineLevel="0" collapsed="false">
      <c r="A139" s="6" t="s">
        <v>79</v>
      </c>
      <c r="B139" s="6" t="n">
        <v>3</v>
      </c>
      <c r="C139" s="6" t="s">
        <v>301</v>
      </c>
      <c r="D139" s="16" t="str">
        <f aca="false">INDEX('Catalog ref'!$C$2:$C$33,MATCH(C139,'Catalog ref'!$A$2:$A$33,0))</f>
        <v>84 in smooth</v>
      </c>
      <c r="E139" s="17" t="n">
        <v>0.5</v>
      </c>
      <c r="F139" s="6"/>
      <c r="G139" s="6"/>
      <c r="H139" s="6"/>
      <c r="I139" s="6"/>
      <c r="J139" s="6"/>
      <c r="K139" s="6"/>
      <c r="L139" s="6"/>
      <c r="M139" s="19" t="n">
        <f aca="false">INDEX('Catalog ref'!$D$2:$D$33,MATCH(C139,'Catalog ref'!$A$2:$A$33,0))</f>
        <v>700</v>
      </c>
      <c r="N139" s="20" t="n">
        <f aca="false">INDEX('Catalog ref'!$K$2:$K$33,MATCH(C139,'Catalog ref'!$A$2:$A$33,0))</f>
        <v>2.91</v>
      </c>
      <c r="O139" s="19" t="n">
        <f aca="false">INDEX('Catalog ref'!$M$2:$M$33,MATCH(C139,'Catalog ref'!$A$2:$A$33,0))</f>
        <v>550</v>
      </c>
    </row>
    <row r="140" customFormat="false" ht="15" hidden="false" customHeight="true" outlineLevel="0" collapsed="false">
      <c r="A140" s="6" t="s">
        <v>79</v>
      </c>
      <c r="B140" s="6" t="n">
        <v>3</v>
      </c>
      <c r="C140" s="6" t="s">
        <v>326</v>
      </c>
      <c r="D140" s="16" t="str">
        <f aca="false">INDEX('Catalog ref'!$C$2:$C$33,MATCH(C140,'Catalog ref'!$A$2:$A$33,0))</f>
        <v>Standard 14-15 ft dig (90-103 hp)</v>
      </c>
      <c r="E140" s="17" t="n">
        <v>0.5</v>
      </c>
      <c r="F140" s="6"/>
      <c r="G140" s="6"/>
      <c r="H140" s="6"/>
      <c r="I140" s="6"/>
      <c r="J140" s="6"/>
      <c r="K140" s="6"/>
      <c r="L140" s="6"/>
      <c r="M140" s="19" t="n">
        <f aca="false">INDEX('Catalog ref'!$D$2:$D$33,MATCH(C140,'Catalog ref'!$A$2:$A$33,0))</f>
        <v>500</v>
      </c>
      <c r="N140" s="20" t="n">
        <f aca="false">INDEX('Catalog ref'!$K$2:$K$33,MATCH(C140,'Catalog ref'!$A$2:$A$33,0))</f>
        <v>1.46</v>
      </c>
      <c r="O140" s="19" t="n">
        <f aca="false">INDEX('Catalog ref'!$M$2:$M$33,MATCH(C140,'Catalog ref'!$A$2:$A$33,0))</f>
        <v>550</v>
      </c>
    </row>
    <row r="141" customFormat="false" ht="15" hidden="false" customHeight="true" outlineLevel="0" collapsed="false">
      <c r="A141" s="6" t="s">
        <v>79</v>
      </c>
      <c r="B141" s="6" t="n">
        <v>3</v>
      </c>
      <c r="C141" s="6" t="s">
        <v>303</v>
      </c>
      <c r="D141" s="16" t="str">
        <f aca="false">INDEX('Catalog ref'!$C$2:$C$33,MATCH(C141,'Catalog ref'!$A$2:$A$33,0))</f>
        <v>4,000 gal (6x4)</v>
      </c>
      <c r="E141" s="17" t="n">
        <v>0.5</v>
      </c>
      <c r="F141" s="6"/>
      <c r="G141" s="6"/>
      <c r="H141" s="6" t="s">
        <v>291</v>
      </c>
      <c r="I141" s="6"/>
      <c r="J141" s="6"/>
      <c r="K141" s="6"/>
      <c r="L141" s="6"/>
      <c r="M141" s="19" t="n">
        <f aca="false">INDEX('Catalog ref'!$D$2:$D$33,MATCH(C141,'Catalog ref'!$A$2:$A$33,0))</f>
        <v>1057</v>
      </c>
      <c r="N141" s="20" t="n">
        <f aca="false">INDEX('Catalog ref'!$K$2:$K$33,MATCH(C141,'Catalog ref'!$A$2:$A$33,0))</f>
        <v>0</v>
      </c>
      <c r="O141" s="19" t="n">
        <f aca="false">INDEX('Catalog ref'!$M$2:$M$33,MATCH(C141,'Catalog ref'!$A$2:$A$33,0))</f>
        <v>0</v>
      </c>
    </row>
    <row r="142" customFormat="false" ht="15" hidden="false" customHeight="true" outlineLevel="0" collapsed="false">
      <c r="A142" s="6" t="s">
        <v>79</v>
      </c>
      <c r="B142" s="6" t="n">
        <v>4</v>
      </c>
      <c r="C142" s="6" t="s">
        <v>327</v>
      </c>
      <c r="D142" s="16" t="str">
        <f aca="false">INDEX('Catalog ref'!$C$2:$C$33,MATCH(C142,'Catalog ref'!$A$2:$A$33,0))</f>
        <v>14 ft (Cat 160)</v>
      </c>
      <c r="E142" s="17" t="n">
        <v>1</v>
      </c>
      <c r="F142" s="6" t="s">
        <v>291</v>
      </c>
      <c r="G142" s="6"/>
      <c r="H142" s="6"/>
      <c r="I142" s="6"/>
      <c r="J142" s="6"/>
      <c r="K142" s="6"/>
      <c r="L142" s="6"/>
      <c r="M142" s="19" t="n">
        <f aca="false">INDEX('Catalog ref'!$D$2:$D$33,MATCH(C142,'Catalog ref'!$A$2:$A$33,0))</f>
        <v>2085</v>
      </c>
      <c r="N142" s="20" t="n">
        <f aca="false">INDEX('Catalog ref'!$K$2:$K$33,MATCH(C142,'Catalog ref'!$A$2:$A$33,0))</f>
        <v>4.45</v>
      </c>
      <c r="O142" s="19" t="n">
        <f aca="false">INDEX('Catalog ref'!$M$2:$M$33,MATCH(C142,'Catalog ref'!$A$2:$A$33,0))</f>
        <v>550</v>
      </c>
    </row>
    <row r="143" customFormat="false" ht="15" hidden="false" customHeight="true" outlineLevel="0" collapsed="false">
      <c r="A143" s="6" t="s">
        <v>79</v>
      </c>
      <c r="B143" s="6" t="n">
        <v>4</v>
      </c>
      <c r="C143" s="6" t="s">
        <v>301</v>
      </c>
      <c r="D143" s="16" t="str">
        <f aca="false">INDEX('Catalog ref'!$C$2:$C$33,MATCH(C143,'Catalog ref'!$A$2:$A$33,0))</f>
        <v>84 in smooth</v>
      </c>
      <c r="E143" s="17" t="n">
        <v>1</v>
      </c>
      <c r="F143" s="6"/>
      <c r="G143" s="6"/>
      <c r="H143" s="6"/>
      <c r="I143" s="6"/>
      <c r="J143" s="6"/>
      <c r="K143" s="6"/>
      <c r="L143" s="6"/>
      <c r="M143" s="19" t="n">
        <f aca="false">INDEX('Catalog ref'!$D$2:$D$33,MATCH(C143,'Catalog ref'!$A$2:$A$33,0))</f>
        <v>700</v>
      </c>
      <c r="N143" s="20" t="n">
        <f aca="false">INDEX('Catalog ref'!$K$2:$K$33,MATCH(C143,'Catalog ref'!$A$2:$A$33,0))</f>
        <v>2.91</v>
      </c>
      <c r="O143" s="19" t="n">
        <f aca="false">INDEX('Catalog ref'!$M$2:$M$33,MATCH(C143,'Catalog ref'!$A$2:$A$33,0))</f>
        <v>550</v>
      </c>
    </row>
    <row r="144" customFormat="false" ht="15" hidden="false" customHeight="true" outlineLevel="0" collapsed="false">
      <c r="A144" s="6" t="s">
        <v>79</v>
      </c>
      <c r="B144" s="6" t="n">
        <v>4</v>
      </c>
      <c r="C144" s="6" t="s">
        <v>326</v>
      </c>
      <c r="D144" s="16" t="str">
        <f aca="false">INDEX('Catalog ref'!$C$2:$C$33,MATCH(C144,'Catalog ref'!$A$2:$A$33,0))</f>
        <v>Standard 14-15 ft dig (90-103 hp)</v>
      </c>
      <c r="E144" s="17" t="n">
        <v>0.5</v>
      </c>
      <c r="F144" s="6"/>
      <c r="G144" s="6"/>
      <c r="H144" s="6"/>
      <c r="I144" s="6"/>
      <c r="J144" s="6"/>
      <c r="K144" s="6"/>
      <c r="L144" s="6"/>
      <c r="M144" s="19" t="n">
        <f aca="false">INDEX('Catalog ref'!$D$2:$D$33,MATCH(C144,'Catalog ref'!$A$2:$A$33,0))</f>
        <v>500</v>
      </c>
      <c r="N144" s="20" t="n">
        <f aca="false">INDEX('Catalog ref'!$K$2:$K$33,MATCH(C144,'Catalog ref'!$A$2:$A$33,0))</f>
        <v>1.46</v>
      </c>
      <c r="O144" s="19" t="n">
        <f aca="false">INDEX('Catalog ref'!$M$2:$M$33,MATCH(C144,'Catalog ref'!$A$2:$A$33,0))</f>
        <v>550</v>
      </c>
    </row>
    <row r="145" customFormat="false" ht="15" hidden="false" customHeight="true" outlineLevel="0" collapsed="false">
      <c r="A145" s="6" t="s">
        <v>79</v>
      </c>
      <c r="B145" s="6" t="n">
        <v>4</v>
      </c>
      <c r="C145" s="6" t="s">
        <v>303</v>
      </c>
      <c r="D145" s="16" t="str">
        <f aca="false">INDEX('Catalog ref'!$C$2:$C$33,MATCH(C145,'Catalog ref'!$A$2:$A$33,0))</f>
        <v>4,000 gal (6x4)</v>
      </c>
      <c r="E145" s="17" t="n">
        <v>0.5</v>
      </c>
      <c r="F145" s="6"/>
      <c r="G145" s="6"/>
      <c r="H145" s="6" t="s">
        <v>291</v>
      </c>
      <c r="I145" s="6"/>
      <c r="J145" s="6"/>
      <c r="K145" s="6"/>
      <c r="L145" s="6"/>
      <c r="M145" s="19" t="n">
        <f aca="false">INDEX('Catalog ref'!$D$2:$D$33,MATCH(C145,'Catalog ref'!$A$2:$A$33,0))</f>
        <v>1057</v>
      </c>
      <c r="N145" s="20" t="n">
        <f aca="false">INDEX('Catalog ref'!$K$2:$K$33,MATCH(C145,'Catalog ref'!$A$2:$A$33,0))</f>
        <v>0</v>
      </c>
      <c r="O145" s="19" t="n">
        <f aca="false">INDEX('Catalog ref'!$M$2:$M$33,MATCH(C145,'Catalog ref'!$A$2:$A$33,0))</f>
        <v>0</v>
      </c>
    </row>
    <row r="146" customFormat="false" ht="15" hidden="false" customHeight="true" outlineLevel="0" collapsed="false">
      <c r="A146" s="6" t="s">
        <v>84</v>
      </c>
      <c r="B146" s="6" t="n">
        <v>1</v>
      </c>
      <c r="C146" s="6" t="s">
        <v>295</v>
      </c>
      <c r="D146" s="16" t="str">
        <f aca="false">INDEX('Catalog ref'!$C$2:$C$33,MATCH(C146,'Catalog ref'!$A$2:$A$33,0))</f>
        <v>20-25 t (~48,500-62,800 lb)</v>
      </c>
      <c r="E146" s="17" t="n">
        <v>1</v>
      </c>
      <c r="F146" s="6" t="s">
        <v>291</v>
      </c>
      <c r="G146" s="6"/>
      <c r="H146" s="6"/>
      <c r="I146" s="6"/>
      <c r="J146" s="6"/>
      <c r="K146" s="6"/>
      <c r="L146" s="6"/>
      <c r="M146" s="19" t="n">
        <f aca="false">INDEX('Catalog ref'!$D$2:$D$33,MATCH(C146,'Catalog ref'!$A$2:$A$33,0))</f>
        <v>1040</v>
      </c>
      <c r="N146" s="20" t="n">
        <f aca="false">INDEX('Catalog ref'!$K$2:$K$33,MATCH(C146,'Catalog ref'!$A$2:$A$33,0))</f>
        <v>2.78</v>
      </c>
      <c r="O146" s="19" t="n">
        <f aca="false">INDEX('Catalog ref'!$M$2:$M$33,MATCH(C146,'Catalog ref'!$A$2:$A$33,0))</f>
        <v>550</v>
      </c>
    </row>
    <row r="147" customFormat="false" ht="15" hidden="false" customHeight="true" outlineLevel="0" collapsed="false">
      <c r="A147" s="6" t="s">
        <v>84</v>
      </c>
      <c r="B147" s="6" t="n">
        <v>1</v>
      </c>
      <c r="C147" s="6" t="s">
        <v>328</v>
      </c>
      <c r="D147" s="16" t="str">
        <f aca="false">INDEX('Catalog ref'!$C$2:$C$33,MATCH(C147,'Catalog ref'!$A$2:$A$33,0))</f>
        <v>~1-1.25 yd (~68-75 hp)</v>
      </c>
      <c r="E147" s="17" t="n">
        <v>1</v>
      </c>
      <c r="F147" s="6"/>
      <c r="G147" s="6"/>
      <c r="H147" s="6"/>
      <c r="I147" s="6"/>
      <c r="J147" s="6"/>
      <c r="K147" s="6"/>
      <c r="L147" s="6"/>
      <c r="M147" s="19" t="n">
        <f aca="false">INDEX('Catalog ref'!$D$2:$D$33,MATCH(C147,'Catalog ref'!$A$2:$A$33,0))</f>
        <v>400</v>
      </c>
      <c r="N147" s="20" t="n">
        <f aca="false">INDEX('Catalog ref'!$K$2:$K$33,MATCH(C147,'Catalog ref'!$A$2:$A$33,0))</f>
        <v>0.75</v>
      </c>
      <c r="O147" s="19" t="n">
        <f aca="false">INDEX('Catalog ref'!$M$2:$M$33,MATCH(C147,'Catalog ref'!$A$2:$A$33,0))</f>
        <v>500</v>
      </c>
    </row>
    <row r="148" customFormat="false" ht="23.25" hidden="false" customHeight="true" outlineLevel="0" collapsed="false">
      <c r="A148" s="6" t="s">
        <v>84</v>
      </c>
      <c r="B148" s="6" t="n">
        <v>1</v>
      </c>
      <c r="C148" s="6" t="s">
        <v>329</v>
      </c>
      <c r="D148" s="16" t="str">
        <f aca="false">INDEX('Catalog ref'!$C$2:$C$33,MATCH(C148,'Catalog ref'!$A$2:$A$33,0))</f>
        <v>~32-33 in, ~3,200 lb</v>
      </c>
      <c r="E148" s="17" t="n">
        <v>1</v>
      </c>
      <c r="F148" s="6"/>
      <c r="G148" s="6"/>
      <c r="H148" s="6" t="s">
        <v>291</v>
      </c>
      <c r="I148" s="6"/>
      <c r="J148" s="6"/>
      <c r="K148" s="6"/>
      <c r="L148" s="6"/>
      <c r="M148" s="19" t="n">
        <f aca="false">INDEX('Catalog ref'!$D$2:$D$33,MATCH(C148,'Catalog ref'!$A$2:$A$33,0))</f>
        <v>298</v>
      </c>
      <c r="N148" s="20" t="n">
        <f aca="false">INDEX('Catalog ref'!$K$2:$K$33,MATCH(C148,'Catalog ref'!$A$2:$A$33,0))</f>
        <v>0</v>
      </c>
      <c r="O148" s="19" t="n">
        <f aca="false">INDEX('Catalog ref'!$M$2:$M$33,MATCH(C148,'Catalog ref'!$A$2:$A$33,0))</f>
        <v>500</v>
      </c>
    </row>
    <row r="149" customFormat="false" ht="15" hidden="false" customHeight="true" outlineLevel="0" collapsed="false">
      <c r="A149" s="6" t="s">
        <v>84</v>
      </c>
      <c r="B149" s="6" t="n">
        <v>1</v>
      </c>
      <c r="C149" s="6" t="s">
        <v>330</v>
      </c>
      <c r="D149" s="16" t="str">
        <f aca="false">INDEX('Catalog ref'!$C$2:$C$33,MATCH(C149,'Catalog ref'!$A$2:$A$33,0))</f>
        <v>~800-1,100 lb reversible plate</v>
      </c>
      <c r="E149" s="17" t="n">
        <v>1</v>
      </c>
      <c r="F149" s="6"/>
      <c r="G149" s="6"/>
      <c r="H149" s="6" t="s">
        <v>291</v>
      </c>
      <c r="I149" s="6"/>
      <c r="J149" s="6"/>
      <c r="K149" s="6"/>
      <c r="L149" s="6"/>
      <c r="M149" s="19" t="n">
        <f aca="false">INDEX('Catalog ref'!$D$2:$D$33,MATCH(C149,'Catalog ref'!$A$2:$A$33,0))</f>
        <v>240</v>
      </c>
      <c r="N149" s="20" t="n">
        <f aca="false">INDEX('Catalog ref'!$K$2:$K$33,MATCH(C149,'Catalog ref'!$A$2:$A$33,0))</f>
        <v>0</v>
      </c>
      <c r="O149" s="19" t="n">
        <f aca="false">INDEX('Catalog ref'!$M$2:$M$33,MATCH(C149,'Catalog ref'!$A$2:$A$33,0))</f>
        <v>200</v>
      </c>
    </row>
    <row r="150" customFormat="false" ht="15" hidden="false" customHeight="true" outlineLevel="0" collapsed="false">
      <c r="A150" s="6" t="s">
        <v>84</v>
      </c>
      <c r="B150" s="6" t="n">
        <v>2</v>
      </c>
      <c r="C150" s="6" t="s">
        <v>297</v>
      </c>
      <c r="D150" s="16" t="str">
        <f aca="false">INDEX('Catalog ref'!$C$2:$C$33,MATCH(C150,'Catalog ref'!$A$2:$A$33,0))</f>
        <v>30-36 t (~68,000-81,000 lb)</v>
      </c>
      <c r="E150" s="17" t="n">
        <v>1</v>
      </c>
      <c r="F150" s="6" t="s">
        <v>291</v>
      </c>
      <c r="G150" s="6"/>
      <c r="H150" s="6"/>
      <c r="I150" s="6"/>
      <c r="J150" s="6"/>
      <c r="K150" s="6"/>
      <c r="L150" s="6"/>
      <c r="M150" s="19" t="n">
        <f aca="false">INDEX('Catalog ref'!$D$2:$D$33,MATCH(C150,'Catalog ref'!$A$2:$A$33,0))</f>
        <v>1424</v>
      </c>
      <c r="N150" s="20" t="n">
        <f aca="false">INDEX('Catalog ref'!$K$2:$K$33,MATCH(C150,'Catalog ref'!$A$2:$A$33,0))</f>
        <v>4.5</v>
      </c>
      <c r="O150" s="19" t="n">
        <f aca="false">INDEX('Catalog ref'!$M$2:$M$33,MATCH(C150,'Catalog ref'!$A$2:$A$33,0))</f>
        <v>1800</v>
      </c>
    </row>
    <row r="151" customFormat="false" ht="15" hidden="false" customHeight="true" outlineLevel="0" collapsed="false">
      <c r="A151" s="6" t="s">
        <v>84</v>
      </c>
      <c r="B151" s="6" t="n">
        <v>2</v>
      </c>
      <c r="C151" s="6" t="s">
        <v>328</v>
      </c>
      <c r="D151" s="16" t="str">
        <f aca="false">INDEX('Catalog ref'!$C$2:$C$33,MATCH(C151,'Catalog ref'!$A$2:$A$33,0))</f>
        <v>~1-1.25 yd (~68-75 hp)</v>
      </c>
      <c r="E151" s="17" t="n">
        <v>1</v>
      </c>
      <c r="F151" s="6"/>
      <c r="G151" s="6"/>
      <c r="H151" s="6"/>
      <c r="I151" s="6"/>
      <c r="J151" s="6"/>
      <c r="K151" s="6"/>
      <c r="L151" s="6"/>
      <c r="M151" s="19" t="n">
        <f aca="false">INDEX('Catalog ref'!$D$2:$D$33,MATCH(C151,'Catalog ref'!$A$2:$A$33,0))</f>
        <v>400</v>
      </c>
      <c r="N151" s="20" t="n">
        <f aca="false">INDEX('Catalog ref'!$K$2:$K$33,MATCH(C151,'Catalog ref'!$A$2:$A$33,0))</f>
        <v>0.75</v>
      </c>
      <c r="O151" s="19" t="n">
        <f aca="false">INDEX('Catalog ref'!$M$2:$M$33,MATCH(C151,'Catalog ref'!$A$2:$A$33,0))</f>
        <v>500</v>
      </c>
    </row>
    <row r="152" customFormat="false" ht="23.25" hidden="false" customHeight="true" outlineLevel="0" collapsed="false">
      <c r="A152" s="6" t="s">
        <v>84</v>
      </c>
      <c r="B152" s="6" t="n">
        <v>2</v>
      </c>
      <c r="C152" s="6" t="s">
        <v>329</v>
      </c>
      <c r="D152" s="16" t="str">
        <f aca="false">INDEX('Catalog ref'!$C$2:$C$33,MATCH(C152,'Catalog ref'!$A$2:$A$33,0))</f>
        <v>~32-33 in, ~3,200 lb</v>
      </c>
      <c r="E152" s="17" t="n">
        <v>1</v>
      </c>
      <c r="F152" s="6"/>
      <c r="G152" s="6"/>
      <c r="H152" s="6" t="s">
        <v>291</v>
      </c>
      <c r="I152" s="6"/>
      <c r="J152" s="6"/>
      <c r="K152" s="6"/>
      <c r="L152" s="6"/>
      <c r="M152" s="19" t="n">
        <f aca="false">INDEX('Catalog ref'!$D$2:$D$33,MATCH(C152,'Catalog ref'!$A$2:$A$33,0))</f>
        <v>298</v>
      </c>
      <c r="N152" s="20" t="n">
        <f aca="false">INDEX('Catalog ref'!$K$2:$K$33,MATCH(C152,'Catalog ref'!$A$2:$A$33,0))</f>
        <v>0</v>
      </c>
      <c r="O152" s="19" t="n">
        <f aca="false">INDEX('Catalog ref'!$M$2:$M$33,MATCH(C152,'Catalog ref'!$A$2:$A$33,0))</f>
        <v>500</v>
      </c>
    </row>
    <row r="153" customFormat="false" ht="15" hidden="false" customHeight="true" outlineLevel="0" collapsed="false">
      <c r="A153" s="6" t="s">
        <v>84</v>
      </c>
      <c r="B153" s="6" t="n">
        <v>2</v>
      </c>
      <c r="C153" s="6" t="s">
        <v>330</v>
      </c>
      <c r="D153" s="16" t="str">
        <f aca="false">INDEX('Catalog ref'!$C$2:$C$33,MATCH(C153,'Catalog ref'!$A$2:$A$33,0))</f>
        <v>~800-1,100 lb reversible plate</v>
      </c>
      <c r="E153" s="17" t="n">
        <v>1</v>
      </c>
      <c r="F153" s="6"/>
      <c r="G153" s="6"/>
      <c r="H153" s="6" t="s">
        <v>291</v>
      </c>
      <c r="I153" s="6"/>
      <c r="J153" s="6"/>
      <c r="K153" s="6"/>
      <c r="L153" s="6"/>
      <c r="M153" s="19" t="n">
        <f aca="false">INDEX('Catalog ref'!$D$2:$D$33,MATCH(C153,'Catalog ref'!$A$2:$A$33,0))</f>
        <v>240</v>
      </c>
      <c r="N153" s="20" t="n">
        <f aca="false">INDEX('Catalog ref'!$K$2:$K$33,MATCH(C153,'Catalog ref'!$A$2:$A$33,0))</f>
        <v>0</v>
      </c>
      <c r="O153" s="19" t="n">
        <f aca="false">INDEX('Catalog ref'!$M$2:$M$33,MATCH(C153,'Catalog ref'!$A$2:$A$33,0))</f>
        <v>200</v>
      </c>
    </row>
    <row r="154" customFormat="false" ht="15" hidden="false" customHeight="true" outlineLevel="0" collapsed="false">
      <c r="A154" s="6" t="s">
        <v>84</v>
      </c>
      <c r="B154" s="6" t="n">
        <v>3</v>
      </c>
      <c r="C154" s="6" t="s">
        <v>297</v>
      </c>
      <c r="D154" s="16" t="str">
        <f aca="false">INDEX('Catalog ref'!$C$2:$C$33,MATCH(C154,'Catalog ref'!$A$2:$A$33,0))</f>
        <v>30-36 t (~68,000-81,000 lb)</v>
      </c>
      <c r="E154" s="17" t="n">
        <v>1</v>
      </c>
      <c r="F154" s="6" t="s">
        <v>291</v>
      </c>
      <c r="G154" s="6"/>
      <c r="H154" s="6"/>
      <c r="I154" s="6"/>
      <c r="J154" s="6"/>
      <c r="K154" s="6"/>
      <c r="L154" s="6"/>
      <c r="M154" s="19" t="n">
        <f aca="false">INDEX('Catalog ref'!$D$2:$D$33,MATCH(C154,'Catalog ref'!$A$2:$A$33,0))</f>
        <v>1424</v>
      </c>
      <c r="N154" s="20" t="n">
        <f aca="false">INDEX('Catalog ref'!$K$2:$K$33,MATCH(C154,'Catalog ref'!$A$2:$A$33,0))</f>
        <v>4.5</v>
      </c>
      <c r="O154" s="19" t="n">
        <f aca="false">INDEX('Catalog ref'!$M$2:$M$33,MATCH(C154,'Catalog ref'!$A$2:$A$33,0))</f>
        <v>1800</v>
      </c>
    </row>
    <row r="155" customFormat="false" ht="15" hidden="false" customHeight="true" outlineLevel="0" collapsed="false">
      <c r="A155" s="6" t="s">
        <v>84</v>
      </c>
      <c r="B155" s="6" t="n">
        <v>3</v>
      </c>
      <c r="C155" s="6" t="s">
        <v>295</v>
      </c>
      <c r="D155" s="16" t="str">
        <f aca="false">INDEX('Catalog ref'!$C$2:$C$33,MATCH(C155,'Catalog ref'!$A$2:$A$33,0))</f>
        <v>20-25 t (~48,500-62,800 lb)</v>
      </c>
      <c r="E155" s="17" t="n">
        <v>1</v>
      </c>
      <c r="F155" s="6"/>
      <c r="G155" s="6"/>
      <c r="H155" s="6"/>
      <c r="I155" s="6"/>
      <c r="J155" s="6"/>
      <c r="K155" s="6"/>
      <c r="L155" s="6"/>
      <c r="M155" s="19" t="n">
        <f aca="false">INDEX('Catalog ref'!$D$2:$D$33,MATCH(C155,'Catalog ref'!$A$2:$A$33,0))</f>
        <v>1040</v>
      </c>
      <c r="N155" s="20" t="n">
        <f aca="false">INDEX('Catalog ref'!$K$2:$K$33,MATCH(C155,'Catalog ref'!$A$2:$A$33,0))</f>
        <v>2.78</v>
      </c>
      <c r="O155" s="19" t="n">
        <f aca="false">INDEX('Catalog ref'!$M$2:$M$33,MATCH(C155,'Catalog ref'!$A$2:$A$33,0))</f>
        <v>550</v>
      </c>
    </row>
    <row r="156" customFormat="false" ht="15" hidden="false" customHeight="true" outlineLevel="0" collapsed="false">
      <c r="A156" s="6" t="s">
        <v>84</v>
      </c>
      <c r="B156" s="6" t="n">
        <v>3</v>
      </c>
      <c r="C156" s="6" t="s">
        <v>328</v>
      </c>
      <c r="D156" s="16" t="str">
        <f aca="false">INDEX('Catalog ref'!$C$2:$C$33,MATCH(C156,'Catalog ref'!$A$2:$A$33,0))</f>
        <v>~1-1.25 yd (~68-75 hp)</v>
      </c>
      <c r="E156" s="17" t="n">
        <v>1</v>
      </c>
      <c r="F156" s="6"/>
      <c r="G156" s="6"/>
      <c r="H156" s="6"/>
      <c r="I156" s="6"/>
      <c r="J156" s="6"/>
      <c r="K156" s="6"/>
      <c r="L156" s="6"/>
      <c r="M156" s="19" t="n">
        <f aca="false">INDEX('Catalog ref'!$D$2:$D$33,MATCH(C156,'Catalog ref'!$A$2:$A$33,0))</f>
        <v>400</v>
      </c>
      <c r="N156" s="20" t="n">
        <f aca="false">INDEX('Catalog ref'!$K$2:$K$33,MATCH(C156,'Catalog ref'!$A$2:$A$33,0))</f>
        <v>0.75</v>
      </c>
      <c r="O156" s="19" t="n">
        <f aca="false">INDEX('Catalog ref'!$M$2:$M$33,MATCH(C156,'Catalog ref'!$A$2:$A$33,0))</f>
        <v>500</v>
      </c>
    </row>
    <row r="157" customFormat="false" ht="15" hidden="false" customHeight="true" outlineLevel="0" collapsed="false">
      <c r="A157" s="6" t="s">
        <v>84</v>
      </c>
      <c r="B157" s="6" t="n">
        <v>3</v>
      </c>
      <c r="C157" s="6" t="s">
        <v>300</v>
      </c>
      <c r="D157" s="16" t="str">
        <f aca="false">INDEX('Catalog ref'!$C$2:$C$33,MATCH(C157,'Catalog ref'!$A$2:$A$33,0))</f>
        <v>D3 class (~100-104 hp, 20-24k lb)</v>
      </c>
      <c r="E157" s="17" t="n">
        <v>1</v>
      </c>
      <c r="F157" s="6"/>
      <c r="G157" s="6"/>
      <c r="H157" s="6"/>
      <c r="I157" s="6"/>
      <c r="J157" s="6"/>
      <c r="K157" s="6"/>
      <c r="L157" s="6"/>
      <c r="M157" s="19" t="n">
        <f aca="false">INDEX('Catalog ref'!$D$2:$D$33,MATCH(C157,'Catalog ref'!$A$2:$A$33,0))</f>
        <v>875</v>
      </c>
      <c r="N157" s="20" t="n">
        <f aca="false">INDEX('Catalog ref'!$K$2:$K$33,MATCH(C157,'Catalog ref'!$A$2:$A$33,0))</f>
        <v>1.93</v>
      </c>
      <c r="O157" s="19" t="n">
        <f aca="false">INDEX('Catalog ref'!$M$2:$M$33,MATCH(C157,'Catalog ref'!$A$2:$A$33,0))</f>
        <v>550</v>
      </c>
    </row>
    <row r="158" customFormat="false" ht="23.25" hidden="false" customHeight="true" outlineLevel="0" collapsed="false">
      <c r="A158" s="6" t="s">
        <v>84</v>
      </c>
      <c r="B158" s="6" t="n">
        <v>3</v>
      </c>
      <c r="C158" s="6" t="s">
        <v>329</v>
      </c>
      <c r="D158" s="16" t="str">
        <f aca="false">INDEX('Catalog ref'!$C$2:$C$33,MATCH(C158,'Catalog ref'!$A$2:$A$33,0))</f>
        <v>~32-33 in, ~3,200 lb</v>
      </c>
      <c r="E158" s="17" t="n">
        <v>1</v>
      </c>
      <c r="F158" s="6"/>
      <c r="G158" s="6"/>
      <c r="H158" s="6" t="s">
        <v>291</v>
      </c>
      <c r="I158" s="6"/>
      <c r="J158" s="6"/>
      <c r="K158" s="6"/>
      <c r="L158" s="6"/>
      <c r="M158" s="19" t="n">
        <f aca="false">INDEX('Catalog ref'!$D$2:$D$33,MATCH(C158,'Catalog ref'!$A$2:$A$33,0))</f>
        <v>298</v>
      </c>
      <c r="N158" s="20" t="n">
        <f aca="false">INDEX('Catalog ref'!$K$2:$K$33,MATCH(C158,'Catalog ref'!$A$2:$A$33,0))</f>
        <v>0</v>
      </c>
      <c r="O158" s="19" t="n">
        <f aca="false">INDEX('Catalog ref'!$M$2:$M$33,MATCH(C158,'Catalog ref'!$A$2:$A$33,0))</f>
        <v>500</v>
      </c>
    </row>
    <row r="159" customFormat="false" ht="15" hidden="false" customHeight="true" outlineLevel="0" collapsed="false">
      <c r="A159" s="6" t="s">
        <v>84</v>
      </c>
      <c r="B159" s="6" t="n">
        <v>3</v>
      </c>
      <c r="C159" s="6" t="s">
        <v>330</v>
      </c>
      <c r="D159" s="16" t="str">
        <f aca="false">INDEX('Catalog ref'!$C$2:$C$33,MATCH(C159,'Catalog ref'!$A$2:$A$33,0))</f>
        <v>~800-1,100 lb reversible plate</v>
      </c>
      <c r="E159" s="17" t="n">
        <v>1</v>
      </c>
      <c r="F159" s="6"/>
      <c r="G159" s="6"/>
      <c r="H159" s="6" t="s">
        <v>291</v>
      </c>
      <c r="I159" s="6"/>
      <c r="J159" s="6"/>
      <c r="K159" s="6"/>
      <c r="L159" s="6"/>
      <c r="M159" s="19" t="n">
        <f aca="false">INDEX('Catalog ref'!$D$2:$D$33,MATCH(C159,'Catalog ref'!$A$2:$A$33,0))</f>
        <v>240</v>
      </c>
      <c r="N159" s="20" t="n">
        <f aca="false">INDEX('Catalog ref'!$K$2:$K$33,MATCH(C159,'Catalog ref'!$A$2:$A$33,0))</f>
        <v>0</v>
      </c>
      <c r="O159" s="19" t="n">
        <f aca="false">INDEX('Catalog ref'!$M$2:$M$33,MATCH(C159,'Catalog ref'!$A$2:$A$33,0))</f>
        <v>200</v>
      </c>
    </row>
    <row r="160" customFormat="false" ht="15" hidden="false" customHeight="true" outlineLevel="0" collapsed="false">
      <c r="A160" s="6" t="s">
        <v>84</v>
      </c>
      <c r="B160" s="6" t="n">
        <v>4</v>
      </c>
      <c r="C160" s="6" t="s">
        <v>297</v>
      </c>
      <c r="D160" s="16" t="str">
        <f aca="false">INDEX('Catalog ref'!$C$2:$C$33,MATCH(C160,'Catalog ref'!$A$2:$A$33,0))</f>
        <v>30-36 t (~68,000-81,000 lb)</v>
      </c>
      <c r="E160" s="17" t="n">
        <v>2</v>
      </c>
      <c r="F160" s="6" t="s">
        <v>291</v>
      </c>
      <c r="G160" s="6"/>
      <c r="H160" s="6"/>
      <c r="I160" s="6"/>
      <c r="J160" s="6"/>
      <c r="K160" s="6"/>
      <c r="L160" s="6"/>
      <c r="M160" s="19" t="n">
        <f aca="false">INDEX('Catalog ref'!$D$2:$D$33,MATCH(C160,'Catalog ref'!$A$2:$A$33,0))</f>
        <v>1424</v>
      </c>
      <c r="N160" s="20" t="n">
        <f aca="false">INDEX('Catalog ref'!$K$2:$K$33,MATCH(C160,'Catalog ref'!$A$2:$A$33,0))</f>
        <v>4.5</v>
      </c>
      <c r="O160" s="19" t="n">
        <f aca="false">INDEX('Catalog ref'!$M$2:$M$33,MATCH(C160,'Catalog ref'!$A$2:$A$33,0))</f>
        <v>1800</v>
      </c>
    </row>
    <row r="161" customFormat="false" ht="15" hidden="false" customHeight="true" outlineLevel="0" collapsed="false">
      <c r="A161" s="6" t="s">
        <v>84</v>
      </c>
      <c r="B161" s="6" t="n">
        <v>4</v>
      </c>
      <c r="C161" s="6" t="s">
        <v>331</v>
      </c>
      <c r="D161" s="16" t="str">
        <f aca="false">INDEX('Catalog ref'!$C$2:$C$33,MATCH(C161,'Catalog ref'!$A$2:$A$33,0))</f>
        <v>2-2.5 yd (~110 hp)</v>
      </c>
      <c r="E161" s="17" t="n">
        <v>1</v>
      </c>
      <c r="F161" s="6"/>
      <c r="G161" s="6"/>
      <c r="H161" s="6"/>
      <c r="I161" s="6"/>
      <c r="J161" s="6"/>
      <c r="K161" s="6"/>
      <c r="L161" s="6"/>
      <c r="M161" s="19" t="n">
        <f aca="false">INDEX('Catalog ref'!$D$2:$D$33,MATCH(C161,'Catalog ref'!$A$2:$A$33,0))</f>
        <v>675</v>
      </c>
      <c r="N161" s="20" t="n">
        <f aca="false">INDEX('Catalog ref'!$K$2:$K$33,MATCH(C161,'Catalog ref'!$A$2:$A$33,0))</f>
        <v>1.16</v>
      </c>
      <c r="O161" s="19" t="n">
        <f aca="false">INDEX('Catalog ref'!$M$2:$M$33,MATCH(C161,'Catalog ref'!$A$2:$A$33,0))</f>
        <v>500</v>
      </c>
    </row>
    <row r="162" customFormat="false" ht="15" hidden="false" customHeight="true" outlineLevel="0" collapsed="false">
      <c r="A162" s="6" t="s">
        <v>84</v>
      </c>
      <c r="B162" s="6" t="n">
        <v>4</v>
      </c>
      <c r="C162" s="6" t="s">
        <v>315</v>
      </c>
      <c r="D162" s="16" t="str">
        <f aca="false">INDEX('Catalog ref'!$C$2:$C$33,MATCH(C162,'Catalog ref'!$A$2:$A$33,0))</f>
        <v>D4 class (~130 hp, ~30k lb)</v>
      </c>
      <c r="E162" s="17" t="n">
        <v>1</v>
      </c>
      <c r="F162" s="6"/>
      <c r="G162" s="6"/>
      <c r="H162" s="6"/>
      <c r="I162" s="6"/>
      <c r="J162" s="6"/>
      <c r="K162" s="6"/>
      <c r="L162" s="6"/>
      <c r="M162" s="19" t="n">
        <f aca="false">INDEX('Catalog ref'!$D$2:$D$33,MATCH(C162,'Catalog ref'!$A$2:$A$33,0))</f>
        <v>1142</v>
      </c>
      <c r="N162" s="20" t="n">
        <f aca="false">INDEX('Catalog ref'!$K$2:$K$33,MATCH(C162,'Catalog ref'!$A$2:$A$33,0))</f>
        <v>2.85</v>
      </c>
      <c r="O162" s="19" t="n">
        <f aca="false">INDEX('Catalog ref'!$M$2:$M$33,MATCH(C162,'Catalog ref'!$A$2:$A$33,0))</f>
        <v>550</v>
      </c>
    </row>
    <row r="163" customFormat="false" ht="23.25" hidden="false" customHeight="true" outlineLevel="0" collapsed="false">
      <c r="A163" s="6" t="s">
        <v>84</v>
      </c>
      <c r="B163" s="6" t="n">
        <v>4</v>
      </c>
      <c r="C163" s="6" t="s">
        <v>329</v>
      </c>
      <c r="D163" s="16" t="str">
        <f aca="false">INDEX('Catalog ref'!$C$2:$C$33,MATCH(C163,'Catalog ref'!$A$2:$A$33,0))</f>
        <v>~32-33 in, ~3,200 lb</v>
      </c>
      <c r="E163" s="17" t="n">
        <v>1</v>
      </c>
      <c r="F163" s="6"/>
      <c r="G163" s="6"/>
      <c r="H163" s="6" t="s">
        <v>291</v>
      </c>
      <c r="I163" s="6"/>
      <c r="J163" s="6"/>
      <c r="K163" s="6"/>
      <c r="L163" s="6"/>
      <c r="M163" s="19" t="n">
        <f aca="false">INDEX('Catalog ref'!$D$2:$D$33,MATCH(C163,'Catalog ref'!$A$2:$A$33,0))</f>
        <v>298</v>
      </c>
      <c r="N163" s="20" t="n">
        <f aca="false">INDEX('Catalog ref'!$K$2:$K$33,MATCH(C163,'Catalog ref'!$A$2:$A$33,0))</f>
        <v>0</v>
      </c>
      <c r="O163" s="19" t="n">
        <f aca="false">INDEX('Catalog ref'!$M$2:$M$33,MATCH(C163,'Catalog ref'!$A$2:$A$33,0))</f>
        <v>500</v>
      </c>
    </row>
    <row r="164" customFormat="false" ht="15" hidden="false" customHeight="true" outlineLevel="0" collapsed="false">
      <c r="A164" s="6" t="s">
        <v>84</v>
      </c>
      <c r="B164" s="6" t="n">
        <v>4</v>
      </c>
      <c r="C164" s="6" t="s">
        <v>330</v>
      </c>
      <c r="D164" s="16" t="str">
        <f aca="false">INDEX('Catalog ref'!$C$2:$C$33,MATCH(C164,'Catalog ref'!$A$2:$A$33,0))</f>
        <v>~800-1,100 lb reversible plate</v>
      </c>
      <c r="E164" s="17" t="n">
        <v>1</v>
      </c>
      <c r="F164" s="6"/>
      <c r="G164" s="6"/>
      <c r="H164" s="6" t="s">
        <v>291</v>
      </c>
      <c r="I164" s="6"/>
      <c r="J164" s="6"/>
      <c r="K164" s="6"/>
      <c r="L164" s="6"/>
      <c r="M164" s="19" t="n">
        <f aca="false">INDEX('Catalog ref'!$D$2:$D$33,MATCH(C164,'Catalog ref'!$A$2:$A$33,0))</f>
        <v>240</v>
      </c>
      <c r="N164" s="20" t="n">
        <f aca="false">INDEX('Catalog ref'!$K$2:$K$33,MATCH(C164,'Catalog ref'!$A$2:$A$33,0))</f>
        <v>0</v>
      </c>
      <c r="O164" s="19" t="n">
        <f aca="false">INDEX('Catalog ref'!$M$2:$M$33,MATCH(C164,'Catalog ref'!$A$2:$A$33,0))</f>
        <v>200</v>
      </c>
    </row>
    <row r="165" customFormat="false" ht="15" hidden="false" customHeight="true" outlineLevel="0" collapsed="false">
      <c r="A165" s="6" t="s">
        <v>89</v>
      </c>
      <c r="B165" s="6" t="n">
        <v>1</v>
      </c>
      <c r="C165" s="6" t="s">
        <v>332</v>
      </c>
      <c r="D165" s="16" t="str">
        <f aca="false">INDEX('Catalog ref'!$C$2:$C$33,MATCH(C165,'Catalog ref'!$A$2:$A$33,0))</f>
        <v>Steel trench box 8x20</v>
      </c>
      <c r="E165" s="17" t="n">
        <v>1</v>
      </c>
      <c r="F165" s="6" t="s">
        <v>291</v>
      </c>
      <c r="G165" s="6"/>
      <c r="H165" s="6"/>
      <c r="I165" s="6"/>
      <c r="J165" s="6"/>
      <c r="K165" s="6"/>
      <c r="L165" s="6"/>
      <c r="M165" s="19" t="n">
        <f aca="false">INDEX('Catalog ref'!$D$2:$D$33,MATCH(C165,'Catalog ref'!$A$2:$A$33,0))</f>
        <v>219</v>
      </c>
      <c r="N165" s="20" t="n">
        <f aca="false">INDEX('Catalog ref'!$K$2:$K$33,MATCH(C165,'Catalog ref'!$A$2:$A$33,0))</f>
        <v>0</v>
      </c>
      <c r="O165" s="19" t="n">
        <f aca="false">INDEX('Catalog ref'!$M$2:$M$33,MATCH(C165,'Catalog ref'!$A$2:$A$33,0))</f>
        <v>400</v>
      </c>
    </row>
    <row r="166" customFormat="false" ht="15" hidden="false" customHeight="true" outlineLevel="0" collapsed="false">
      <c r="A166" s="6" t="s">
        <v>89</v>
      </c>
      <c r="B166" s="6" t="n">
        <v>2</v>
      </c>
      <c r="C166" s="6" t="s">
        <v>332</v>
      </c>
      <c r="D166" s="16" t="str">
        <f aca="false">INDEX('Catalog ref'!$C$2:$C$33,MATCH(C166,'Catalog ref'!$A$2:$A$33,0))</f>
        <v>Steel trench box 8x20</v>
      </c>
      <c r="E166" s="17" t="n">
        <v>2</v>
      </c>
      <c r="F166" s="6" t="s">
        <v>291</v>
      </c>
      <c r="G166" s="6"/>
      <c r="H166" s="6"/>
      <c r="I166" s="6"/>
      <c r="J166" s="6"/>
      <c r="K166" s="6"/>
      <c r="L166" s="6"/>
      <c r="M166" s="19" t="n">
        <f aca="false">INDEX('Catalog ref'!$D$2:$D$33,MATCH(C166,'Catalog ref'!$A$2:$A$33,0))</f>
        <v>219</v>
      </c>
      <c r="N166" s="20" t="n">
        <f aca="false">INDEX('Catalog ref'!$K$2:$K$33,MATCH(C166,'Catalog ref'!$A$2:$A$33,0))</f>
        <v>0</v>
      </c>
      <c r="O166" s="19" t="n">
        <f aca="false">INDEX('Catalog ref'!$M$2:$M$33,MATCH(C166,'Catalog ref'!$A$2:$A$33,0))</f>
        <v>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3" min="3" style="1" width="40"/>
    <col collapsed="false" customWidth="true" hidden="false" outlineLevel="0" max="4" min="4" style="1" width="8"/>
    <col collapsed="false" customWidth="true" hidden="false" outlineLevel="0" max="5" min="5" style="1" width="60"/>
  </cols>
  <sheetData>
    <row r="1" customFormat="false" ht="15" hidden="false" customHeight="true" outlineLevel="0" collapsed="false">
      <c r="A1" s="5" t="s">
        <v>31</v>
      </c>
      <c r="B1" s="5" t="s">
        <v>93</v>
      </c>
      <c r="C1" s="5" t="s">
        <v>333</v>
      </c>
      <c r="D1" s="5" t="s">
        <v>280</v>
      </c>
      <c r="E1" s="5" t="s">
        <v>22</v>
      </c>
    </row>
    <row r="2" customFormat="false" ht="15" hidden="false" customHeight="true" outlineLevel="0" collapsed="false">
      <c r="A2" s="6" t="s">
        <v>36</v>
      </c>
      <c r="B2" s="6" t="n">
        <v>1</v>
      </c>
      <c r="C2" s="6" t="s">
        <v>334</v>
      </c>
      <c r="D2" s="17" t="n">
        <v>0.25</v>
      </c>
      <c r="E2" s="6"/>
    </row>
    <row r="3" customFormat="false" ht="15" hidden="false" customHeight="true" outlineLevel="0" collapsed="false">
      <c r="A3" s="6" t="s">
        <v>36</v>
      </c>
      <c r="B3" s="6" t="n">
        <v>1</v>
      </c>
      <c r="C3" s="6" t="s">
        <v>335</v>
      </c>
      <c r="D3" s="17" t="n">
        <v>2</v>
      </c>
      <c r="E3" s="6" t="s">
        <v>336</v>
      </c>
    </row>
    <row r="4" customFormat="false" ht="15" hidden="false" customHeight="true" outlineLevel="0" collapsed="false">
      <c r="A4" s="6" t="s">
        <v>36</v>
      </c>
      <c r="B4" s="6" t="n">
        <v>2</v>
      </c>
      <c r="C4" s="6" t="s">
        <v>334</v>
      </c>
      <c r="D4" s="17" t="n">
        <v>0.5</v>
      </c>
      <c r="E4" s="6"/>
    </row>
    <row r="5" customFormat="false" ht="15" hidden="false" customHeight="true" outlineLevel="0" collapsed="false">
      <c r="A5" s="6" t="s">
        <v>36</v>
      </c>
      <c r="B5" s="6" t="n">
        <v>2</v>
      </c>
      <c r="C5" s="6" t="s">
        <v>335</v>
      </c>
      <c r="D5" s="17" t="n">
        <v>3</v>
      </c>
      <c r="E5" s="6" t="s">
        <v>336</v>
      </c>
    </row>
    <row r="6" customFormat="false" ht="15" hidden="false" customHeight="true" outlineLevel="0" collapsed="false">
      <c r="A6" s="6" t="s">
        <v>36</v>
      </c>
      <c r="B6" s="6" t="n">
        <v>3</v>
      </c>
      <c r="C6" s="6" t="s">
        <v>334</v>
      </c>
      <c r="D6" s="17" t="n">
        <v>0.5</v>
      </c>
      <c r="E6" s="6"/>
    </row>
    <row r="7" customFormat="false" ht="15" hidden="false" customHeight="true" outlineLevel="0" collapsed="false">
      <c r="A7" s="6" t="s">
        <v>36</v>
      </c>
      <c r="B7" s="6" t="n">
        <v>3</v>
      </c>
      <c r="C7" s="6" t="s">
        <v>335</v>
      </c>
      <c r="D7" s="17" t="n">
        <v>3</v>
      </c>
      <c r="E7" s="6" t="s">
        <v>336</v>
      </c>
    </row>
    <row r="8" customFormat="false" ht="15" hidden="false" customHeight="true" outlineLevel="0" collapsed="false">
      <c r="A8" s="6" t="s">
        <v>36</v>
      </c>
      <c r="B8" s="6" t="n">
        <v>4</v>
      </c>
      <c r="C8" s="6" t="s">
        <v>334</v>
      </c>
      <c r="D8" s="17" t="n">
        <v>0.5</v>
      </c>
      <c r="E8" s="6"/>
    </row>
    <row r="9" customFormat="false" ht="15" hidden="false" customHeight="true" outlineLevel="0" collapsed="false">
      <c r="A9" s="6" t="s">
        <v>36</v>
      </c>
      <c r="B9" s="6" t="n">
        <v>4</v>
      </c>
      <c r="C9" s="6" t="s">
        <v>335</v>
      </c>
      <c r="D9" s="17" t="n">
        <v>3</v>
      </c>
      <c r="E9" s="6" t="s">
        <v>336</v>
      </c>
    </row>
    <row r="10" customFormat="false" ht="15" hidden="false" customHeight="true" outlineLevel="0" collapsed="false">
      <c r="A10" s="6" t="s">
        <v>36</v>
      </c>
      <c r="B10" s="6" t="n">
        <v>4</v>
      </c>
      <c r="C10" s="6" t="s">
        <v>337</v>
      </c>
      <c r="D10" s="17" t="n">
        <v>0.5</v>
      </c>
      <c r="E10" s="6"/>
    </row>
    <row r="11" customFormat="false" ht="15" hidden="false" customHeight="true" outlineLevel="0" collapsed="false">
      <c r="A11" s="6" t="s">
        <v>36</v>
      </c>
      <c r="B11" s="6" t="n">
        <v>5</v>
      </c>
      <c r="C11" s="6" t="s">
        <v>334</v>
      </c>
      <c r="D11" s="17" t="n">
        <v>0.5</v>
      </c>
      <c r="E11" s="6"/>
    </row>
    <row r="12" customFormat="false" ht="15" hidden="false" customHeight="true" outlineLevel="0" collapsed="false">
      <c r="A12" s="6" t="s">
        <v>36</v>
      </c>
      <c r="B12" s="6" t="n">
        <v>5</v>
      </c>
      <c r="C12" s="6" t="s">
        <v>335</v>
      </c>
      <c r="D12" s="17" t="n">
        <v>4</v>
      </c>
      <c r="E12" s="6" t="s">
        <v>336</v>
      </c>
    </row>
    <row r="13" customFormat="false" ht="15" hidden="false" customHeight="true" outlineLevel="0" collapsed="false">
      <c r="A13" s="6" t="s">
        <v>36</v>
      </c>
      <c r="B13" s="6" t="n">
        <v>5</v>
      </c>
      <c r="C13" s="6" t="s">
        <v>337</v>
      </c>
      <c r="D13" s="17" t="n">
        <v>0.5</v>
      </c>
      <c r="E13" s="6"/>
    </row>
    <row r="14" customFormat="false" ht="15" hidden="false" customHeight="true" outlineLevel="0" collapsed="false">
      <c r="A14" s="6" t="s">
        <v>36</v>
      </c>
      <c r="B14" s="6" t="n">
        <v>6</v>
      </c>
      <c r="C14" s="6" t="s">
        <v>334</v>
      </c>
      <c r="D14" s="17" t="n">
        <v>0.5</v>
      </c>
      <c r="E14" s="6"/>
    </row>
    <row r="15" customFormat="false" ht="15" hidden="false" customHeight="true" outlineLevel="0" collapsed="false">
      <c r="A15" s="6" t="s">
        <v>36</v>
      </c>
      <c r="B15" s="6" t="n">
        <v>6</v>
      </c>
      <c r="C15" s="6" t="s">
        <v>335</v>
      </c>
      <c r="D15" s="17" t="n">
        <v>4</v>
      </c>
      <c r="E15" s="6" t="s">
        <v>336</v>
      </c>
    </row>
    <row r="16" customFormat="false" ht="15" hidden="false" customHeight="true" outlineLevel="0" collapsed="false">
      <c r="A16" s="6" t="s">
        <v>36</v>
      </c>
      <c r="B16" s="6" t="n">
        <v>6</v>
      </c>
      <c r="C16" s="6" t="s">
        <v>337</v>
      </c>
      <c r="D16" s="17" t="n">
        <v>0.5</v>
      </c>
      <c r="E16" s="6"/>
    </row>
    <row r="17" customFormat="false" ht="15" hidden="false" customHeight="true" outlineLevel="0" collapsed="false">
      <c r="A17" s="6" t="s">
        <v>36</v>
      </c>
      <c r="B17" s="6" t="n">
        <v>6</v>
      </c>
      <c r="C17" s="6" t="s">
        <v>338</v>
      </c>
      <c r="D17" s="17" t="n">
        <v>0.5</v>
      </c>
      <c r="E17" s="6"/>
    </row>
    <row r="18" customFormat="false" ht="15" hidden="false" customHeight="true" outlineLevel="0" collapsed="false">
      <c r="A18" s="6" t="s">
        <v>36</v>
      </c>
      <c r="B18" s="6" t="n">
        <v>7</v>
      </c>
      <c r="C18" s="6" t="s">
        <v>334</v>
      </c>
      <c r="D18" s="17" t="n">
        <v>0.5</v>
      </c>
      <c r="E18" s="6"/>
    </row>
    <row r="19" customFormat="false" ht="15" hidden="false" customHeight="true" outlineLevel="0" collapsed="false">
      <c r="A19" s="6" t="s">
        <v>36</v>
      </c>
      <c r="B19" s="6" t="n">
        <v>7</v>
      </c>
      <c r="C19" s="6" t="s">
        <v>335</v>
      </c>
      <c r="D19" s="17" t="n">
        <v>5</v>
      </c>
      <c r="E19" s="6" t="s">
        <v>336</v>
      </c>
    </row>
    <row r="20" customFormat="false" ht="15" hidden="false" customHeight="true" outlineLevel="0" collapsed="false">
      <c r="A20" s="6" t="s">
        <v>36</v>
      </c>
      <c r="B20" s="6" t="n">
        <v>7</v>
      </c>
      <c r="C20" s="6" t="s">
        <v>337</v>
      </c>
      <c r="D20" s="17" t="n">
        <v>0.5</v>
      </c>
      <c r="E20" s="6"/>
    </row>
    <row r="21" customFormat="false" ht="15" hidden="false" customHeight="true" outlineLevel="0" collapsed="false">
      <c r="A21" s="6" t="s">
        <v>36</v>
      </c>
      <c r="B21" s="6" t="n">
        <v>7</v>
      </c>
      <c r="C21" s="6" t="s">
        <v>338</v>
      </c>
      <c r="D21" s="17" t="n">
        <v>0.5</v>
      </c>
      <c r="E21" s="6"/>
    </row>
    <row r="22" customFormat="false" ht="15" hidden="false" customHeight="true" outlineLevel="0" collapsed="false">
      <c r="A22" s="6" t="s">
        <v>36</v>
      </c>
      <c r="B22" s="6" t="n">
        <v>8</v>
      </c>
      <c r="C22" s="6" t="s">
        <v>334</v>
      </c>
      <c r="D22" s="17" t="n">
        <v>0.5</v>
      </c>
      <c r="E22" s="6"/>
    </row>
    <row r="23" customFormat="false" ht="15" hidden="false" customHeight="true" outlineLevel="0" collapsed="false">
      <c r="A23" s="6" t="s">
        <v>36</v>
      </c>
      <c r="B23" s="6" t="n">
        <v>8</v>
      </c>
      <c r="C23" s="6" t="s">
        <v>335</v>
      </c>
      <c r="D23" s="17" t="n">
        <v>8</v>
      </c>
      <c r="E23" s="6" t="s">
        <v>336</v>
      </c>
    </row>
    <row r="24" customFormat="false" ht="15" hidden="false" customHeight="true" outlineLevel="0" collapsed="false">
      <c r="A24" s="6" t="s">
        <v>36</v>
      </c>
      <c r="B24" s="6" t="n">
        <v>8</v>
      </c>
      <c r="C24" s="6" t="s">
        <v>337</v>
      </c>
      <c r="D24" s="17" t="n">
        <v>0.5</v>
      </c>
      <c r="E24" s="6"/>
    </row>
    <row r="25" customFormat="false" ht="15" hidden="false" customHeight="true" outlineLevel="0" collapsed="false">
      <c r="A25" s="6" t="s">
        <v>36</v>
      </c>
      <c r="B25" s="6" t="n">
        <v>8</v>
      </c>
      <c r="C25" s="6" t="s">
        <v>338</v>
      </c>
      <c r="D25" s="17" t="n">
        <v>0.5</v>
      </c>
      <c r="E25" s="6"/>
    </row>
    <row r="26" customFormat="false" ht="15" hidden="false" customHeight="true" outlineLevel="0" collapsed="false">
      <c r="A26" s="6" t="s">
        <v>36</v>
      </c>
      <c r="B26" s="6" t="n">
        <v>9</v>
      </c>
      <c r="C26" s="6" t="s">
        <v>334</v>
      </c>
      <c r="D26" s="17" t="n">
        <v>1</v>
      </c>
      <c r="E26" s="6"/>
    </row>
    <row r="27" customFormat="false" ht="15" hidden="false" customHeight="true" outlineLevel="0" collapsed="false">
      <c r="A27" s="6" t="s">
        <v>36</v>
      </c>
      <c r="B27" s="6" t="n">
        <v>9</v>
      </c>
      <c r="C27" s="6" t="s">
        <v>335</v>
      </c>
      <c r="D27" s="17" t="n">
        <v>11</v>
      </c>
      <c r="E27" s="6" t="s">
        <v>336</v>
      </c>
    </row>
    <row r="28" customFormat="false" ht="15" hidden="false" customHeight="true" outlineLevel="0" collapsed="false">
      <c r="A28" s="6" t="s">
        <v>36</v>
      </c>
      <c r="B28" s="6" t="n">
        <v>9</v>
      </c>
      <c r="C28" s="6" t="s">
        <v>337</v>
      </c>
      <c r="D28" s="17" t="n">
        <v>1</v>
      </c>
      <c r="E28" s="6"/>
    </row>
    <row r="29" customFormat="false" ht="15" hidden="false" customHeight="true" outlineLevel="0" collapsed="false">
      <c r="A29" s="6" t="s">
        <v>36</v>
      </c>
      <c r="B29" s="6" t="n">
        <v>9</v>
      </c>
      <c r="C29" s="6" t="s">
        <v>338</v>
      </c>
      <c r="D29" s="17" t="n">
        <v>1</v>
      </c>
      <c r="E29" s="6"/>
    </row>
    <row r="30" customFormat="false" ht="15" hidden="false" customHeight="true" outlineLevel="0" collapsed="false">
      <c r="A30" s="6" t="s">
        <v>41</v>
      </c>
      <c r="B30" s="6" t="n">
        <v>1</v>
      </c>
      <c r="C30" s="6" t="s">
        <v>334</v>
      </c>
      <c r="D30" s="17" t="n">
        <v>0.25</v>
      </c>
      <c r="E30" s="6"/>
    </row>
    <row r="31" customFormat="false" ht="15" hidden="false" customHeight="true" outlineLevel="0" collapsed="false">
      <c r="A31" s="6" t="s">
        <v>41</v>
      </c>
      <c r="B31" s="6" t="n">
        <v>1</v>
      </c>
      <c r="C31" s="6" t="s">
        <v>335</v>
      </c>
      <c r="D31" s="17" t="n">
        <v>1</v>
      </c>
      <c r="E31" s="6" t="s">
        <v>336</v>
      </c>
    </row>
    <row r="32" customFormat="false" ht="15" hidden="false" customHeight="true" outlineLevel="0" collapsed="false">
      <c r="A32" s="6" t="s">
        <v>41</v>
      </c>
      <c r="B32" s="6" t="n">
        <v>1</v>
      </c>
      <c r="C32" s="6" t="s">
        <v>339</v>
      </c>
      <c r="D32" s="17" t="n">
        <v>0.5</v>
      </c>
      <c r="E32" s="6"/>
    </row>
    <row r="33" customFormat="false" ht="15" hidden="false" customHeight="true" outlineLevel="0" collapsed="false">
      <c r="A33" s="6" t="s">
        <v>41</v>
      </c>
      <c r="B33" s="6" t="n">
        <v>2</v>
      </c>
      <c r="C33" s="6" t="s">
        <v>334</v>
      </c>
      <c r="D33" s="17" t="n">
        <v>0.25</v>
      </c>
      <c r="E33" s="6"/>
    </row>
    <row r="34" customFormat="false" ht="15" hidden="false" customHeight="true" outlineLevel="0" collapsed="false">
      <c r="A34" s="6" t="s">
        <v>41</v>
      </c>
      <c r="B34" s="6" t="n">
        <v>2</v>
      </c>
      <c r="C34" s="6" t="s">
        <v>335</v>
      </c>
      <c r="D34" s="17" t="n">
        <v>1</v>
      </c>
      <c r="E34" s="6" t="s">
        <v>336</v>
      </c>
    </row>
    <row r="35" customFormat="false" ht="15" hidden="false" customHeight="true" outlineLevel="0" collapsed="false">
      <c r="A35" s="6" t="s">
        <v>41</v>
      </c>
      <c r="B35" s="6" t="n">
        <v>2</v>
      </c>
      <c r="C35" s="6" t="s">
        <v>339</v>
      </c>
      <c r="D35" s="17" t="n">
        <v>0.5</v>
      </c>
      <c r="E35" s="6"/>
    </row>
    <row r="36" customFormat="false" ht="15" hidden="false" customHeight="true" outlineLevel="0" collapsed="false">
      <c r="A36" s="6" t="s">
        <v>41</v>
      </c>
      <c r="B36" s="6" t="n">
        <v>3</v>
      </c>
      <c r="C36" s="6" t="s">
        <v>334</v>
      </c>
      <c r="D36" s="17" t="n">
        <v>0.5</v>
      </c>
      <c r="E36" s="6"/>
    </row>
    <row r="37" customFormat="false" ht="15" hidden="false" customHeight="true" outlineLevel="0" collapsed="false">
      <c r="A37" s="6" t="s">
        <v>41</v>
      </c>
      <c r="B37" s="6" t="n">
        <v>3</v>
      </c>
      <c r="C37" s="6" t="s">
        <v>335</v>
      </c>
      <c r="D37" s="17" t="n">
        <v>1</v>
      </c>
      <c r="E37" s="6" t="s">
        <v>336</v>
      </c>
    </row>
    <row r="38" customFormat="false" ht="15" hidden="false" customHeight="true" outlineLevel="0" collapsed="false">
      <c r="A38" s="6" t="s">
        <v>41</v>
      </c>
      <c r="B38" s="6" t="n">
        <v>3</v>
      </c>
      <c r="C38" s="6" t="s">
        <v>339</v>
      </c>
      <c r="D38" s="17" t="n">
        <v>1</v>
      </c>
      <c r="E38" s="6"/>
    </row>
    <row r="39" customFormat="false" ht="15" hidden="false" customHeight="true" outlineLevel="0" collapsed="false">
      <c r="A39" s="6" t="s">
        <v>41</v>
      </c>
      <c r="B39" s="6" t="n">
        <v>4</v>
      </c>
      <c r="C39" s="6" t="s">
        <v>334</v>
      </c>
      <c r="D39" s="17" t="n">
        <v>0.5</v>
      </c>
      <c r="E39" s="6"/>
    </row>
    <row r="40" customFormat="false" ht="15" hidden="false" customHeight="true" outlineLevel="0" collapsed="false">
      <c r="A40" s="6" t="s">
        <v>41</v>
      </c>
      <c r="B40" s="6" t="n">
        <v>4</v>
      </c>
      <c r="C40" s="6" t="s">
        <v>335</v>
      </c>
      <c r="D40" s="17" t="n">
        <v>2</v>
      </c>
      <c r="E40" s="6" t="s">
        <v>336</v>
      </c>
    </row>
    <row r="41" customFormat="false" ht="15" hidden="false" customHeight="true" outlineLevel="0" collapsed="false">
      <c r="A41" s="6" t="s">
        <v>41</v>
      </c>
      <c r="B41" s="6" t="n">
        <v>4</v>
      </c>
      <c r="C41" s="6" t="s">
        <v>339</v>
      </c>
      <c r="D41" s="17" t="n">
        <v>1</v>
      </c>
      <c r="E41" s="6"/>
    </row>
    <row r="42" customFormat="false" ht="15" hidden="false" customHeight="true" outlineLevel="0" collapsed="false">
      <c r="A42" s="6" t="s">
        <v>45</v>
      </c>
      <c r="B42" s="6" t="n">
        <v>1</v>
      </c>
      <c r="C42" s="6" t="s">
        <v>334</v>
      </c>
      <c r="D42" s="17" t="n">
        <v>0.25</v>
      </c>
      <c r="E42" s="6"/>
    </row>
    <row r="43" customFormat="false" ht="15" hidden="false" customHeight="true" outlineLevel="0" collapsed="false">
      <c r="A43" s="6" t="s">
        <v>45</v>
      </c>
      <c r="B43" s="6" t="n">
        <v>1</v>
      </c>
      <c r="C43" s="6" t="s">
        <v>335</v>
      </c>
      <c r="D43" s="17" t="n">
        <v>2</v>
      </c>
      <c r="E43" s="6" t="s">
        <v>336</v>
      </c>
    </row>
    <row r="44" customFormat="false" ht="15" hidden="false" customHeight="true" outlineLevel="0" collapsed="false">
      <c r="A44" s="6" t="s">
        <v>45</v>
      </c>
      <c r="B44" s="6" t="n">
        <v>2</v>
      </c>
      <c r="C44" s="6" t="s">
        <v>334</v>
      </c>
      <c r="D44" s="17" t="n">
        <v>0.5</v>
      </c>
      <c r="E44" s="6"/>
    </row>
    <row r="45" customFormat="false" ht="15" hidden="false" customHeight="true" outlineLevel="0" collapsed="false">
      <c r="A45" s="6" t="s">
        <v>45</v>
      </c>
      <c r="B45" s="6" t="n">
        <v>2</v>
      </c>
      <c r="C45" s="6" t="s">
        <v>335</v>
      </c>
      <c r="D45" s="17" t="n">
        <v>2</v>
      </c>
      <c r="E45" s="6" t="s">
        <v>336</v>
      </c>
    </row>
    <row r="46" customFormat="false" ht="15" hidden="false" customHeight="true" outlineLevel="0" collapsed="false">
      <c r="A46" s="6" t="s">
        <v>45</v>
      </c>
      <c r="B46" s="6" t="n">
        <v>3</v>
      </c>
      <c r="C46" s="6" t="s">
        <v>334</v>
      </c>
      <c r="D46" s="17" t="n">
        <v>0.5</v>
      </c>
      <c r="E46" s="6"/>
    </row>
    <row r="47" customFormat="false" ht="15" hidden="false" customHeight="true" outlineLevel="0" collapsed="false">
      <c r="A47" s="6" t="s">
        <v>45</v>
      </c>
      <c r="B47" s="6" t="n">
        <v>3</v>
      </c>
      <c r="C47" s="6" t="s">
        <v>335</v>
      </c>
      <c r="D47" s="17" t="n">
        <v>2</v>
      </c>
      <c r="E47" s="6" t="s">
        <v>336</v>
      </c>
    </row>
    <row r="48" customFormat="false" ht="15" hidden="false" customHeight="true" outlineLevel="0" collapsed="false">
      <c r="A48" s="6" t="s">
        <v>45</v>
      </c>
      <c r="B48" s="6" t="n">
        <v>3</v>
      </c>
      <c r="C48" s="6" t="s">
        <v>337</v>
      </c>
      <c r="D48" s="17" t="n">
        <v>0.5</v>
      </c>
      <c r="E48" s="6"/>
    </row>
    <row r="49" customFormat="false" ht="15" hidden="false" customHeight="true" outlineLevel="0" collapsed="false">
      <c r="A49" s="6" t="s">
        <v>45</v>
      </c>
      <c r="B49" s="6" t="n">
        <v>4</v>
      </c>
      <c r="C49" s="6" t="s">
        <v>334</v>
      </c>
      <c r="D49" s="17" t="n">
        <v>0.5</v>
      </c>
      <c r="E49" s="6"/>
    </row>
    <row r="50" customFormat="false" ht="15" hidden="false" customHeight="true" outlineLevel="0" collapsed="false">
      <c r="A50" s="6" t="s">
        <v>45</v>
      </c>
      <c r="B50" s="6" t="n">
        <v>4</v>
      </c>
      <c r="C50" s="6" t="s">
        <v>335</v>
      </c>
      <c r="D50" s="17" t="n">
        <v>3</v>
      </c>
      <c r="E50" s="6" t="s">
        <v>336</v>
      </c>
    </row>
    <row r="51" customFormat="false" ht="15" hidden="false" customHeight="true" outlineLevel="0" collapsed="false">
      <c r="A51" s="6" t="s">
        <v>45</v>
      </c>
      <c r="B51" s="6" t="n">
        <v>4</v>
      </c>
      <c r="C51" s="6" t="s">
        <v>337</v>
      </c>
      <c r="D51" s="17" t="n">
        <v>0.5</v>
      </c>
      <c r="E51" s="6"/>
    </row>
    <row r="52" customFormat="false" ht="15" hidden="false" customHeight="true" outlineLevel="0" collapsed="false">
      <c r="A52" s="6" t="s">
        <v>45</v>
      </c>
      <c r="B52" s="6" t="n">
        <v>5</v>
      </c>
      <c r="C52" s="6" t="s">
        <v>334</v>
      </c>
      <c r="D52" s="17" t="n">
        <v>0.5</v>
      </c>
      <c r="E52" s="6"/>
    </row>
    <row r="53" customFormat="false" ht="15" hidden="false" customHeight="true" outlineLevel="0" collapsed="false">
      <c r="A53" s="6" t="s">
        <v>45</v>
      </c>
      <c r="B53" s="6" t="n">
        <v>5</v>
      </c>
      <c r="C53" s="6" t="s">
        <v>335</v>
      </c>
      <c r="D53" s="17" t="n">
        <v>2</v>
      </c>
      <c r="E53" s="6" t="s">
        <v>336</v>
      </c>
    </row>
    <row r="54" customFormat="false" ht="15" hidden="false" customHeight="true" outlineLevel="0" collapsed="false">
      <c r="A54" s="6" t="s">
        <v>45</v>
      </c>
      <c r="B54" s="6" t="n">
        <v>5</v>
      </c>
      <c r="C54" s="6" t="s">
        <v>337</v>
      </c>
      <c r="D54" s="17" t="n">
        <v>2</v>
      </c>
      <c r="E54" s="6"/>
    </row>
    <row r="55" customFormat="false" ht="15" hidden="false" customHeight="true" outlineLevel="0" collapsed="false">
      <c r="A55" s="6" t="s">
        <v>45</v>
      </c>
      <c r="B55" s="6" t="n">
        <v>6</v>
      </c>
      <c r="C55" s="6" t="s">
        <v>334</v>
      </c>
      <c r="D55" s="17" t="n">
        <v>0.5</v>
      </c>
      <c r="E55" s="6"/>
    </row>
    <row r="56" customFormat="false" ht="15" hidden="false" customHeight="true" outlineLevel="0" collapsed="false">
      <c r="A56" s="6" t="s">
        <v>45</v>
      </c>
      <c r="B56" s="6" t="n">
        <v>6</v>
      </c>
      <c r="C56" s="6" t="s">
        <v>335</v>
      </c>
      <c r="D56" s="17" t="n">
        <v>4</v>
      </c>
      <c r="E56" s="6" t="s">
        <v>336</v>
      </c>
    </row>
    <row r="57" customFormat="false" ht="15" hidden="false" customHeight="true" outlineLevel="0" collapsed="false">
      <c r="A57" s="6" t="s">
        <v>45</v>
      </c>
      <c r="B57" s="6" t="n">
        <v>6</v>
      </c>
      <c r="C57" s="6" t="s">
        <v>338</v>
      </c>
      <c r="D57" s="17" t="n">
        <v>0.5</v>
      </c>
      <c r="E57" s="6"/>
    </row>
    <row r="58" customFormat="false" ht="15" hidden="false" customHeight="true" outlineLevel="0" collapsed="false">
      <c r="A58" s="6" t="s">
        <v>45</v>
      </c>
      <c r="B58" s="6" t="n">
        <v>7</v>
      </c>
      <c r="C58" s="6" t="s">
        <v>334</v>
      </c>
      <c r="D58" s="17" t="n">
        <v>0.5</v>
      </c>
      <c r="E58" s="6"/>
    </row>
    <row r="59" customFormat="false" ht="15" hidden="false" customHeight="true" outlineLevel="0" collapsed="false">
      <c r="A59" s="6" t="s">
        <v>45</v>
      </c>
      <c r="B59" s="6" t="n">
        <v>7</v>
      </c>
      <c r="C59" s="6" t="s">
        <v>335</v>
      </c>
      <c r="D59" s="17" t="n">
        <v>5</v>
      </c>
      <c r="E59" s="6" t="s">
        <v>336</v>
      </c>
    </row>
    <row r="60" customFormat="false" ht="15" hidden="false" customHeight="true" outlineLevel="0" collapsed="false">
      <c r="A60" s="6" t="s">
        <v>45</v>
      </c>
      <c r="B60" s="6" t="n">
        <v>7</v>
      </c>
      <c r="C60" s="6" t="s">
        <v>338</v>
      </c>
      <c r="D60" s="17" t="n">
        <v>0.5</v>
      </c>
      <c r="E60" s="6"/>
    </row>
    <row r="61" customFormat="false" ht="15" hidden="false" customHeight="true" outlineLevel="0" collapsed="false">
      <c r="A61" s="6" t="s">
        <v>45</v>
      </c>
      <c r="B61" s="6" t="n">
        <v>8</v>
      </c>
      <c r="C61" s="6" t="s">
        <v>334</v>
      </c>
      <c r="D61" s="17" t="n">
        <v>1</v>
      </c>
      <c r="E61" s="6"/>
    </row>
    <row r="62" customFormat="false" ht="15" hidden="false" customHeight="true" outlineLevel="0" collapsed="false">
      <c r="A62" s="6" t="s">
        <v>45</v>
      </c>
      <c r="B62" s="6" t="n">
        <v>8</v>
      </c>
      <c r="C62" s="6" t="s">
        <v>335</v>
      </c>
      <c r="D62" s="17" t="n">
        <v>5</v>
      </c>
      <c r="E62" s="6" t="s">
        <v>336</v>
      </c>
    </row>
    <row r="63" customFormat="false" ht="15" hidden="false" customHeight="true" outlineLevel="0" collapsed="false">
      <c r="A63" s="6" t="s">
        <v>45</v>
      </c>
      <c r="B63" s="6" t="n">
        <v>8</v>
      </c>
      <c r="C63" s="6" t="s">
        <v>338</v>
      </c>
      <c r="D63" s="17" t="n">
        <v>1</v>
      </c>
      <c r="E63" s="6"/>
    </row>
    <row r="64" customFormat="false" ht="15" hidden="false" customHeight="true" outlineLevel="0" collapsed="false">
      <c r="A64" s="6" t="s">
        <v>50</v>
      </c>
      <c r="B64" s="6" t="n">
        <v>1</v>
      </c>
      <c r="C64" s="6" t="s">
        <v>334</v>
      </c>
      <c r="D64" s="17" t="n">
        <v>0.25</v>
      </c>
      <c r="E64" s="6"/>
    </row>
    <row r="65" customFormat="false" ht="15" hidden="false" customHeight="true" outlineLevel="0" collapsed="false">
      <c r="A65" s="6" t="s">
        <v>50</v>
      </c>
      <c r="B65" s="6" t="n">
        <v>1</v>
      </c>
      <c r="C65" s="6" t="s">
        <v>335</v>
      </c>
      <c r="D65" s="17" t="n">
        <v>1</v>
      </c>
      <c r="E65" s="6" t="s">
        <v>336</v>
      </c>
    </row>
    <row r="66" customFormat="false" ht="15" hidden="false" customHeight="true" outlineLevel="0" collapsed="false">
      <c r="A66" s="6" t="s">
        <v>50</v>
      </c>
      <c r="B66" s="6" t="n">
        <v>2</v>
      </c>
      <c r="C66" s="6" t="s">
        <v>334</v>
      </c>
      <c r="D66" s="17" t="n">
        <v>0.25</v>
      </c>
      <c r="E66" s="6"/>
    </row>
    <row r="67" customFormat="false" ht="15" hidden="false" customHeight="true" outlineLevel="0" collapsed="false">
      <c r="A67" s="6" t="s">
        <v>50</v>
      </c>
      <c r="B67" s="6" t="n">
        <v>2</v>
      </c>
      <c r="C67" s="6" t="s">
        <v>335</v>
      </c>
      <c r="D67" s="17" t="n">
        <v>1</v>
      </c>
      <c r="E67" s="6" t="s">
        <v>336</v>
      </c>
    </row>
    <row r="68" customFormat="false" ht="15" hidden="false" customHeight="true" outlineLevel="0" collapsed="false">
      <c r="A68" s="6" t="s">
        <v>50</v>
      </c>
      <c r="B68" s="6" t="n">
        <v>3</v>
      </c>
      <c r="C68" s="6" t="s">
        <v>334</v>
      </c>
      <c r="D68" s="17" t="n">
        <v>0.25</v>
      </c>
      <c r="E68" s="6"/>
    </row>
    <row r="69" customFormat="false" ht="15" hidden="false" customHeight="true" outlineLevel="0" collapsed="false">
      <c r="A69" s="6" t="s">
        <v>50</v>
      </c>
      <c r="B69" s="6" t="n">
        <v>3</v>
      </c>
      <c r="C69" s="6" t="s">
        <v>335</v>
      </c>
      <c r="D69" s="17" t="n">
        <v>1</v>
      </c>
      <c r="E69" s="6" t="s">
        <v>336</v>
      </c>
    </row>
    <row r="70" customFormat="false" ht="15" hidden="false" customHeight="true" outlineLevel="0" collapsed="false">
      <c r="A70" s="6" t="s">
        <v>50</v>
      </c>
      <c r="B70" s="6" t="n">
        <v>4</v>
      </c>
      <c r="C70" s="6" t="s">
        <v>334</v>
      </c>
      <c r="D70" s="17" t="n">
        <v>0.5</v>
      </c>
      <c r="E70" s="6"/>
    </row>
    <row r="71" customFormat="false" ht="15" hidden="false" customHeight="true" outlineLevel="0" collapsed="false">
      <c r="A71" s="6" t="s">
        <v>50</v>
      </c>
      <c r="B71" s="6" t="n">
        <v>4</v>
      </c>
      <c r="C71" s="6" t="s">
        <v>335</v>
      </c>
      <c r="D71" s="17" t="n">
        <v>2</v>
      </c>
      <c r="E71" s="6" t="s">
        <v>336</v>
      </c>
    </row>
    <row r="72" customFormat="false" ht="15" hidden="false" customHeight="true" outlineLevel="0" collapsed="false">
      <c r="A72" s="6" t="s">
        <v>50</v>
      </c>
      <c r="B72" s="6" t="n">
        <v>5</v>
      </c>
      <c r="C72" s="6" t="s">
        <v>334</v>
      </c>
      <c r="D72" s="17" t="n">
        <v>0.5</v>
      </c>
      <c r="E72" s="6"/>
    </row>
    <row r="73" customFormat="false" ht="15" hidden="false" customHeight="true" outlineLevel="0" collapsed="false">
      <c r="A73" s="6" t="s">
        <v>50</v>
      </c>
      <c r="B73" s="6" t="n">
        <v>5</v>
      </c>
      <c r="C73" s="6" t="s">
        <v>335</v>
      </c>
      <c r="D73" s="17" t="n">
        <v>2</v>
      </c>
      <c r="E73" s="6" t="s">
        <v>336</v>
      </c>
    </row>
    <row r="74" customFormat="false" ht="15" hidden="false" customHeight="true" outlineLevel="0" collapsed="false">
      <c r="A74" s="6" t="s">
        <v>54</v>
      </c>
      <c r="B74" s="6" t="n">
        <v>1</v>
      </c>
      <c r="C74" s="6" t="s">
        <v>334</v>
      </c>
      <c r="D74" s="17" t="n">
        <v>0.25</v>
      </c>
      <c r="E74" s="6"/>
    </row>
    <row r="75" customFormat="false" ht="15" hidden="false" customHeight="true" outlineLevel="0" collapsed="false">
      <c r="A75" s="6" t="s">
        <v>54</v>
      </c>
      <c r="B75" s="6" t="n">
        <v>1</v>
      </c>
      <c r="C75" s="6" t="s">
        <v>335</v>
      </c>
      <c r="D75" s="17" t="n">
        <v>2</v>
      </c>
      <c r="E75" s="6" t="s">
        <v>336</v>
      </c>
    </row>
    <row r="76" customFormat="false" ht="15" hidden="false" customHeight="true" outlineLevel="0" collapsed="false">
      <c r="A76" s="6" t="s">
        <v>54</v>
      </c>
      <c r="B76" s="6" t="n">
        <v>1</v>
      </c>
      <c r="C76" s="6" t="s">
        <v>337</v>
      </c>
      <c r="D76" s="17" t="n">
        <v>1</v>
      </c>
      <c r="E76" s="6"/>
    </row>
    <row r="77" customFormat="false" ht="15" hidden="false" customHeight="true" outlineLevel="0" collapsed="false">
      <c r="A77" s="6" t="s">
        <v>54</v>
      </c>
      <c r="B77" s="6" t="n">
        <v>2</v>
      </c>
      <c r="C77" s="6" t="s">
        <v>334</v>
      </c>
      <c r="D77" s="17" t="n">
        <v>0.25</v>
      </c>
      <c r="E77" s="6"/>
    </row>
    <row r="78" customFormat="false" ht="15" hidden="false" customHeight="true" outlineLevel="0" collapsed="false">
      <c r="A78" s="6" t="s">
        <v>54</v>
      </c>
      <c r="B78" s="6" t="n">
        <v>2</v>
      </c>
      <c r="C78" s="6" t="s">
        <v>335</v>
      </c>
      <c r="D78" s="17" t="n">
        <v>3</v>
      </c>
      <c r="E78" s="6" t="s">
        <v>336</v>
      </c>
    </row>
    <row r="79" customFormat="false" ht="15" hidden="false" customHeight="true" outlineLevel="0" collapsed="false">
      <c r="A79" s="6" t="s">
        <v>54</v>
      </c>
      <c r="B79" s="6" t="n">
        <v>2</v>
      </c>
      <c r="C79" s="6" t="s">
        <v>337</v>
      </c>
      <c r="D79" s="17" t="n">
        <v>0.5</v>
      </c>
      <c r="E79" s="6"/>
    </row>
    <row r="80" customFormat="false" ht="15" hidden="false" customHeight="true" outlineLevel="0" collapsed="false">
      <c r="A80" s="6" t="s">
        <v>54</v>
      </c>
      <c r="B80" s="6" t="n">
        <v>3</v>
      </c>
      <c r="C80" s="6" t="s">
        <v>334</v>
      </c>
      <c r="D80" s="17" t="n">
        <v>0.5</v>
      </c>
      <c r="E80" s="6"/>
    </row>
    <row r="81" customFormat="false" ht="15" hidden="false" customHeight="true" outlineLevel="0" collapsed="false">
      <c r="A81" s="6" t="s">
        <v>54</v>
      </c>
      <c r="B81" s="6" t="n">
        <v>3</v>
      </c>
      <c r="C81" s="6" t="s">
        <v>335</v>
      </c>
      <c r="D81" s="17" t="n">
        <v>4</v>
      </c>
      <c r="E81" s="6" t="s">
        <v>336</v>
      </c>
    </row>
    <row r="82" customFormat="false" ht="15" hidden="false" customHeight="true" outlineLevel="0" collapsed="false">
      <c r="A82" s="6" t="s">
        <v>54</v>
      </c>
      <c r="B82" s="6" t="n">
        <v>3</v>
      </c>
      <c r="C82" s="6" t="s">
        <v>337</v>
      </c>
      <c r="D82" s="17" t="n">
        <v>0.5</v>
      </c>
      <c r="E82" s="6"/>
    </row>
    <row r="83" customFormat="false" ht="15" hidden="false" customHeight="true" outlineLevel="0" collapsed="false">
      <c r="A83" s="6" t="s">
        <v>54</v>
      </c>
      <c r="B83" s="6" t="n">
        <v>4</v>
      </c>
      <c r="C83" s="6" t="s">
        <v>334</v>
      </c>
      <c r="D83" s="17" t="n">
        <v>0.5</v>
      </c>
      <c r="E83" s="6"/>
    </row>
    <row r="84" customFormat="false" ht="15" hidden="false" customHeight="true" outlineLevel="0" collapsed="false">
      <c r="A84" s="6" t="s">
        <v>54</v>
      </c>
      <c r="B84" s="6" t="n">
        <v>4</v>
      </c>
      <c r="C84" s="6" t="s">
        <v>335</v>
      </c>
      <c r="D84" s="17" t="n">
        <v>5</v>
      </c>
      <c r="E84" s="6" t="s">
        <v>336</v>
      </c>
    </row>
    <row r="85" customFormat="false" ht="15" hidden="false" customHeight="true" outlineLevel="0" collapsed="false">
      <c r="A85" s="6" t="s">
        <v>54</v>
      </c>
      <c r="B85" s="6" t="n">
        <v>4</v>
      </c>
      <c r="C85" s="6" t="s">
        <v>337</v>
      </c>
      <c r="D85" s="17" t="n">
        <v>0.5</v>
      </c>
      <c r="E85" s="6"/>
    </row>
    <row r="86" customFormat="false" ht="15" hidden="false" customHeight="true" outlineLevel="0" collapsed="false">
      <c r="A86" s="6" t="s">
        <v>58</v>
      </c>
      <c r="B86" s="6" t="n">
        <v>1</v>
      </c>
      <c r="C86" s="6" t="s">
        <v>334</v>
      </c>
      <c r="D86" s="17" t="n">
        <v>0.25</v>
      </c>
      <c r="E86" s="6"/>
    </row>
    <row r="87" customFormat="false" ht="15" hidden="false" customHeight="true" outlineLevel="0" collapsed="false">
      <c r="A87" s="6" t="s">
        <v>58</v>
      </c>
      <c r="B87" s="6" t="n">
        <v>1</v>
      </c>
      <c r="C87" s="6" t="s">
        <v>335</v>
      </c>
      <c r="D87" s="17" t="n">
        <v>1</v>
      </c>
      <c r="E87" s="6" t="s">
        <v>336</v>
      </c>
    </row>
    <row r="88" customFormat="false" ht="15" hidden="false" customHeight="true" outlineLevel="0" collapsed="false">
      <c r="A88" s="6" t="s">
        <v>58</v>
      </c>
      <c r="B88" s="6" t="n">
        <v>1</v>
      </c>
      <c r="C88" s="6" t="s">
        <v>339</v>
      </c>
      <c r="D88" s="17" t="n">
        <v>0.5</v>
      </c>
      <c r="E88" s="6"/>
    </row>
    <row r="89" customFormat="false" ht="15" hidden="false" customHeight="true" outlineLevel="0" collapsed="false">
      <c r="A89" s="6" t="s">
        <v>58</v>
      </c>
      <c r="B89" s="6" t="n">
        <v>2</v>
      </c>
      <c r="C89" s="6" t="s">
        <v>334</v>
      </c>
      <c r="D89" s="17" t="n">
        <v>0.25</v>
      </c>
      <c r="E89" s="6"/>
    </row>
    <row r="90" customFormat="false" ht="15" hidden="false" customHeight="true" outlineLevel="0" collapsed="false">
      <c r="A90" s="6" t="s">
        <v>58</v>
      </c>
      <c r="B90" s="6" t="n">
        <v>2</v>
      </c>
      <c r="C90" s="6" t="s">
        <v>335</v>
      </c>
      <c r="D90" s="17" t="n">
        <v>1</v>
      </c>
      <c r="E90" s="6" t="s">
        <v>336</v>
      </c>
    </row>
    <row r="91" customFormat="false" ht="15" hidden="false" customHeight="true" outlineLevel="0" collapsed="false">
      <c r="A91" s="6" t="s">
        <v>58</v>
      </c>
      <c r="B91" s="6" t="n">
        <v>2</v>
      </c>
      <c r="C91" s="6" t="s">
        <v>339</v>
      </c>
      <c r="D91" s="17" t="n">
        <v>0.5</v>
      </c>
      <c r="E91" s="6"/>
    </row>
    <row r="92" customFormat="false" ht="15" hidden="false" customHeight="true" outlineLevel="0" collapsed="false">
      <c r="A92" s="6" t="s">
        <v>58</v>
      </c>
      <c r="B92" s="6" t="n">
        <v>3</v>
      </c>
      <c r="C92" s="6" t="s">
        <v>334</v>
      </c>
      <c r="D92" s="17" t="n">
        <v>0.25</v>
      </c>
      <c r="E92" s="6"/>
    </row>
    <row r="93" customFormat="false" ht="15" hidden="false" customHeight="true" outlineLevel="0" collapsed="false">
      <c r="A93" s="6" t="s">
        <v>58</v>
      </c>
      <c r="B93" s="6" t="n">
        <v>3</v>
      </c>
      <c r="C93" s="6" t="s">
        <v>335</v>
      </c>
      <c r="D93" s="17" t="n">
        <v>1</v>
      </c>
      <c r="E93" s="6" t="s">
        <v>336</v>
      </c>
    </row>
    <row r="94" customFormat="false" ht="15" hidden="false" customHeight="true" outlineLevel="0" collapsed="false">
      <c r="A94" s="6" t="s">
        <v>58</v>
      </c>
      <c r="B94" s="6" t="n">
        <v>3</v>
      </c>
      <c r="C94" s="6" t="s">
        <v>339</v>
      </c>
      <c r="D94" s="17" t="n">
        <v>0.5</v>
      </c>
      <c r="E94" s="6"/>
    </row>
    <row r="95" customFormat="false" ht="15" hidden="false" customHeight="true" outlineLevel="0" collapsed="false">
      <c r="A95" s="6" t="s">
        <v>58</v>
      </c>
      <c r="B95" s="6" t="n">
        <v>4</v>
      </c>
      <c r="C95" s="6" t="s">
        <v>334</v>
      </c>
      <c r="D95" s="17" t="n">
        <v>0.25</v>
      </c>
      <c r="E95" s="6"/>
    </row>
    <row r="96" customFormat="false" ht="15" hidden="false" customHeight="true" outlineLevel="0" collapsed="false">
      <c r="A96" s="6" t="s">
        <v>58</v>
      </c>
      <c r="B96" s="6" t="n">
        <v>4</v>
      </c>
      <c r="C96" s="6" t="s">
        <v>335</v>
      </c>
      <c r="D96" s="17" t="n">
        <v>1</v>
      </c>
      <c r="E96" s="6" t="s">
        <v>336</v>
      </c>
    </row>
    <row r="97" customFormat="false" ht="15" hidden="false" customHeight="true" outlineLevel="0" collapsed="false">
      <c r="A97" s="6" t="s">
        <v>58</v>
      </c>
      <c r="B97" s="6" t="n">
        <v>4</v>
      </c>
      <c r="C97" s="6" t="s">
        <v>339</v>
      </c>
      <c r="D97" s="17" t="n">
        <v>0.5</v>
      </c>
      <c r="E97" s="6"/>
    </row>
    <row r="98" customFormat="false" ht="15" hidden="false" customHeight="true" outlineLevel="0" collapsed="false">
      <c r="A98" s="6" t="s">
        <v>58</v>
      </c>
      <c r="B98" s="6" t="n">
        <v>5</v>
      </c>
      <c r="C98" s="6" t="s">
        <v>334</v>
      </c>
      <c r="D98" s="17" t="n">
        <v>0.25</v>
      </c>
      <c r="E98" s="6"/>
    </row>
    <row r="99" customFormat="false" ht="15" hidden="false" customHeight="true" outlineLevel="0" collapsed="false">
      <c r="A99" s="6" t="s">
        <v>58</v>
      </c>
      <c r="B99" s="6" t="n">
        <v>5</v>
      </c>
      <c r="C99" s="6" t="s">
        <v>335</v>
      </c>
      <c r="D99" s="17" t="n">
        <v>1</v>
      </c>
      <c r="E99" s="6" t="s">
        <v>336</v>
      </c>
    </row>
    <row r="100" customFormat="false" ht="15" hidden="false" customHeight="true" outlineLevel="0" collapsed="false">
      <c r="A100" s="6" t="s">
        <v>58</v>
      </c>
      <c r="B100" s="6" t="n">
        <v>5</v>
      </c>
      <c r="C100" s="6" t="s">
        <v>339</v>
      </c>
      <c r="D100" s="17" t="n">
        <v>0.5</v>
      </c>
      <c r="E100" s="6"/>
    </row>
    <row r="101" customFormat="false" ht="15" hidden="false" customHeight="true" outlineLevel="0" collapsed="false">
      <c r="A101" s="6" t="s">
        <v>58</v>
      </c>
      <c r="B101" s="6" t="n">
        <v>6</v>
      </c>
      <c r="C101" s="6" t="s">
        <v>334</v>
      </c>
      <c r="D101" s="17" t="n">
        <v>0.25</v>
      </c>
      <c r="E101" s="6"/>
    </row>
    <row r="102" customFormat="false" ht="15" hidden="false" customHeight="true" outlineLevel="0" collapsed="false">
      <c r="A102" s="6" t="s">
        <v>58</v>
      </c>
      <c r="B102" s="6" t="n">
        <v>6</v>
      </c>
      <c r="C102" s="6" t="s">
        <v>335</v>
      </c>
      <c r="D102" s="17" t="n">
        <v>1</v>
      </c>
      <c r="E102" s="6" t="s">
        <v>336</v>
      </c>
    </row>
    <row r="103" customFormat="false" ht="15" hidden="false" customHeight="true" outlineLevel="0" collapsed="false">
      <c r="A103" s="6" t="s">
        <v>58</v>
      </c>
      <c r="B103" s="6" t="n">
        <v>6</v>
      </c>
      <c r="C103" s="6" t="s">
        <v>339</v>
      </c>
      <c r="D103" s="17" t="n">
        <v>0.5</v>
      </c>
      <c r="E103" s="6"/>
    </row>
    <row r="104" customFormat="false" ht="15" hidden="false" customHeight="true" outlineLevel="0" collapsed="false">
      <c r="A104" s="6" t="s">
        <v>58</v>
      </c>
      <c r="B104" s="6" t="n">
        <v>7</v>
      </c>
      <c r="C104" s="6" t="s">
        <v>334</v>
      </c>
      <c r="D104" s="17" t="n">
        <v>0.5</v>
      </c>
      <c r="E104" s="6"/>
    </row>
    <row r="105" customFormat="false" ht="15" hidden="false" customHeight="true" outlineLevel="0" collapsed="false">
      <c r="A105" s="6" t="s">
        <v>58</v>
      </c>
      <c r="B105" s="6" t="n">
        <v>7</v>
      </c>
      <c r="C105" s="6" t="s">
        <v>335</v>
      </c>
      <c r="D105" s="17" t="n">
        <v>1</v>
      </c>
      <c r="E105" s="6" t="s">
        <v>336</v>
      </c>
    </row>
    <row r="106" customFormat="false" ht="15" hidden="false" customHeight="true" outlineLevel="0" collapsed="false">
      <c r="A106" s="6" t="s">
        <v>58</v>
      </c>
      <c r="B106" s="6" t="n">
        <v>7</v>
      </c>
      <c r="C106" s="6" t="s">
        <v>339</v>
      </c>
      <c r="D106" s="17" t="n">
        <v>0.5</v>
      </c>
      <c r="E106" s="6"/>
    </row>
    <row r="107" customFormat="false" ht="15" hidden="false" customHeight="true" outlineLevel="0" collapsed="false">
      <c r="A107" s="6" t="s">
        <v>58</v>
      </c>
      <c r="B107" s="6" t="n">
        <v>8</v>
      </c>
      <c r="C107" s="6" t="s">
        <v>334</v>
      </c>
      <c r="D107" s="17" t="n">
        <v>0.5</v>
      </c>
      <c r="E107" s="6"/>
    </row>
    <row r="108" customFormat="false" ht="15" hidden="false" customHeight="true" outlineLevel="0" collapsed="false">
      <c r="A108" s="6" t="s">
        <v>58</v>
      </c>
      <c r="B108" s="6" t="n">
        <v>8</v>
      </c>
      <c r="C108" s="6" t="s">
        <v>335</v>
      </c>
      <c r="D108" s="17" t="n">
        <v>1</v>
      </c>
      <c r="E108" s="6" t="s">
        <v>336</v>
      </c>
    </row>
    <row r="109" customFormat="false" ht="15" hidden="false" customHeight="true" outlineLevel="0" collapsed="false">
      <c r="A109" s="6" t="s">
        <v>58</v>
      </c>
      <c r="B109" s="6" t="n">
        <v>8</v>
      </c>
      <c r="C109" s="6" t="s">
        <v>339</v>
      </c>
      <c r="D109" s="17" t="n">
        <v>0.5</v>
      </c>
      <c r="E109" s="6"/>
    </row>
    <row r="110" customFormat="false" ht="15" hidden="false" customHeight="true" outlineLevel="0" collapsed="false">
      <c r="A110" s="6" t="s">
        <v>58</v>
      </c>
      <c r="B110" s="6" t="n">
        <v>9</v>
      </c>
      <c r="C110" s="6" t="s">
        <v>334</v>
      </c>
      <c r="D110" s="17" t="n">
        <v>0.5</v>
      </c>
      <c r="E110" s="6"/>
    </row>
    <row r="111" customFormat="false" ht="15" hidden="false" customHeight="true" outlineLevel="0" collapsed="false">
      <c r="A111" s="6" t="s">
        <v>58</v>
      </c>
      <c r="B111" s="6" t="n">
        <v>9</v>
      </c>
      <c r="C111" s="6" t="s">
        <v>335</v>
      </c>
      <c r="D111" s="17" t="n">
        <v>1</v>
      </c>
      <c r="E111" s="6" t="s">
        <v>336</v>
      </c>
    </row>
    <row r="112" customFormat="false" ht="15" hidden="false" customHeight="true" outlineLevel="0" collapsed="false">
      <c r="A112" s="6" t="s">
        <v>58</v>
      </c>
      <c r="B112" s="6" t="n">
        <v>9</v>
      </c>
      <c r="C112" s="6" t="s">
        <v>339</v>
      </c>
      <c r="D112" s="17" t="n">
        <v>0.5</v>
      </c>
      <c r="E112" s="6"/>
    </row>
    <row r="113" customFormat="false" ht="15" hidden="false" customHeight="true" outlineLevel="0" collapsed="false">
      <c r="A113" s="6" t="s">
        <v>58</v>
      </c>
      <c r="B113" s="6" t="n">
        <v>10</v>
      </c>
      <c r="C113" s="6" t="s">
        <v>334</v>
      </c>
      <c r="D113" s="17" t="n">
        <v>0.5</v>
      </c>
      <c r="E113" s="6"/>
    </row>
    <row r="114" customFormat="false" ht="15" hidden="false" customHeight="true" outlineLevel="0" collapsed="false">
      <c r="A114" s="6" t="s">
        <v>58</v>
      </c>
      <c r="B114" s="6" t="n">
        <v>10</v>
      </c>
      <c r="C114" s="6" t="s">
        <v>335</v>
      </c>
      <c r="D114" s="17" t="n">
        <v>1</v>
      </c>
      <c r="E114" s="6" t="s">
        <v>336</v>
      </c>
    </row>
    <row r="115" customFormat="false" ht="15" hidden="false" customHeight="true" outlineLevel="0" collapsed="false">
      <c r="A115" s="6" t="s">
        <v>58</v>
      </c>
      <c r="B115" s="6" t="n">
        <v>10</v>
      </c>
      <c r="C115" s="6" t="s">
        <v>339</v>
      </c>
      <c r="D115" s="17" t="n">
        <v>0.5</v>
      </c>
      <c r="E115" s="6"/>
    </row>
    <row r="116" customFormat="false" ht="15" hidden="false" customHeight="true" outlineLevel="0" collapsed="false">
      <c r="A116" s="6" t="s">
        <v>58</v>
      </c>
      <c r="B116" s="6" t="n">
        <v>11</v>
      </c>
      <c r="C116" s="6" t="s">
        <v>334</v>
      </c>
      <c r="D116" s="17" t="n">
        <v>0.5</v>
      </c>
      <c r="E116" s="6"/>
    </row>
    <row r="117" customFormat="false" ht="15" hidden="false" customHeight="true" outlineLevel="0" collapsed="false">
      <c r="A117" s="6" t="s">
        <v>58</v>
      </c>
      <c r="B117" s="6" t="n">
        <v>11</v>
      </c>
      <c r="C117" s="6" t="s">
        <v>335</v>
      </c>
      <c r="D117" s="17" t="n">
        <v>1</v>
      </c>
      <c r="E117" s="6" t="s">
        <v>336</v>
      </c>
    </row>
    <row r="118" customFormat="false" ht="15" hidden="false" customHeight="true" outlineLevel="0" collapsed="false">
      <c r="A118" s="6" t="s">
        <v>58</v>
      </c>
      <c r="B118" s="6" t="n">
        <v>11</v>
      </c>
      <c r="C118" s="6" t="s">
        <v>339</v>
      </c>
      <c r="D118" s="17" t="n">
        <v>0.5</v>
      </c>
      <c r="E118" s="6"/>
    </row>
    <row r="119" customFormat="false" ht="15" hidden="false" customHeight="true" outlineLevel="0" collapsed="false">
      <c r="A119" s="6" t="s">
        <v>63</v>
      </c>
      <c r="B119" s="6" t="n">
        <v>1</v>
      </c>
      <c r="C119" s="6" t="s">
        <v>339</v>
      </c>
      <c r="D119" s="17" t="n">
        <v>0.5</v>
      </c>
      <c r="E119" s="6"/>
    </row>
    <row r="120" customFormat="false" ht="15" hidden="false" customHeight="true" outlineLevel="0" collapsed="false">
      <c r="A120" s="6" t="s">
        <v>63</v>
      </c>
      <c r="B120" s="6" t="n">
        <v>2</v>
      </c>
      <c r="C120" s="6" t="s">
        <v>339</v>
      </c>
      <c r="D120" s="17" t="n">
        <v>0.5</v>
      </c>
      <c r="E120" s="6"/>
    </row>
    <row r="121" customFormat="false" ht="15" hidden="false" customHeight="true" outlineLevel="0" collapsed="false">
      <c r="A121" s="6" t="s">
        <v>63</v>
      </c>
      <c r="B121" s="6" t="n">
        <v>3</v>
      </c>
      <c r="C121" s="6" t="s">
        <v>339</v>
      </c>
      <c r="D121" s="17" t="n">
        <v>0.5</v>
      </c>
      <c r="E121" s="6"/>
    </row>
    <row r="122" customFormat="false" ht="15" hidden="false" customHeight="true" outlineLevel="0" collapsed="false">
      <c r="A122" s="6" t="s">
        <v>63</v>
      </c>
      <c r="B122" s="6" t="n">
        <v>4</v>
      </c>
      <c r="C122" s="6" t="s">
        <v>339</v>
      </c>
      <c r="D122" s="17" t="n">
        <v>0.5</v>
      </c>
      <c r="E122" s="6"/>
    </row>
    <row r="123" customFormat="false" ht="15" hidden="false" customHeight="true" outlineLevel="0" collapsed="false">
      <c r="A123" s="6" t="s">
        <v>63</v>
      </c>
      <c r="B123" s="6" t="n">
        <v>5</v>
      </c>
      <c r="C123" s="6" t="s">
        <v>339</v>
      </c>
      <c r="D123" s="17" t="n">
        <v>0.5</v>
      </c>
      <c r="E123" s="6"/>
    </row>
    <row r="124" customFormat="false" ht="15" hidden="false" customHeight="true" outlineLevel="0" collapsed="false">
      <c r="A124" s="6" t="s">
        <v>63</v>
      </c>
      <c r="B124" s="6" t="n">
        <v>6</v>
      </c>
      <c r="C124" s="6" t="s">
        <v>339</v>
      </c>
      <c r="D124" s="17" t="n">
        <v>0.5</v>
      </c>
      <c r="E124" s="6"/>
    </row>
    <row r="125" customFormat="false" ht="15" hidden="false" customHeight="true" outlineLevel="0" collapsed="false">
      <c r="A125" s="6" t="s">
        <v>63</v>
      </c>
      <c r="B125" s="6" t="n">
        <v>7</v>
      </c>
      <c r="C125" s="6" t="s">
        <v>339</v>
      </c>
      <c r="D125" s="17" t="n">
        <v>0.5</v>
      </c>
      <c r="E125" s="6"/>
    </row>
    <row r="126" customFormat="false" ht="15" hidden="false" customHeight="true" outlineLevel="0" collapsed="false">
      <c r="A126" s="6" t="s">
        <v>63</v>
      </c>
      <c r="B126" s="6" t="n">
        <v>8</v>
      </c>
      <c r="C126" s="6" t="s">
        <v>339</v>
      </c>
      <c r="D126" s="17" t="n">
        <v>0.5</v>
      </c>
      <c r="E126" s="6"/>
    </row>
    <row r="127" customFormat="false" ht="15" hidden="false" customHeight="true" outlineLevel="0" collapsed="false">
      <c r="A127" s="6" t="s">
        <v>63</v>
      </c>
      <c r="B127" s="6" t="n">
        <v>9</v>
      </c>
      <c r="C127" s="6" t="s">
        <v>339</v>
      </c>
      <c r="D127" s="17" t="n">
        <v>0.5</v>
      </c>
      <c r="E127" s="6"/>
    </row>
    <row r="128" customFormat="false" ht="15" hidden="false" customHeight="true" outlineLevel="0" collapsed="false">
      <c r="A128" s="6" t="s">
        <v>63</v>
      </c>
      <c r="B128" s="6" t="n">
        <v>10</v>
      </c>
      <c r="C128" s="6" t="s">
        <v>339</v>
      </c>
      <c r="D128" s="17" t="n">
        <v>0.5</v>
      </c>
      <c r="E128" s="6"/>
    </row>
    <row r="129" customFormat="false" ht="15" hidden="false" customHeight="true" outlineLevel="0" collapsed="false">
      <c r="A129" s="6" t="s">
        <v>63</v>
      </c>
      <c r="B129" s="6" t="n">
        <v>11</v>
      </c>
      <c r="C129" s="6" t="s">
        <v>339</v>
      </c>
      <c r="D129" s="17" t="n">
        <v>0.5</v>
      </c>
      <c r="E129" s="6"/>
    </row>
    <row r="130" customFormat="false" ht="15" hidden="false" customHeight="true" outlineLevel="0" collapsed="false">
      <c r="A130" s="6" t="s">
        <v>67</v>
      </c>
      <c r="B130" s="6" t="n">
        <v>1</v>
      </c>
      <c r="C130" s="6" t="s">
        <v>340</v>
      </c>
      <c r="D130" s="17" t="n">
        <v>0.5</v>
      </c>
      <c r="E130" s="6"/>
    </row>
    <row r="131" customFormat="false" ht="15" hidden="false" customHeight="true" outlineLevel="0" collapsed="false">
      <c r="A131" s="6" t="s">
        <v>67</v>
      </c>
      <c r="B131" s="6" t="n">
        <v>2</v>
      </c>
      <c r="C131" s="6" t="s">
        <v>340</v>
      </c>
      <c r="D131" s="17" t="n">
        <v>0.5</v>
      </c>
      <c r="E131" s="6"/>
    </row>
    <row r="132" customFormat="false" ht="15" hidden="false" customHeight="true" outlineLevel="0" collapsed="false">
      <c r="A132" s="6" t="s">
        <v>67</v>
      </c>
      <c r="B132" s="6" t="n">
        <v>3</v>
      </c>
      <c r="C132" s="6" t="s">
        <v>340</v>
      </c>
      <c r="D132" s="17" t="n">
        <v>0.5</v>
      </c>
      <c r="E132" s="6"/>
    </row>
    <row r="133" customFormat="false" ht="15" hidden="false" customHeight="true" outlineLevel="0" collapsed="false">
      <c r="A133" s="6" t="s">
        <v>67</v>
      </c>
      <c r="B133" s="6" t="n">
        <v>4</v>
      </c>
      <c r="C133" s="6" t="s">
        <v>340</v>
      </c>
      <c r="D133" s="17" t="n">
        <v>0.5</v>
      </c>
      <c r="E133" s="6"/>
    </row>
    <row r="134" customFormat="false" ht="15" hidden="false" customHeight="true" outlineLevel="0" collapsed="false">
      <c r="A134" s="6" t="s">
        <v>67</v>
      </c>
      <c r="B134" s="6" t="n">
        <v>5</v>
      </c>
      <c r="C134" s="6" t="s">
        <v>340</v>
      </c>
      <c r="D134" s="17" t="n">
        <v>0.5</v>
      </c>
      <c r="E134" s="6"/>
    </row>
    <row r="135" customFormat="false" ht="15" hidden="false" customHeight="true" outlineLevel="0" collapsed="false">
      <c r="A135" s="6" t="s">
        <v>67</v>
      </c>
      <c r="B135" s="6" t="n">
        <v>6</v>
      </c>
      <c r="C135" s="6" t="s">
        <v>340</v>
      </c>
      <c r="D135" s="17" t="n">
        <v>0.5</v>
      </c>
      <c r="E135" s="6"/>
    </row>
    <row r="136" customFormat="false" ht="15" hidden="false" customHeight="true" outlineLevel="0" collapsed="false">
      <c r="A136" s="6" t="s">
        <v>67</v>
      </c>
      <c r="B136" s="6" t="n">
        <v>7</v>
      </c>
      <c r="C136" s="6" t="s">
        <v>340</v>
      </c>
      <c r="D136" s="17" t="n">
        <v>0.5</v>
      </c>
      <c r="E136" s="6"/>
    </row>
    <row r="137" customFormat="false" ht="15" hidden="false" customHeight="true" outlineLevel="0" collapsed="false">
      <c r="A137" s="6" t="s">
        <v>67</v>
      </c>
      <c r="B137" s="6" t="n">
        <v>8</v>
      </c>
      <c r="C137" s="6" t="s">
        <v>340</v>
      </c>
      <c r="D137" s="17" t="n">
        <v>0.5</v>
      </c>
      <c r="E137" s="6"/>
    </row>
    <row r="138" customFormat="false" ht="15" hidden="false" customHeight="true" outlineLevel="0" collapsed="false">
      <c r="A138" s="6" t="s">
        <v>67</v>
      </c>
      <c r="B138" s="6" t="n">
        <v>9</v>
      </c>
      <c r="C138" s="6" t="s">
        <v>340</v>
      </c>
      <c r="D138" s="17" t="n">
        <v>0.5</v>
      </c>
      <c r="E138" s="6"/>
    </row>
    <row r="139" customFormat="false" ht="15" hidden="false" customHeight="true" outlineLevel="0" collapsed="false">
      <c r="A139" s="6" t="s">
        <v>67</v>
      </c>
      <c r="B139" s="6" t="n">
        <v>10</v>
      </c>
      <c r="C139" s="6" t="s">
        <v>340</v>
      </c>
      <c r="D139" s="17" t="n">
        <v>0.5</v>
      </c>
      <c r="E139" s="6"/>
    </row>
    <row r="140" customFormat="false" ht="15" hidden="false" customHeight="true" outlineLevel="0" collapsed="false">
      <c r="A140" s="6" t="s">
        <v>67</v>
      </c>
      <c r="B140" s="6" t="n">
        <v>11</v>
      </c>
      <c r="C140" s="6" t="s">
        <v>340</v>
      </c>
      <c r="D140" s="17" t="n">
        <v>0.5</v>
      </c>
      <c r="E140" s="6"/>
    </row>
    <row r="141" customFormat="false" ht="15" hidden="false" customHeight="true" outlineLevel="0" collapsed="false">
      <c r="A141" s="6" t="s">
        <v>71</v>
      </c>
      <c r="B141" s="6" t="n">
        <v>1</v>
      </c>
      <c r="C141" s="6" t="s">
        <v>334</v>
      </c>
      <c r="D141" s="17" t="n">
        <v>0.25</v>
      </c>
      <c r="E141" s="6"/>
    </row>
    <row r="142" customFormat="false" ht="15" hidden="false" customHeight="true" outlineLevel="0" collapsed="false">
      <c r="A142" s="6" t="s">
        <v>71</v>
      </c>
      <c r="B142" s="6" t="n">
        <v>1</v>
      </c>
      <c r="C142" s="6" t="s">
        <v>335</v>
      </c>
      <c r="D142" s="17" t="n">
        <v>1</v>
      </c>
      <c r="E142" s="6" t="s">
        <v>336</v>
      </c>
    </row>
    <row r="143" customFormat="false" ht="15" hidden="false" customHeight="true" outlineLevel="0" collapsed="false">
      <c r="A143" s="6" t="s">
        <v>71</v>
      </c>
      <c r="B143" s="6" t="n">
        <v>1</v>
      </c>
      <c r="C143" s="6" t="s">
        <v>337</v>
      </c>
      <c r="D143" s="17" t="n">
        <v>0.5</v>
      </c>
      <c r="E143" s="6"/>
    </row>
    <row r="144" customFormat="false" ht="15" hidden="false" customHeight="true" outlineLevel="0" collapsed="false">
      <c r="A144" s="6" t="s">
        <v>71</v>
      </c>
      <c r="B144" s="6" t="n">
        <v>2</v>
      </c>
      <c r="C144" s="6" t="s">
        <v>334</v>
      </c>
      <c r="D144" s="17" t="n">
        <v>0.5</v>
      </c>
      <c r="E144" s="6"/>
    </row>
    <row r="145" customFormat="false" ht="15" hidden="false" customHeight="true" outlineLevel="0" collapsed="false">
      <c r="A145" s="6" t="s">
        <v>71</v>
      </c>
      <c r="B145" s="6" t="n">
        <v>2</v>
      </c>
      <c r="C145" s="6" t="s">
        <v>335</v>
      </c>
      <c r="D145" s="17" t="n">
        <v>2</v>
      </c>
      <c r="E145" s="6" t="s">
        <v>336</v>
      </c>
    </row>
    <row r="146" customFormat="false" ht="15" hidden="false" customHeight="true" outlineLevel="0" collapsed="false">
      <c r="A146" s="6" t="s">
        <v>71</v>
      </c>
      <c r="B146" s="6" t="n">
        <v>2</v>
      </c>
      <c r="C146" s="6" t="s">
        <v>337</v>
      </c>
      <c r="D146" s="17" t="n">
        <v>0.5</v>
      </c>
      <c r="E146" s="6"/>
    </row>
    <row r="147" customFormat="false" ht="15" hidden="false" customHeight="true" outlineLevel="0" collapsed="false">
      <c r="A147" s="6" t="s">
        <v>71</v>
      </c>
      <c r="B147" s="6" t="n">
        <v>3</v>
      </c>
      <c r="C147" s="6" t="s">
        <v>334</v>
      </c>
      <c r="D147" s="17" t="n">
        <v>0.5</v>
      </c>
      <c r="E147" s="6"/>
    </row>
    <row r="148" customFormat="false" ht="15" hidden="false" customHeight="true" outlineLevel="0" collapsed="false">
      <c r="A148" s="6" t="s">
        <v>71</v>
      </c>
      <c r="B148" s="6" t="n">
        <v>3</v>
      </c>
      <c r="C148" s="6" t="s">
        <v>335</v>
      </c>
      <c r="D148" s="17" t="n">
        <v>3</v>
      </c>
      <c r="E148" s="6" t="s">
        <v>336</v>
      </c>
    </row>
    <row r="149" customFormat="false" ht="15" hidden="false" customHeight="true" outlineLevel="0" collapsed="false">
      <c r="A149" s="6" t="s">
        <v>71</v>
      </c>
      <c r="B149" s="6" t="n">
        <v>3</v>
      </c>
      <c r="C149" s="6" t="s">
        <v>337</v>
      </c>
      <c r="D149" s="17" t="n">
        <v>1</v>
      </c>
      <c r="E149" s="6"/>
    </row>
    <row r="150" customFormat="false" ht="15" hidden="false" customHeight="true" outlineLevel="0" collapsed="false">
      <c r="A150" s="6" t="s">
        <v>71</v>
      </c>
      <c r="B150" s="6" t="n">
        <v>4</v>
      </c>
      <c r="C150" s="6" t="s">
        <v>334</v>
      </c>
      <c r="D150" s="17" t="n">
        <v>1</v>
      </c>
      <c r="E150" s="6"/>
    </row>
    <row r="151" customFormat="false" ht="15" hidden="false" customHeight="true" outlineLevel="0" collapsed="false">
      <c r="A151" s="6" t="s">
        <v>71</v>
      </c>
      <c r="B151" s="6" t="n">
        <v>4</v>
      </c>
      <c r="C151" s="6" t="s">
        <v>335</v>
      </c>
      <c r="D151" s="17" t="n">
        <v>4</v>
      </c>
      <c r="E151" s="6" t="s">
        <v>336</v>
      </c>
    </row>
    <row r="152" customFormat="false" ht="15" hidden="false" customHeight="true" outlineLevel="0" collapsed="false">
      <c r="A152" s="6" t="s">
        <v>71</v>
      </c>
      <c r="B152" s="6" t="n">
        <v>4</v>
      </c>
      <c r="C152" s="6" t="s">
        <v>337</v>
      </c>
      <c r="D152" s="17" t="n">
        <v>1</v>
      </c>
      <c r="E152" s="6"/>
    </row>
    <row r="153" customFormat="false" ht="15" hidden="false" customHeight="true" outlineLevel="0" collapsed="false">
      <c r="A153" s="6" t="s">
        <v>75</v>
      </c>
      <c r="B153" s="6" t="n">
        <v>1</v>
      </c>
      <c r="C153" s="6" t="s">
        <v>335</v>
      </c>
      <c r="D153" s="17" t="n">
        <v>1</v>
      </c>
      <c r="E153" s="6" t="s">
        <v>336</v>
      </c>
    </row>
    <row r="154" customFormat="false" ht="15" hidden="false" customHeight="true" outlineLevel="0" collapsed="false">
      <c r="A154" s="6" t="s">
        <v>75</v>
      </c>
      <c r="B154" s="6" t="n">
        <v>1</v>
      </c>
      <c r="C154" s="6" t="s">
        <v>334</v>
      </c>
      <c r="D154" s="17" t="n">
        <v>0.25</v>
      </c>
      <c r="E154" s="6"/>
    </row>
    <row r="155" customFormat="false" ht="15" hidden="false" customHeight="true" outlineLevel="0" collapsed="false">
      <c r="A155" s="6" t="s">
        <v>75</v>
      </c>
      <c r="B155" s="6" t="n">
        <v>2</v>
      </c>
      <c r="C155" s="6" t="s">
        <v>335</v>
      </c>
      <c r="D155" s="17" t="n">
        <v>2</v>
      </c>
      <c r="E155" s="6" t="s">
        <v>336</v>
      </c>
    </row>
    <row r="156" customFormat="false" ht="15" hidden="false" customHeight="true" outlineLevel="0" collapsed="false">
      <c r="A156" s="6" t="s">
        <v>75</v>
      </c>
      <c r="B156" s="6" t="n">
        <v>2</v>
      </c>
      <c r="C156" s="6" t="s">
        <v>334</v>
      </c>
      <c r="D156" s="17" t="n">
        <v>0.5</v>
      </c>
      <c r="E156" s="6"/>
    </row>
    <row r="157" customFormat="false" ht="15" hidden="false" customHeight="true" outlineLevel="0" collapsed="false">
      <c r="A157" s="6" t="s">
        <v>79</v>
      </c>
      <c r="B157" s="6" t="n">
        <v>1</v>
      </c>
      <c r="C157" s="6" t="s">
        <v>334</v>
      </c>
      <c r="D157" s="17" t="n">
        <v>0.25</v>
      </c>
      <c r="E157" s="6"/>
    </row>
    <row r="158" customFormat="false" ht="15" hidden="false" customHeight="true" outlineLevel="0" collapsed="false">
      <c r="A158" s="6" t="s">
        <v>79</v>
      </c>
      <c r="B158" s="6" t="n">
        <v>1</v>
      </c>
      <c r="C158" s="6" t="s">
        <v>335</v>
      </c>
      <c r="D158" s="17" t="n">
        <v>1.5</v>
      </c>
      <c r="E158" s="6" t="s">
        <v>336</v>
      </c>
    </row>
    <row r="159" customFormat="false" ht="15" hidden="false" customHeight="true" outlineLevel="0" collapsed="false">
      <c r="A159" s="6" t="s">
        <v>79</v>
      </c>
      <c r="B159" s="6" t="n">
        <v>1</v>
      </c>
      <c r="C159" s="6" t="s">
        <v>337</v>
      </c>
      <c r="D159" s="17" t="n">
        <v>2</v>
      </c>
      <c r="E159" s="6"/>
    </row>
    <row r="160" customFormat="false" ht="15" hidden="false" customHeight="true" outlineLevel="0" collapsed="false">
      <c r="A160" s="6" t="s">
        <v>79</v>
      </c>
      <c r="B160" s="6" t="n">
        <v>2</v>
      </c>
      <c r="C160" s="6" t="s">
        <v>334</v>
      </c>
      <c r="D160" s="17" t="n">
        <v>0.5</v>
      </c>
      <c r="E160" s="6"/>
    </row>
    <row r="161" customFormat="false" ht="15" hidden="false" customHeight="true" outlineLevel="0" collapsed="false">
      <c r="A161" s="6" t="s">
        <v>79</v>
      </c>
      <c r="B161" s="6" t="n">
        <v>2</v>
      </c>
      <c r="C161" s="6" t="s">
        <v>335</v>
      </c>
      <c r="D161" s="17" t="n">
        <v>1.5</v>
      </c>
      <c r="E161" s="6" t="s">
        <v>336</v>
      </c>
    </row>
    <row r="162" customFormat="false" ht="15" hidden="false" customHeight="true" outlineLevel="0" collapsed="false">
      <c r="A162" s="6" t="s">
        <v>79</v>
      </c>
      <c r="B162" s="6" t="n">
        <v>2</v>
      </c>
      <c r="C162" s="6" t="s">
        <v>337</v>
      </c>
      <c r="D162" s="17" t="n">
        <v>2</v>
      </c>
      <c r="E162" s="6"/>
    </row>
    <row r="163" customFormat="false" ht="15" hidden="false" customHeight="true" outlineLevel="0" collapsed="false">
      <c r="A163" s="6" t="s">
        <v>79</v>
      </c>
      <c r="B163" s="6" t="n">
        <v>2</v>
      </c>
      <c r="C163" s="6" t="s">
        <v>338</v>
      </c>
      <c r="D163" s="17" t="n">
        <v>0.5</v>
      </c>
      <c r="E163" s="6"/>
    </row>
    <row r="164" customFormat="false" ht="15" hidden="false" customHeight="true" outlineLevel="0" collapsed="false">
      <c r="A164" s="6" t="s">
        <v>79</v>
      </c>
      <c r="B164" s="6" t="n">
        <v>3</v>
      </c>
      <c r="C164" s="6" t="s">
        <v>334</v>
      </c>
      <c r="D164" s="17" t="n">
        <v>1</v>
      </c>
      <c r="E164" s="6"/>
    </row>
    <row r="165" customFormat="false" ht="15" hidden="false" customHeight="true" outlineLevel="0" collapsed="false">
      <c r="A165" s="6" t="s">
        <v>79</v>
      </c>
      <c r="B165" s="6" t="n">
        <v>3</v>
      </c>
      <c r="C165" s="6" t="s">
        <v>335</v>
      </c>
      <c r="D165" s="17" t="n">
        <v>2</v>
      </c>
      <c r="E165" s="6" t="s">
        <v>336</v>
      </c>
    </row>
    <row r="166" customFormat="false" ht="15" hidden="false" customHeight="true" outlineLevel="0" collapsed="false">
      <c r="A166" s="6" t="s">
        <v>79</v>
      </c>
      <c r="B166" s="6" t="n">
        <v>3</v>
      </c>
      <c r="C166" s="6" t="s">
        <v>337</v>
      </c>
      <c r="D166" s="17" t="n">
        <v>2</v>
      </c>
      <c r="E166" s="6"/>
    </row>
    <row r="167" customFormat="false" ht="15" hidden="false" customHeight="true" outlineLevel="0" collapsed="false">
      <c r="A167" s="6" t="s">
        <v>79</v>
      </c>
      <c r="B167" s="6" t="n">
        <v>4</v>
      </c>
      <c r="C167" s="6" t="s">
        <v>334</v>
      </c>
      <c r="D167" s="17" t="n">
        <v>1</v>
      </c>
      <c r="E167" s="6"/>
    </row>
    <row r="168" customFormat="false" ht="15" hidden="false" customHeight="true" outlineLevel="0" collapsed="false">
      <c r="A168" s="6" t="s">
        <v>79</v>
      </c>
      <c r="B168" s="6" t="n">
        <v>4</v>
      </c>
      <c r="C168" s="6" t="s">
        <v>335</v>
      </c>
      <c r="D168" s="17" t="n">
        <v>2.5</v>
      </c>
      <c r="E168" s="6" t="s">
        <v>336</v>
      </c>
    </row>
    <row r="169" customFormat="false" ht="15" hidden="false" customHeight="true" outlineLevel="0" collapsed="false">
      <c r="A169" s="6" t="s">
        <v>79</v>
      </c>
      <c r="B169" s="6" t="n">
        <v>4</v>
      </c>
      <c r="C169" s="6" t="s">
        <v>337</v>
      </c>
      <c r="D169" s="17" t="n">
        <v>2</v>
      </c>
      <c r="E169" s="6"/>
    </row>
    <row r="170" customFormat="false" ht="15" hidden="false" customHeight="true" outlineLevel="0" collapsed="false">
      <c r="A170" s="6" t="s">
        <v>79</v>
      </c>
      <c r="B170" s="6" t="n">
        <v>4</v>
      </c>
      <c r="C170" s="6" t="s">
        <v>338</v>
      </c>
      <c r="D170" s="17" t="n">
        <v>1</v>
      </c>
      <c r="E170" s="6"/>
    </row>
    <row r="171" customFormat="false" ht="15" hidden="false" customHeight="true" outlineLevel="0" collapsed="false">
      <c r="A171" s="6" t="s">
        <v>84</v>
      </c>
      <c r="B171" s="6" t="n">
        <v>1</v>
      </c>
      <c r="C171" s="6" t="s">
        <v>334</v>
      </c>
      <c r="D171" s="17" t="n">
        <v>1</v>
      </c>
      <c r="E171" s="6"/>
    </row>
    <row r="172" customFormat="false" ht="15" hidden="false" customHeight="true" outlineLevel="0" collapsed="false">
      <c r="A172" s="6" t="s">
        <v>84</v>
      </c>
      <c r="B172" s="6" t="n">
        <v>1</v>
      </c>
      <c r="C172" s="6" t="s">
        <v>335</v>
      </c>
      <c r="D172" s="17" t="n">
        <v>2</v>
      </c>
      <c r="E172" s="6" t="s">
        <v>336</v>
      </c>
    </row>
    <row r="173" customFormat="false" ht="15" hidden="false" customHeight="true" outlineLevel="0" collapsed="false">
      <c r="A173" s="6" t="s">
        <v>84</v>
      </c>
      <c r="B173" s="6" t="n">
        <v>1</v>
      </c>
      <c r="C173" s="6" t="s">
        <v>341</v>
      </c>
      <c r="D173" s="17" t="n">
        <v>2</v>
      </c>
      <c r="E173" s="6"/>
    </row>
    <row r="174" customFormat="false" ht="15" hidden="false" customHeight="true" outlineLevel="0" collapsed="false">
      <c r="A174" s="6" t="s">
        <v>84</v>
      </c>
      <c r="B174" s="6" t="n">
        <v>1</v>
      </c>
      <c r="C174" s="6" t="s">
        <v>337</v>
      </c>
      <c r="D174" s="17" t="n">
        <v>2</v>
      </c>
      <c r="E174" s="6"/>
    </row>
    <row r="175" customFormat="false" ht="15" hidden="false" customHeight="true" outlineLevel="0" collapsed="false">
      <c r="A175" s="6" t="s">
        <v>84</v>
      </c>
      <c r="B175" s="6" t="n">
        <v>2</v>
      </c>
      <c r="C175" s="6" t="s">
        <v>334</v>
      </c>
      <c r="D175" s="17" t="n">
        <v>1</v>
      </c>
      <c r="E175" s="6"/>
    </row>
    <row r="176" customFormat="false" ht="15" hidden="false" customHeight="true" outlineLevel="0" collapsed="false">
      <c r="A176" s="6" t="s">
        <v>84</v>
      </c>
      <c r="B176" s="6" t="n">
        <v>2</v>
      </c>
      <c r="C176" s="6" t="s">
        <v>335</v>
      </c>
      <c r="D176" s="17" t="n">
        <v>2</v>
      </c>
      <c r="E176" s="6" t="s">
        <v>336</v>
      </c>
    </row>
    <row r="177" customFormat="false" ht="15" hidden="false" customHeight="true" outlineLevel="0" collapsed="false">
      <c r="A177" s="6" t="s">
        <v>84</v>
      </c>
      <c r="B177" s="6" t="n">
        <v>2</v>
      </c>
      <c r="C177" s="6" t="s">
        <v>337</v>
      </c>
      <c r="D177" s="17" t="n">
        <v>4</v>
      </c>
      <c r="E177" s="6"/>
    </row>
    <row r="178" customFormat="false" ht="15" hidden="false" customHeight="true" outlineLevel="0" collapsed="false">
      <c r="A178" s="6" t="s">
        <v>84</v>
      </c>
      <c r="B178" s="6" t="n">
        <v>3</v>
      </c>
      <c r="C178" s="6" t="s">
        <v>334</v>
      </c>
      <c r="D178" s="17" t="n">
        <v>1</v>
      </c>
      <c r="E178" s="6"/>
    </row>
    <row r="179" customFormat="false" ht="15" hidden="false" customHeight="true" outlineLevel="0" collapsed="false">
      <c r="A179" s="6" t="s">
        <v>84</v>
      </c>
      <c r="B179" s="6" t="n">
        <v>3</v>
      </c>
      <c r="C179" s="6" t="s">
        <v>335</v>
      </c>
      <c r="D179" s="17" t="n">
        <v>4</v>
      </c>
      <c r="E179" s="6" t="s">
        <v>336</v>
      </c>
    </row>
    <row r="180" customFormat="false" ht="15" hidden="false" customHeight="true" outlineLevel="0" collapsed="false">
      <c r="A180" s="6" t="s">
        <v>84</v>
      </c>
      <c r="B180" s="6" t="n">
        <v>3</v>
      </c>
      <c r="C180" s="6" t="s">
        <v>337</v>
      </c>
      <c r="D180" s="17" t="n">
        <v>5</v>
      </c>
      <c r="E180" s="6"/>
    </row>
    <row r="181" customFormat="false" ht="15" hidden="false" customHeight="true" outlineLevel="0" collapsed="false">
      <c r="A181" s="6" t="s">
        <v>84</v>
      </c>
      <c r="B181" s="6" t="n">
        <v>4</v>
      </c>
      <c r="C181" s="6" t="s">
        <v>334</v>
      </c>
      <c r="D181" s="17" t="n">
        <v>1</v>
      </c>
      <c r="E181" s="6"/>
    </row>
    <row r="182" customFormat="false" ht="15" hidden="false" customHeight="true" outlineLevel="0" collapsed="false">
      <c r="A182" s="6" t="s">
        <v>84</v>
      </c>
      <c r="B182" s="6" t="n">
        <v>4</v>
      </c>
      <c r="C182" s="6" t="s">
        <v>335</v>
      </c>
      <c r="D182" s="17" t="n">
        <v>4</v>
      </c>
      <c r="E182" s="6" t="s">
        <v>336</v>
      </c>
    </row>
    <row r="183" customFormat="false" ht="15" hidden="false" customHeight="true" outlineLevel="0" collapsed="false">
      <c r="A183" s="6" t="s">
        <v>84</v>
      </c>
      <c r="B183" s="6" t="n">
        <v>4</v>
      </c>
      <c r="C183" s="6" t="s">
        <v>337</v>
      </c>
      <c r="D183" s="17" t="n">
        <v>6</v>
      </c>
      <c r="E183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6"/>
    <col collapsed="false" customWidth="true" hidden="false" outlineLevel="0" max="3" min="3" style="1" width="26"/>
    <col collapsed="false" customWidth="true" hidden="false" outlineLevel="0" max="4" min="4" style="1" width="48"/>
    <col collapsed="false" customWidth="true" hidden="false" outlineLevel="0" max="5" min="5" style="1" width="50"/>
  </cols>
  <sheetData>
    <row r="1" customFormat="false" ht="15" hidden="false" customHeight="true" outlineLevel="0" collapsed="false">
      <c r="A1" s="5" t="s">
        <v>278</v>
      </c>
      <c r="B1" s="5" t="s">
        <v>342</v>
      </c>
      <c r="C1" s="5" t="s">
        <v>343</v>
      </c>
      <c r="D1" s="5" t="s">
        <v>344</v>
      </c>
      <c r="E1" s="5" t="s">
        <v>345</v>
      </c>
    </row>
    <row r="2" customFormat="false" ht="23.25" hidden="false" customHeight="true" outlineLevel="0" collapsed="false">
      <c r="A2" s="6" t="s">
        <v>303</v>
      </c>
      <c r="B2" s="6" t="s">
        <v>346</v>
      </c>
      <c r="C2" s="6" t="s">
        <v>347</v>
      </c>
      <c r="D2" s="6" t="s">
        <v>348</v>
      </c>
      <c r="E2" s="6" t="s">
        <v>349</v>
      </c>
    </row>
    <row r="3" customFormat="false" ht="15" hidden="false" customHeight="true" outlineLevel="0" collapsed="false">
      <c r="A3" s="6" t="s">
        <v>309</v>
      </c>
      <c r="B3" s="6" t="s">
        <v>350</v>
      </c>
      <c r="C3" s="6" t="s">
        <v>351</v>
      </c>
      <c r="D3" s="6" t="s">
        <v>352</v>
      </c>
      <c r="E3" s="6" t="s">
        <v>353</v>
      </c>
    </row>
    <row r="4" customFormat="false" ht="23.25" hidden="false" customHeight="true" outlineLevel="0" collapsed="false">
      <c r="A4" s="6" t="s">
        <v>354</v>
      </c>
      <c r="B4" s="6" t="s">
        <v>355</v>
      </c>
      <c r="C4" s="6" t="s">
        <v>351</v>
      </c>
      <c r="D4" s="6" t="s">
        <v>356</v>
      </c>
      <c r="E4" s="6" t="s">
        <v>357</v>
      </c>
    </row>
    <row r="5" customFormat="false" ht="15" hidden="false" customHeight="true" outlineLevel="0" collapsed="false">
      <c r="A5" s="6" t="s">
        <v>358</v>
      </c>
      <c r="B5" s="6" t="s">
        <v>359</v>
      </c>
      <c r="C5" s="6" t="s">
        <v>351</v>
      </c>
      <c r="D5" s="6" t="s">
        <v>360</v>
      </c>
      <c r="E5" s="6" t="s">
        <v>361</v>
      </c>
    </row>
    <row r="6" customFormat="false" ht="23.25" hidden="false" customHeight="true" outlineLevel="0" collapsed="false">
      <c r="A6" s="6" t="s">
        <v>329</v>
      </c>
      <c r="B6" s="6" t="s">
        <v>362</v>
      </c>
      <c r="C6" s="6" t="s">
        <v>351</v>
      </c>
      <c r="D6" s="6" t="s">
        <v>363</v>
      </c>
      <c r="E6" s="6" t="s">
        <v>353</v>
      </c>
    </row>
    <row r="7" customFormat="false" ht="15" hidden="false" customHeight="true" outlineLevel="0" collapsed="false">
      <c r="A7" s="6" t="s">
        <v>330</v>
      </c>
      <c r="B7" s="6" t="s">
        <v>364</v>
      </c>
      <c r="C7" s="6" t="s">
        <v>351</v>
      </c>
      <c r="D7" s="6" t="s">
        <v>363</v>
      </c>
      <c r="E7" s="6" t="s">
        <v>353</v>
      </c>
    </row>
    <row r="8" customFormat="false" ht="23.25" hidden="false" customHeight="true" outlineLevel="0" collapsed="false">
      <c r="A8" s="6" t="s">
        <v>365</v>
      </c>
      <c r="B8" s="6" t="s">
        <v>366</v>
      </c>
      <c r="C8" s="6" t="s">
        <v>367</v>
      </c>
      <c r="D8" s="6" t="s">
        <v>368</v>
      </c>
      <c r="E8" s="6" t="s">
        <v>369</v>
      </c>
    </row>
    <row r="9" customFormat="false" ht="15" hidden="false" customHeight="true" outlineLevel="0" collapsed="false">
      <c r="A9" s="6" t="s">
        <v>318</v>
      </c>
      <c r="B9" s="6" t="s">
        <v>370</v>
      </c>
      <c r="C9" s="6" t="s">
        <v>371</v>
      </c>
      <c r="D9" s="6" t="s">
        <v>372</v>
      </c>
      <c r="E9" s="6" t="s">
        <v>373</v>
      </c>
    </row>
    <row r="10" customFormat="false" ht="23.25" hidden="false" customHeight="true" outlineLevel="0" collapsed="false">
      <c r="A10" s="6" t="s">
        <v>374</v>
      </c>
      <c r="B10" s="6" t="s">
        <v>375</v>
      </c>
      <c r="C10" s="6" t="s">
        <v>376</v>
      </c>
      <c r="D10" s="6" t="s">
        <v>377</v>
      </c>
      <c r="E10" s="6" t="s">
        <v>378</v>
      </c>
    </row>
    <row r="11" customFormat="false" ht="23.25" hidden="false" customHeight="true" outlineLevel="0" collapsed="false">
      <c r="A11" s="6" t="s">
        <v>379</v>
      </c>
      <c r="B11" s="6" t="s">
        <v>380</v>
      </c>
      <c r="C11" s="6" t="s">
        <v>381</v>
      </c>
      <c r="D11" s="6" t="s">
        <v>382</v>
      </c>
      <c r="E11" s="6" t="s">
        <v>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2"/>
    <col collapsed="false" customWidth="true" hidden="false" outlineLevel="0" max="3" min="3" style="1" width="80"/>
  </cols>
  <sheetData>
    <row r="1" customFormat="false" ht="23.25" hidden="false" customHeight="true" outlineLevel="0" collapsed="false">
      <c r="A1" s="5" t="s">
        <v>384</v>
      </c>
      <c r="B1" s="5" t="s">
        <v>385</v>
      </c>
      <c r="C1" s="5" t="s">
        <v>386</v>
      </c>
    </row>
    <row r="2" customFormat="false" ht="23.25" hidden="false" customHeight="true" outlineLevel="0" collapsed="false">
      <c r="A2" s="6" t="s">
        <v>387</v>
      </c>
      <c r="B2" s="6" t="s">
        <v>388</v>
      </c>
      <c r="C2" s="6" t="s">
        <v>389</v>
      </c>
    </row>
    <row r="3" customFormat="false" ht="23.25" hidden="false" customHeight="true" outlineLevel="0" collapsed="false">
      <c r="A3" s="6" t="s">
        <v>390</v>
      </c>
      <c r="B3" s="6" t="s">
        <v>388</v>
      </c>
      <c r="C3" s="6" t="s">
        <v>391</v>
      </c>
    </row>
    <row r="4" customFormat="false" ht="15" hidden="false" customHeight="true" outlineLevel="0" collapsed="false">
      <c r="A4" s="6" t="s">
        <v>392</v>
      </c>
      <c r="B4" s="6" t="s">
        <v>388</v>
      </c>
      <c r="C4" s="6" t="s">
        <v>393</v>
      </c>
    </row>
    <row r="5" customFormat="false" ht="15" hidden="false" customHeight="true" outlineLevel="0" collapsed="false">
      <c r="A5" s="6" t="s">
        <v>394</v>
      </c>
      <c r="B5" s="6" t="s">
        <v>388</v>
      </c>
      <c r="C5" s="6" t="s">
        <v>395</v>
      </c>
    </row>
    <row r="6" customFormat="false" ht="23.25" hidden="false" customHeight="true" outlineLevel="0" collapsed="false">
      <c r="A6" s="6" t="s">
        <v>396</v>
      </c>
      <c r="B6" s="6" t="s">
        <v>397</v>
      </c>
      <c r="C6" s="6" t="s">
        <v>398</v>
      </c>
    </row>
    <row r="7" customFormat="false" ht="15" hidden="false" customHeight="true" outlineLevel="0" collapsed="false">
      <c r="A7" s="6" t="s">
        <v>399</v>
      </c>
      <c r="B7" s="6" t="s">
        <v>397</v>
      </c>
      <c r="C7" s="6" t="s">
        <v>400</v>
      </c>
    </row>
    <row r="8" customFormat="false" ht="15" hidden="false" customHeight="true" outlineLevel="0" collapsed="false">
      <c r="A8" s="6" t="s">
        <v>401</v>
      </c>
      <c r="B8" s="6" t="s">
        <v>397</v>
      </c>
      <c r="C8" s="6" t="s">
        <v>402</v>
      </c>
    </row>
    <row r="9" customFormat="false" ht="15" hidden="false" customHeight="true" outlineLevel="0" collapsed="false">
      <c r="A9" s="6" t="s">
        <v>403</v>
      </c>
      <c r="B9" s="6" t="s">
        <v>397</v>
      </c>
      <c r="C9" s="6" t="s">
        <v>404</v>
      </c>
    </row>
    <row r="10" customFormat="false" ht="15" hidden="false" customHeight="true" outlineLevel="0" collapsed="false">
      <c r="A10" s="6" t="s">
        <v>405</v>
      </c>
      <c r="B10" s="6" t="s">
        <v>397</v>
      </c>
      <c r="C10" s="6" t="s">
        <v>406</v>
      </c>
    </row>
    <row r="11" customFormat="false" ht="15" hidden="false" customHeight="true" outlineLevel="0" collapsed="false">
      <c r="A11" s="6" t="s">
        <v>407</v>
      </c>
      <c r="B11" s="6" t="s">
        <v>397</v>
      </c>
      <c r="C11" s="6" t="s">
        <v>408</v>
      </c>
    </row>
    <row r="12" customFormat="false" ht="15" hidden="false" customHeight="true" outlineLevel="0" collapsed="false">
      <c r="A12" s="6" t="s">
        <v>409</v>
      </c>
      <c r="B12" s="6" t="s">
        <v>397</v>
      </c>
      <c r="C12" s="6" t="s">
        <v>410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6"/>
    <col collapsed="false" customWidth="true" hidden="false" outlineLevel="0" max="3" min="3" style="1" width="36"/>
    <col collapsed="false" customWidth="true" hidden="false" outlineLevel="0" max="5" min="4" style="1" width="10"/>
    <col collapsed="false" customWidth="true" hidden="false" outlineLevel="0" max="6" min="6" style="1" width="11"/>
    <col collapsed="false" customWidth="true" hidden="false" outlineLevel="0" max="7" min="7" style="1" width="8"/>
    <col collapsed="false" customWidth="true" hidden="false" outlineLevel="0" max="9" min="8" style="1" width="10"/>
    <col collapsed="false" customWidth="true" hidden="false" outlineLevel="0" max="10" min="10" style="1" width="12"/>
    <col collapsed="false" customWidth="true" hidden="false" outlineLevel="0" max="11" min="11" style="1" width="10"/>
    <col collapsed="false" customWidth="true" hidden="false" outlineLevel="0" max="12" min="12" style="1" width="18"/>
    <col collapsed="false" customWidth="true" hidden="false" outlineLevel="0" max="13" min="13" style="1" width="10"/>
  </cols>
  <sheetData>
    <row r="1" customFormat="false" ht="34.5" hidden="false" customHeight="true" outlineLevel="0" collapsed="false">
      <c r="A1" s="5" t="s">
        <v>278</v>
      </c>
      <c r="B1" s="5" t="s">
        <v>411</v>
      </c>
      <c r="C1" s="5" t="s">
        <v>279</v>
      </c>
      <c r="D1" s="5" t="s">
        <v>287</v>
      </c>
      <c r="E1" s="5" t="s">
        <v>412</v>
      </c>
      <c r="F1" s="5" t="s">
        <v>413</v>
      </c>
      <c r="G1" s="5" t="s">
        <v>414</v>
      </c>
      <c r="H1" s="5" t="s">
        <v>415</v>
      </c>
      <c r="I1" s="5" t="s">
        <v>416</v>
      </c>
      <c r="J1" s="5" t="s">
        <v>417</v>
      </c>
      <c r="K1" s="5" t="s">
        <v>288</v>
      </c>
      <c r="L1" s="5" t="s">
        <v>418</v>
      </c>
      <c r="M1" s="5" t="s">
        <v>289</v>
      </c>
    </row>
    <row r="2" customFormat="false" ht="15" hidden="false" customHeight="true" outlineLevel="0" collapsed="false">
      <c r="A2" s="6" t="s">
        <v>294</v>
      </c>
      <c r="B2" s="6" t="s">
        <v>419</v>
      </c>
      <c r="C2" s="6" t="s">
        <v>420</v>
      </c>
      <c r="D2" s="22" t="n">
        <v>1882</v>
      </c>
      <c r="E2" s="22" t="n">
        <v>5223</v>
      </c>
      <c r="F2" s="22" t="n">
        <v>14259</v>
      </c>
      <c r="G2" s="6" t="s">
        <v>421</v>
      </c>
      <c r="H2" s="22"/>
      <c r="I2" s="22"/>
      <c r="J2" s="6" t="s">
        <v>422</v>
      </c>
      <c r="K2" s="22" t="n">
        <v>4.56</v>
      </c>
      <c r="L2" s="6" t="s">
        <v>423</v>
      </c>
      <c r="M2" s="22" t="n">
        <v>1800</v>
      </c>
    </row>
    <row r="3" customFormat="false" ht="15" hidden="false" customHeight="true" outlineLevel="0" collapsed="false">
      <c r="A3" s="6" t="s">
        <v>296</v>
      </c>
      <c r="B3" s="6" t="s">
        <v>419</v>
      </c>
      <c r="C3" s="6" t="s">
        <v>424</v>
      </c>
      <c r="D3" s="22" t="n">
        <v>2126</v>
      </c>
      <c r="E3" s="22" t="n">
        <v>5764</v>
      </c>
      <c r="F3" s="22" t="n">
        <v>15715</v>
      </c>
      <c r="G3" s="6" t="s">
        <v>421</v>
      </c>
      <c r="H3" s="22"/>
      <c r="I3" s="22"/>
      <c r="J3" s="6" t="s">
        <v>422</v>
      </c>
      <c r="K3" s="22" t="n">
        <v>4.38</v>
      </c>
      <c r="L3" s="6" t="s">
        <v>423</v>
      </c>
      <c r="M3" s="22" t="n">
        <v>1800</v>
      </c>
    </row>
    <row r="4" customFormat="false" ht="23.25" hidden="false" customHeight="true" outlineLevel="0" collapsed="false">
      <c r="A4" s="6" t="s">
        <v>322</v>
      </c>
      <c r="B4" s="6" t="s">
        <v>425</v>
      </c>
      <c r="C4" s="6" t="s">
        <v>426</v>
      </c>
      <c r="D4" s="22" t="n">
        <v>1050</v>
      </c>
      <c r="E4" s="22" t="n">
        <v>2575</v>
      </c>
      <c r="F4" s="22" t="n">
        <v>6400</v>
      </c>
      <c r="G4" s="6" t="s">
        <v>421</v>
      </c>
      <c r="H4" s="22"/>
      <c r="I4" s="22"/>
      <c r="J4" s="6" t="s">
        <v>427</v>
      </c>
      <c r="K4" s="22" t="n">
        <v>0</v>
      </c>
      <c r="L4" s="6" t="s">
        <v>428</v>
      </c>
      <c r="M4" s="22" t="n">
        <v>400</v>
      </c>
    </row>
    <row r="5" customFormat="false" ht="23.25" hidden="false" customHeight="true" outlineLevel="0" collapsed="false">
      <c r="A5" s="6" t="s">
        <v>323</v>
      </c>
      <c r="B5" s="6" t="s">
        <v>425</v>
      </c>
      <c r="C5" s="6" t="s">
        <v>429</v>
      </c>
      <c r="D5" s="22" t="n">
        <v>1600</v>
      </c>
      <c r="E5" s="22" t="n">
        <v>3975</v>
      </c>
      <c r="F5" s="22" t="n">
        <v>9900</v>
      </c>
      <c r="G5" s="6" t="s">
        <v>430</v>
      </c>
      <c r="H5" s="22"/>
      <c r="I5" s="22"/>
      <c r="J5" s="6" t="s">
        <v>427</v>
      </c>
      <c r="K5" s="22" t="n">
        <v>0</v>
      </c>
      <c r="L5" s="6" t="s">
        <v>428</v>
      </c>
      <c r="M5" s="22" t="n">
        <v>400</v>
      </c>
    </row>
    <row r="6" customFormat="false" ht="23.25" hidden="false" customHeight="true" outlineLevel="0" collapsed="false">
      <c r="A6" s="6" t="s">
        <v>306</v>
      </c>
      <c r="B6" s="6" t="s">
        <v>425</v>
      </c>
      <c r="C6" s="6" t="s">
        <v>431</v>
      </c>
      <c r="D6" s="22" t="n">
        <v>560</v>
      </c>
      <c r="E6" s="22" t="n">
        <v>1670</v>
      </c>
      <c r="F6" s="22" t="n">
        <v>5000</v>
      </c>
      <c r="G6" s="6" t="s">
        <v>430</v>
      </c>
      <c r="H6" s="22"/>
      <c r="I6" s="22"/>
      <c r="J6" s="6" t="s">
        <v>427</v>
      </c>
      <c r="K6" s="22" t="n">
        <v>0</v>
      </c>
      <c r="L6" s="6" t="s">
        <v>428</v>
      </c>
      <c r="M6" s="22" t="n">
        <v>400</v>
      </c>
    </row>
    <row r="7" customFormat="false" ht="15" hidden="false" customHeight="true" outlineLevel="0" collapsed="false">
      <c r="A7" s="6" t="s">
        <v>326</v>
      </c>
      <c r="B7" s="6" t="s">
        <v>432</v>
      </c>
      <c r="C7" s="6" t="s">
        <v>433</v>
      </c>
      <c r="D7" s="22" t="n">
        <v>500</v>
      </c>
      <c r="E7" s="22" t="n">
        <v>1250</v>
      </c>
      <c r="F7" s="22" t="n">
        <v>3735</v>
      </c>
      <c r="G7" s="6" t="s">
        <v>421</v>
      </c>
      <c r="H7" s="22"/>
      <c r="I7" s="22" t="n">
        <v>104.69</v>
      </c>
      <c r="J7" s="6" t="s">
        <v>422</v>
      </c>
      <c r="K7" s="22" t="n">
        <v>1.46</v>
      </c>
      <c r="L7" s="6" t="s">
        <v>434</v>
      </c>
      <c r="M7" s="22" t="n">
        <v>550</v>
      </c>
    </row>
    <row r="8" customFormat="false" ht="15" hidden="false" customHeight="true" outlineLevel="0" collapsed="false">
      <c r="A8" s="6" t="s">
        <v>330</v>
      </c>
      <c r="B8" s="6" t="s">
        <v>435</v>
      </c>
      <c r="C8" s="6" t="s">
        <v>436</v>
      </c>
      <c r="D8" s="22" t="n">
        <v>240</v>
      </c>
      <c r="E8" s="22" t="n">
        <v>821</v>
      </c>
      <c r="F8" s="22" t="n">
        <v>2418</v>
      </c>
      <c r="G8" s="6" t="s">
        <v>421</v>
      </c>
      <c r="H8" s="22"/>
      <c r="I8" s="22"/>
      <c r="J8" s="6" t="s">
        <v>422</v>
      </c>
      <c r="K8" s="22"/>
      <c r="L8" s="6" t="s">
        <v>437</v>
      </c>
      <c r="M8" s="22" t="n">
        <v>200</v>
      </c>
    </row>
    <row r="9" customFormat="false" ht="15" hidden="false" customHeight="true" outlineLevel="0" collapsed="false">
      <c r="A9" s="6" t="s">
        <v>301</v>
      </c>
      <c r="B9" s="6" t="s">
        <v>438</v>
      </c>
      <c r="C9" s="6" t="s">
        <v>439</v>
      </c>
      <c r="D9" s="22" t="n">
        <v>700</v>
      </c>
      <c r="E9" s="22" t="n">
        <v>1988</v>
      </c>
      <c r="F9" s="22" t="n">
        <v>5083</v>
      </c>
      <c r="G9" s="6" t="s">
        <v>421</v>
      </c>
      <c r="H9" s="22"/>
      <c r="I9" s="22"/>
      <c r="J9" s="6" t="s">
        <v>422</v>
      </c>
      <c r="K9" s="22" t="n">
        <v>2.91</v>
      </c>
      <c r="L9" s="6" t="s">
        <v>434</v>
      </c>
      <c r="M9" s="22" t="n">
        <v>550</v>
      </c>
    </row>
    <row r="10" customFormat="false" ht="23.25" hidden="false" customHeight="true" outlineLevel="0" collapsed="false">
      <c r="A10" s="6" t="s">
        <v>307</v>
      </c>
      <c r="B10" s="6" t="s">
        <v>440</v>
      </c>
      <c r="C10" s="6" t="s">
        <v>441</v>
      </c>
      <c r="D10" s="22" t="n">
        <v>2629</v>
      </c>
      <c r="E10" s="22" t="n">
        <v>7623</v>
      </c>
      <c r="F10" s="22" t="n">
        <v>22107</v>
      </c>
      <c r="G10" s="6" t="s">
        <v>430</v>
      </c>
      <c r="H10" s="22"/>
      <c r="I10" s="22"/>
      <c r="J10" s="6" t="s">
        <v>422</v>
      </c>
      <c r="K10" s="22" t="n">
        <v>6.84</v>
      </c>
      <c r="L10" s="6" t="s">
        <v>423</v>
      </c>
      <c r="M10" s="22" t="n">
        <v>1800</v>
      </c>
    </row>
    <row r="11" customFormat="false" ht="23.25" hidden="false" customHeight="true" outlineLevel="0" collapsed="false">
      <c r="A11" s="6" t="s">
        <v>310</v>
      </c>
      <c r="B11" s="6" t="s">
        <v>440</v>
      </c>
      <c r="C11" s="6" t="s">
        <v>442</v>
      </c>
      <c r="D11" s="22" t="n">
        <v>4034</v>
      </c>
      <c r="E11" s="22" t="n">
        <v>11697</v>
      </c>
      <c r="F11" s="22" t="n">
        <v>33922</v>
      </c>
      <c r="G11" s="6" t="s">
        <v>430</v>
      </c>
      <c r="H11" s="22"/>
      <c r="I11" s="22"/>
      <c r="J11" s="6" t="s">
        <v>422</v>
      </c>
      <c r="K11" s="22" t="n">
        <v>10.06</v>
      </c>
      <c r="L11" s="6" t="s">
        <v>423</v>
      </c>
      <c r="M11" s="22" t="n">
        <v>1800</v>
      </c>
    </row>
    <row r="12" customFormat="false" ht="23.25" hidden="false" customHeight="true" outlineLevel="0" collapsed="false">
      <c r="A12" s="6" t="s">
        <v>329</v>
      </c>
      <c r="B12" s="6" t="s">
        <v>362</v>
      </c>
      <c r="C12" s="6" t="s">
        <v>443</v>
      </c>
      <c r="D12" s="22" t="n">
        <v>298</v>
      </c>
      <c r="E12" s="22" t="n">
        <v>1030</v>
      </c>
      <c r="F12" s="22" t="n">
        <v>3090</v>
      </c>
      <c r="G12" s="6" t="s">
        <v>421</v>
      </c>
      <c r="H12" s="22"/>
      <c r="I12" s="22"/>
      <c r="J12" s="6" t="s">
        <v>422</v>
      </c>
      <c r="K12" s="22"/>
      <c r="L12" s="6" t="s">
        <v>444</v>
      </c>
      <c r="M12" s="22" t="n">
        <v>500</v>
      </c>
    </row>
    <row r="13" customFormat="false" ht="15" hidden="false" customHeight="true" outlineLevel="0" collapsed="false">
      <c r="A13" s="6" t="s">
        <v>312</v>
      </c>
      <c r="B13" s="6" t="s">
        <v>445</v>
      </c>
      <c r="C13" s="6" t="s">
        <v>446</v>
      </c>
      <c r="D13" s="22" t="n">
        <v>500</v>
      </c>
      <c r="E13" s="22" t="n">
        <v>1700</v>
      </c>
      <c r="F13" s="22" t="n">
        <v>4200</v>
      </c>
      <c r="G13" s="6" t="s">
        <v>421</v>
      </c>
      <c r="H13" s="22"/>
      <c r="I13" s="22" t="n">
        <v>50.3</v>
      </c>
      <c r="J13" s="6" t="s">
        <v>422</v>
      </c>
      <c r="K13" s="22" t="n">
        <v>3.3</v>
      </c>
      <c r="L13" s="6" t="s">
        <v>444</v>
      </c>
      <c r="M13" s="22" t="n">
        <v>500</v>
      </c>
    </row>
    <row r="14" customFormat="false" ht="15" hidden="false" customHeight="true" outlineLevel="0" collapsed="false">
      <c r="A14" s="6" t="s">
        <v>318</v>
      </c>
      <c r="B14" s="6" t="s">
        <v>447</v>
      </c>
      <c r="C14" s="6" t="s">
        <v>448</v>
      </c>
      <c r="D14" s="22"/>
      <c r="E14" s="22"/>
      <c r="F14" s="22"/>
      <c r="G14" s="6" t="s">
        <v>421</v>
      </c>
      <c r="H14" s="22" t="n">
        <v>106.14</v>
      </c>
      <c r="I14" s="22"/>
      <c r="J14" s="6" t="s">
        <v>422</v>
      </c>
      <c r="K14" s="22"/>
      <c r="L14" s="6" t="s">
        <v>449</v>
      </c>
      <c r="M14" s="22"/>
    </row>
    <row r="15" customFormat="false" ht="15" hidden="false" customHeight="true" outlineLevel="0" collapsed="false">
      <c r="A15" s="6" t="s">
        <v>300</v>
      </c>
      <c r="B15" s="6" t="s">
        <v>450</v>
      </c>
      <c r="C15" s="6" t="s">
        <v>451</v>
      </c>
      <c r="D15" s="22" t="n">
        <v>875</v>
      </c>
      <c r="E15" s="22" t="n">
        <v>2629</v>
      </c>
      <c r="F15" s="22" t="n">
        <v>6900</v>
      </c>
      <c r="G15" s="6" t="s">
        <v>421</v>
      </c>
      <c r="H15" s="22"/>
      <c r="I15" s="22" t="n">
        <v>57.12</v>
      </c>
      <c r="J15" s="6" t="s">
        <v>422</v>
      </c>
      <c r="K15" s="22" t="n">
        <v>1.93</v>
      </c>
      <c r="L15" s="6" t="s">
        <v>434</v>
      </c>
      <c r="M15" s="22" t="n">
        <v>550</v>
      </c>
    </row>
    <row r="16" customFormat="false" ht="15" hidden="false" customHeight="true" outlineLevel="0" collapsed="false">
      <c r="A16" s="6" t="s">
        <v>315</v>
      </c>
      <c r="B16" s="6" t="s">
        <v>450</v>
      </c>
      <c r="C16" s="6" t="s">
        <v>452</v>
      </c>
      <c r="D16" s="22" t="n">
        <v>1142</v>
      </c>
      <c r="E16" s="22" t="n">
        <v>3062</v>
      </c>
      <c r="F16" s="22" t="n">
        <v>8302</v>
      </c>
      <c r="G16" s="6" t="s">
        <v>421</v>
      </c>
      <c r="H16" s="22"/>
      <c r="I16" s="22" t="n">
        <v>76.27</v>
      </c>
      <c r="J16" s="6" t="s">
        <v>422</v>
      </c>
      <c r="K16" s="22" t="n">
        <v>2.85</v>
      </c>
      <c r="L16" s="6" t="s">
        <v>434</v>
      </c>
      <c r="M16" s="22" t="n">
        <v>550</v>
      </c>
    </row>
    <row r="17" customFormat="false" ht="15" hidden="false" customHeight="true" outlineLevel="0" collapsed="false">
      <c r="A17" s="6" t="s">
        <v>304</v>
      </c>
      <c r="B17" s="6" t="s">
        <v>450</v>
      </c>
      <c r="C17" s="6" t="s">
        <v>453</v>
      </c>
      <c r="D17" s="22" t="n">
        <v>1554</v>
      </c>
      <c r="E17" s="22" t="n">
        <v>4210</v>
      </c>
      <c r="F17" s="22" t="n">
        <v>11461</v>
      </c>
      <c r="G17" s="6" t="s">
        <v>421</v>
      </c>
      <c r="H17" s="22"/>
      <c r="I17" s="22" t="n">
        <v>94.42</v>
      </c>
      <c r="J17" s="6" t="s">
        <v>422</v>
      </c>
      <c r="K17" s="22" t="n">
        <v>4.12</v>
      </c>
      <c r="L17" s="6" t="s">
        <v>434</v>
      </c>
      <c r="M17" s="22" t="n">
        <v>550</v>
      </c>
    </row>
    <row r="18" customFormat="false" ht="15" hidden="false" customHeight="true" outlineLevel="0" collapsed="false">
      <c r="A18" s="6" t="s">
        <v>305</v>
      </c>
      <c r="B18" s="6" t="s">
        <v>450</v>
      </c>
      <c r="C18" s="6" t="s">
        <v>454</v>
      </c>
      <c r="D18" s="22" t="n">
        <v>2111</v>
      </c>
      <c r="E18" s="22" t="n">
        <v>5730</v>
      </c>
      <c r="F18" s="22" t="n">
        <v>15656</v>
      </c>
      <c r="G18" s="6" t="s">
        <v>421</v>
      </c>
      <c r="H18" s="22"/>
      <c r="I18" s="22" t="n">
        <v>117.51</v>
      </c>
      <c r="J18" s="6" t="s">
        <v>422</v>
      </c>
      <c r="K18" s="22" t="n">
        <v>4.82</v>
      </c>
      <c r="L18" s="6" t="s">
        <v>434</v>
      </c>
      <c r="M18" s="22" t="n">
        <v>550</v>
      </c>
    </row>
    <row r="19" customFormat="false" ht="15" hidden="false" customHeight="true" outlineLevel="0" collapsed="false">
      <c r="A19" s="6" t="s">
        <v>308</v>
      </c>
      <c r="B19" s="6" t="s">
        <v>450</v>
      </c>
      <c r="C19" s="6" t="s">
        <v>455</v>
      </c>
      <c r="D19" s="22" t="n">
        <v>4170</v>
      </c>
      <c r="E19" s="22" t="n">
        <v>12092</v>
      </c>
      <c r="F19" s="22" t="n">
        <v>35066</v>
      </c>
      <c r="G19" s="6" t="s">
        <v>430</v>
      </c>
      <c r="H19" s="22"/>
      <c r="I19" s="22" t="n">
        <v>182.04</v>
      </c>
      <c r="J19" s="6" t="s">
        <v>422</v>
      </c>
      <c r="K19" s="22" t="n">
        <v>8.59</v>
      </c>
      <c r="L19" s="6" t="s">
        <v>423</v>
      </c>
      <c r="M19" s="22" t="n">
        <v>1800</v>
      </c>
    </row>
    <row r="20" customFormat="false" ht="15" hidden="false" customHeight="true" outlineLevel="0" collapsed="false">
      <c r="A20" s="6" t="s">
        <v>290</v>
      </c>
      <c r="B20" s="6" t="s">
        <v>456</v>
      </c>
      <c r="C20" s="6" t="s">
        <v>457</v>
      </c>
      <c r="D20" s="22" t="n">
        <v>855</v>
      </c>
      <c r="E20" s="22" t="n">
        <v>2463</v>
      </c>
      <c r="F20" s="22" t="n">
        <v>6513</v>
      </c>
      <c r="G20" s="6" t="s">
        <v>421</v>
      </c>
      <c r="H20" s="22"/>
      <c r="I20" s="22" t="n">
        <v>91.14</v>
      </c>
      <c r="J20" s="6" t="s">
        <v>422</v>
      </c>
      <c r="K20" s="22" t="n">
        <v>2.97</v>
      </c>
      <c r="L20" s="6" t="s">
        <v>434</v>
      </c>
      <c r="M20" s="22" t="n">
        <v>550</v>
      </c>
    </row>
    <row r="21" customFormat="false" ht="15" hidden="false" customHeight="true" outlineLevel="0" collapsed="false">
      <c r="A21" s="6" t="s">
        <v>295</v>
      </c>
      <c r="B21" s="6" t="s">
        <v>456</v>
      </c>
      <c r="C21" s="6" t="s">
        <v>458</v>
      </c>
      <c r="D21" s="22" t="n">
        <v>1040</v>
      </c>
      <c r="E21" s="22" t="n">
        <v>2927</v>
      </c>
      <c r="F21" s="22" t="n">
        <v>7950</v>
      </c>
      <c r="G21" s="6" t="s">
        <v>421</v>
      </c>
      <c r="H21" s="22"/>
      <c r="I21" s="22" t="n">
        <v>97.76</v>
      </c>
      <c r="J21" s="6" t="s">
        <v>422</v>
      </c>
      <c r="K21" s="22" t="n">
        <v>2.78</v>
      </c>
      <c r="L21" s="6" t="s">
        <v>434</v>
      </c>
      <c r="M21" s="22" t="n">
        <v>550</v>
      </c>
    </row>
    <row r="22" customFormat="false" ht="15" hidden="false" customHeight="true" outlineLevel="0" collapsed="false">
      <c r="A22" s="6" t="s">
        <v>297</v>
      </c>
      <c r="B22" s="6" t="s">
        <v>456</v>
      </c>
      <c r="C22" s="6" t="s">
        <v>459</v>
      </c>
      <c r="D22" s="22" t="n">
        <v>1424</v>
      </c>
      <c r="E22" s="22" t="n">
        <v>4019</v>
      </c>
      <c r="F22" s="22" t="n">
        <v>10850</v>
      </c>
      <c r="G22" s="6" t="s">
        <v>421</v>
      </c>
      <c r="H22" s="22"/>
      <c r="I22" s="22" t="n">
        <v>134.52</v>
      </c>
      <c r="J22" s="6" t="s">
        <v>422</v>
      </c>
      <c r="K22" s="22" t="n">
        <v>4.5</v>
      </c>
      <c r="L22" s="6" t="s">
        <v>423</v>
      </c>
      <c r="M22" s="22" t="n">
        <v>1800</v>
      </c>
    </row>
    <row r="23" customFormat="false" ht="15" hidden="false" customHeight="true" outlineLevel="0" collapsed="false">
      <c r="A23" s="6" t="s">
        <v>298</v>
      </c>
      <c r="B23" s="6" t="s">
        <v>456</v>
      </c>
      <c r="C23" s="6" t="s">
        <v>460</v>
      </c>
      <c r="D23" s="22" t="n">
        <v>2250</v>
      </c>
      <c r="E23" s="22" t="n">
        <v>5600</v>
      </c>
      <c r="F23" s="22" t="n">
        <v>14000</v>
      </c>
      <c r="G23" s="6" t="s">
        <v>421</v>
      </c>
      <c r="H23" s="22"/>
      <c r="I23" s="22" t="n">
        <v>174.5</v>
      </c>
      <c r="J23" s="6" t="s">
        <v>422</v>
      </c>
      <c r="K23" s="22" t="n">
        <v>8.02</v>
      </c>
      <c r="L23" s="6" t="s">
        <v>461</v>
      </c>
      <c r="M23" s="22" t="n">
        <v>1913</v>
      </c>
    </row>
    <row r="24" customFormat="false" ht="15" hidden="false" customHeight="true" outlineLevel="0" collapsed="false">
      <c r="A24" s="6" t="s">
        <v>299</v>
      </c>
      <c r="B24" s="6" t="s">
        <v>456</v>
      </c>
      <c r="C24" s="6" t="s">
        <v>462</v>
      </c>
      <c r="D24" s="22" t="n">
        <v>3950</v>
      </c>
      <c r="E24" s="22" t="n">
        <v>10690</v>
      </c>
      <c r="F24" s="22" t="n">
        <v>29160</v>
      </c>
      <c r="G24" s="6" t="s">
        <v>421</v>
      </c>
      <c r="H24" s="22"/>
      <c r="I24" s="22" t="n">
        <v>212.07</v>
      </c>
      <c r="J24" s="6" t="s">
        <v>422</v>
      </c>
      <c r="K24" s="22" t="n">
        <v>9.95</v>
      </c>
      <c r="L24" s="6" t="s">
        <v>461</v>
      </c>
      <c r="M24" s="22" t="n">
        <v>1913</v>
      </c>
    </row>
    <row r="25" customFormat="false" ht="15" hidden="false" customHeight="true" outlineLevel="0" collapsed="false">
      <c r="A25" s="6" t="s">
        <v>325</v>
      </c>
      <c r="B25" s="6" t="s">
        <v>463</v>
      </c>
      <c r="C25" s="6" t="s">
        <v>464</v>
      </c>
      <c r="D25" s="22" t="n">
        <v>1949</v>
      </c>
      <c r="E25" s="22" t="n">
        <v>5652</v>
      </c>
      <c r="F25" s="22" t="n">
        <v>16389</v>
      </c>
      <c r="G25" s="6" t="s">
        <v>430</v>
      </c>
      <c r="H25" s="22"/>
      <c r="I25" s="22" t="n">
        <v>146.12</v>
      </c>
      <c r="J25" s="6" t="s">
        <v>422</v>
      </c>
      <c r="K25" s="22" t="n">
        <v>3.53</v>
      </c>
      <c r="L25" s="6" t="s">
        <v>434</v>
      </c>
      <c r="M25" s="22" t="n">
        <v>550</v>
      </c>
    </row>
    <row r="26" customFormat="false" ht="15" hidden="false" customHeight="true" outlineLevel="0" collapsed="false">
      <c r="A26" s="6" t="s">
        <v>327</v>
      </c>
      <c r="B26" s="6" t="s">
        <v>463</v>
      </c>
      <c r="C26" s="6" t="s">
        <v>465</v>
      </c>
      <c r="D26" s="22" t="n">
        <v>2085</v>
      </c>
      <c r="E26" s="22" t="n">
        <v>6046</v>
      </c>
      <c r="F26" s="22" t="n">
        <v>17533</v>
      </c>
      <c r="G26" s="6" t="s">
        <v>430</v>
      </c>
      <c r="H26" s="22"/>
      <c r="I26" s="22" t="n">
        <v>215.18</v>
      </c>
      <c r="J26" s="6" t="s">
        <v>422</v>
      </c>
      <c r="K26" s="22" t="n">
        <v>4.45</v>
      </c>
      <c r="L26" s="6" t="s">
        <v>434</v>
      </c>
      <c r="M26" s="22" t="n">
        <v>550</v>
      </c>
    </row>
    <row r="27" customFormat="false" ht="15" hidden="false" customHeight="true" outlineLevel="0" collapsed="false">
      <c r="A27" s="6" t="s">
        <v>332</v>
      </c>
      <c r="B27" s="6" t="s">
        <v>466</v>
      </c>
      <c r="C27" s="6" t="s">
        <v>467</v>
      </c>
      <c r="D27" s="22" t="n">
        <v>219</v>
      </c>
      <c r="E27" s="22" t="n">
        <v>635</v>
      </c>
      <c r="F27" s="22" t="n">
        <v>1842</v>
      </c>
      <c r="G27" s="6" t="s">
        <v>430</v>
      </c>
      <c r="H27" s="22"/>
      <c r="I27" s="22"/>
      <c r="J27" s="6" t="s">
        <v>258</v>
      </c>
      <c r="K27" s="22" t="n">
        <v>0</v>
      </c>
      <c r="L27" s="6" t="s">
        <v>428</v>
      </c>
      <c r="M27" s="22" t="n">
        <v>400</v>
      </c>
    </row>
    <row r="28" customFormat="false" ht="15" hidden="false" customHeight="true" outlineLevel="0" collapsed="false">
      <c r="A28" s="6" t="s">
        <v>328</v>
      </c>
      <c r="B28" s="6" t="s">
        <v>468</v>
      </c>
      <c r="C28" s="6" t="s">
        <v>469</v>
      </c>
      <c r="D28" s="22" t="n">
        <v>400</v>
      </c>
      <c r="E28" s="22" t="n">
        <v>1200</v>
      </c>
      <c r="F28" s="22" t="n">
        <v>3240</v>
      </c>
      <c r="G28" s="6" t="s">
        <v>421</v>
      </c>
      <c r="H28" s="22"/>
      <c r="I28" s="22" t="n">
        <v>55.34</v>
      </c>
      <c r="J28" s="6" t="s">
        <v>422</v>
      </c>
      <c r="K28" s="22" t="n">
        <v>0.75</v>
      </c>
      <c r="L28" s="6" t="s">
        <v>444</v>
      </c>
      <c r="M28" s="22" t="n">
        <v>500</v>
      </c>
    </row>
    <row r="29" customFormat="false" ht="15" hidden="false" customHeight="true" outlineLevel="0" collapsed="false">
      <c r="A29" s="6" t="s">
        <v>331</v>
      </c>
      <c r="B29" s="6" t="s">
        <v>468</v>
      </c>
      <c r="C29" s="6" t="s">
        <v>470</v>
      </c>
      <c r="D29" s="22" t="n">
        <v>675</v>
      </c>
      <c r="E29" s="22" t="n">
        <v>1925</v>
      </c>
      <c r="F29" s="22" t="n">
        <v>4900</v>
      </c>
      <c r="G29" s="6" t="s">
        <v>421</v>
      </c>
      <c r="H29" s="22"/>
      <c r="I29" s="22" t="n">
        <v>79.15</v>
      </c>
      <c r="J29" s="6" t="s">
        <v>422</v>
      </c>
      <c r="K29" s="22" t="n">
        <v>1.16</v>
      </c>
      <c r="L29" s="6" t="s">
        <v>444</v>
      </c>
      <c r="M29" s="22" t="n">
        <v>500</v>
      </c>
    </row>
    <row r="30" customFormat="false" ht="15" hidden="false" customHeight="true" outlineLevel="0" collapsed="false">
      <c r="A30" s="6" t="s">
        <v>316</v>
      </c>
      <c r="B30" s="6" t="s">
        <v>468</v>
      </c>
      <c r="C30" s="6" t="s">
        <v>471</v>
      </c>
      <c r="D30" s="22" t="n">
        <v>1473</v>
      </c>
      <c r="E30" s="22" t="n">
        <v>4272</v>
      </c>
      <c r="F30" s="22" t="n">
        <v>12387</v>
      </c>
      <c r="G30" s="6" t="s">
        <v>430</v>
      </c>
      <c r="H30" s="22"/>
      <c r="I30" s="22" t="n">
        <v>128.75</v>
      </c>
      <c r="J30" s="6" t="s">
        <v>422</v>
      </c>
      <c r="K30" s="22" t="n">
        <v>3.02</v>
      </c>
      <c r="L30" s="6" t="s">
        <v>434</v>
      </c>
      <c r="M30" s="22" t="n">
        <v>550</v>
      </c>
    </row>
    <row r="31" customFormat="false" ht="15" hidden="false" customHeight="true" outlineLevel="0" collapsed="false">
      <c r="A31" s="6" t="s">
        <v>314</v>
      </c>
      <c r="B31" s="6" t="s">
        <v>468</v>
      </c>
      <c r="C31" s="6" t="s">
        <v>472</v>
      </c>
      <c r="D31" s="22" t="n">
        <v>825</v>
      </c>
      <c r="E31" s="22" t="n">
        <v>2050</v>
      </c>
      <c r="F31" s="22" t="n">
        <v>5500</v>
      </c>
      <c r="G31" s="6" t="s">
        <v>421</v>
      </c>
      <c r="H31" s="22"/>
      <c r="I31" s="22" t="n">
        <v>109.02</v>
      </c>
      <c r="J31" s="6" t="s">
        <v>422</v>
      </c>
      <c r="K31" s="22" t="n">
        <v>2.11</v>
      </c>
      <c r="L31" s="6" t="s">
        <v>434</v>
      </c>
      <c r="M31" s="22" t="n">
        <v>550</v>
      </c>
    </row>
    <row r="32" customFormat="false" ht="15" hidden="false" customHeight="true" outlineLevel="0" collapsed="false">
      <c r="A32" s="6" t="s">
        <v>303</v>
      </c>
      <c r="B32" s="6" t="s">
        <v>473</v>
      </c>
      <c r="C32" s="6" t="s">
        <v>474</v>
      </c>
      <c r="D32" s="22" t="n">
        <v>1057</v>
      </c>
      <c r="E32" s="22" t="n">
        <v>3067</v>
      </c>
      <c r="F32" s="22" t="n">
        <v>8894</v>
      </c>
      <c r="G32" s="6" t="s">
        <v>430</v>
      </c>
      <c r="H32" s="22"/>
      <c r="I32" s="22"/>
      <c r="J32" s="6" t="s">
        <v>422</v>
      </c>
      <c r="K32" s="22"/>
      <c r="L32" s="6" t="s">
        <v>449</v>
      </c>
      <c r="M32" s="22"/>
    </row>
    <row r="33" customFormat="false" ht="15" hidden="false" customHeight="true" outlineLevel="0" collapsed="false">
      <c r="A33" s="6" t="s">
        <v>309</v>
      </c>
      <c r="B33" s="6" t="s">
        <v>473</v>
      </c>
      <c r="C33" s="6" t="s">
        <v>475</v>
      </c>
      <c r="D33" s="22" t="n">
        <v>2810</v>
      </c>
      <c r="E33" s="22" t="n">
        <v>8149</v>
      </c>
      <c r="F33" s="22" t="n">
        <v>23631</v>
      </c>
      <c r="G33" s="6" t="s">
        <v>430</v>
      </c>
      <c r="H33" s="22"/>
      <c r="I33" s="22"/>
      <c r="J33" s="6" t="s">
        <v>422</v>
      </c>
      <c r="K33" s="22"/>
      <c r="L33" s="6" t="s">
        <v>423</v>
      </c>
      <c r="M33" s="22" t="n">
        <v>1800</v>
      </c>
    </row>
    <row r="35" customFormat="false" ht="15" hidden="false" customHeight="true" outlineLevel="0" collapsed="false">
      <c r="A35" s="23" t="s">
        <v>476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16"/>
    <col collapsed="false" customWidth="true" hidden="false" outlineLevel="0" max="4" min="4" style="1" width="12"/>
    <col collapsed="false" customWidth="true" hidden="false" outlineLevel="0" max="5" min="5" style="1" width="9"/>
    <col collapsed="false" customWidth="true" hidden="false" outlineLevel="0" max="6" min="6" style="1" width="7"/>
    <col collapsed="false" customWidth="true" hidden="false" outlineLevel="0" max="7" min="7" style="1" width="80"/>
  </cols>
  <sheetData>
    <row r="1" customFormat="false" ht="23.25" hidden="false" customHeight="true" outlineLevel="0" collapsed="false">
      <c r="A1" s="5" t="s">
        <v>477</v>
      </c>
      <c r="B1" s="5" t="s">
        <v>278</v>
      </c>
      <c r="C1" s="5" t="s">
        <v>478</v>
      </c>
      <c r="D1" s="5" t="s">
        <v>479</v>
      </c>
      <c r="E1" s="5" t="s">
        <v>32</v>
      </c>
      <c r="F1" s="5" t="s">
        <v>480</v>
      </c>
      <c r="G1" s="5" t="s">
        <v>481</v>
      </c>
    </row>
    <row r="2" customFormat="false" ht="23.25" hidden="false" customHeight="true" outlineLevel="0" collapsed="false">
      <c r="A2" s="6" t="s">
        <v>482</v>
      </c>
      <c r="B2" s="6" t="s">
        <v>301</v>
      </c>
      <c r="C2" s="6" t="s">
        <v>302</v>
      </c>
      <c r="D2" s="21" t="n">
        <v>265.1684</v>
      </c>
      <c r="E2" s="6" t="s">
        <v>483</v>
      </c>
      <c r="F2" s="6" t="s">
        <v>484</v>
      </c>
      <c r="G2" s="6" t="s">
        <v>485</v>
      </c>
    </row>
    <row r="3" customFormat="false" ht="45.75" hidden="false" customHeight="true" outlineLevel="0" collapsed="false">
      <c r="A3" s="6" t="s">
        <v>486</v>
      </c>
      <c r="B3" s="6" t="s">
        <v>312</v>
      </c>
      <c r="C3" s="6" t="s">
        <v>313</v>
      </c>
      <c r="D3" s="21" t="n">
        <v>70.0188</v>
      </c>
      <c r="E3" s="6" t="s">
        <v>321</v>
      </c>
      <c r="F3" s="6" t="s">
        <v>484</v>
      </c>
      <c r="G3" s="6" t="s">
        <v>487</v>
      </c>
    </row>
    <row r="4" customFormat="false" ht="34.5" hidden="false" customHeight="true" outlineLevel="0" collapsed="false">
      <c r="A4" s="6" t="s">
        <v>488</v>
      </c>
      <c r="B4" s="6" t="s">
        <v>300</v>
      </c>
      <c r="C4" s="6" t="s">
        <v>311</v>
      </c>
      <c r="D4" s="21" t="n">
        <v>145.331622508162</v>
      </c>
      <c r="E4" s="6" t="s">
        <v>321</v>
      </c>
      <c r="F4" s="6" t="s">
        <v>484</v>
      </c>
      <c r="G4" s="6" t="s">
        <v>489</v>
      </c>
    </row>
    <row r="5" customFormat="false" ht="34.5" hidden="false" customHeight="true" outlineLevel="0" collapsed="false">
      <c r="A5" s="6" t="s">
        <v>490</v>
      </c>
      <c r="B5" s="6" t="s">
        <v>304</v>
      </c>
      <c r="C5" s="6" t="s">
        <v>311</v>
      </c>
      <c r="D5" s="21" t="n">
        <v>233.750162076065</v>
      </c>
      <c r="E5" s="6" t="s">
        <v>321</v>
      </c>
      <c r="F5" s="6" t="s">
        <v>484</v>
      </c>
      <c r="G5" s="6" t="s">
        <v>489</v>
      </c>
    </row>
    <row r="6" customFormat="false" ht="34.5" hidden="false" customHeight="true" outlineLevel="0" collapsed="false">
      <c r="A6" s="6" t="s">
        <v>491</v>
      </c>
      <c r="B6" s="6" t="s">
        <v>305</v>
      </c>
      <c r="C6" s="6" t="s">
        <v>311</v>
      </c>
      <c r="D6" s="21" t="n">
        <v>381.114394689236</v>
      </c>
      <c r="E6" s="6" t="s">
        <v>321</v>
      </c>
      <c r="F6" s="6" t="s">
        <v>484</v>
      </c>
      <c r="G6" s="6" t="s">
        <v>489</v>
      </c>
    </row>
    <row r="7" customFormat="false" ht="34.5" hidden="false" customHeight="true" outlineLevel="0" collapsed="false">
      <c r="A7" s="6" t="s">
        <v>492</v>
      </c>
      <c r="B7" s="6" t="s">
        <v>308</v>
      </c>
      <c r="C7" s="6" t="s">
        <v>311</v>
      </c>
      <c r="D7" s="21" t="n">
        <v>684.481452861868</v>
      </c>
      <c r="E7" s="6" t="s">
        <v>321</v>
      </c>
      <c r="F7" s="6" t="s">
        <v>484</v>
      </c>
      <c r="G7" s="6" t="s">
        <v>489</v>
      </c>
    </row>
    <row r="8" customFormat="false" ht="15" hidden="false" customHeight="true" outlineLevel="0" collapsed="false">
      <c r="A8" s="6" t="s">
        <v>493</v>
      </c>
      <c r="B8" s="6" t="s">
        <v>308</v>
      </c>
      <c r="C8" s="6" t="s">
        <v>324</v>
      </c>
      <c r="D8" s="21" t="n">
        <v>300</v>
      </c>
      <c r="E8" s="6" t="s">
        <v>494</v>
      </c>
      <c r="F8" s="6" t="s">
        <v>484</v>
      </c>
      <c r="G8" s="6" t="s">
        <v>495</v>
      </c>
    </row>
    <row r="9" customFormat="false" ht="23.25" hidden="false" customHeight="true" outlineLevel="0" collapsed="false">
      <c r="A9" s="6" t="s">
        <v>496</v>
      </c>
      <c r="B9" s="6" t="s">
        <v>290</v>
      </c>
      <c r="C9" s="6" t="s">
        <v>293</v>
      </c>
      <c r="D9" s="21" t="n">
        <v>153.497828571429</v>
      </c>
      <c r="E9" s="6" t="s">
        <v>494</v>
      </c>
      <c r="F9" s="6" t="s">
        <v>484</v>
      </c>
      <c r="G9" s="6" t="s">
        <v>497</v>
      </c>
    </row>
    <row r="10" customFormat="false" ht="23.25" hidden="false" customHeight="true" outlineLevel="0" collapsed="false">
      <c r="A10" s="6" t="s">
        <v>498</v>
      </c>
      <c r="B10" s="6" t="s">
        <v>295</v>
      </c>
      <c r="C10" s="6" t="s">
        <v>293</v>
      </c>
      <c r="D10" s="21" t="n">
        <v>163.344</v>
      </c>
      <c r="E10" s="6" t="s">
        <v>494</v>
      </c>
      <c r="F10" s="6" t="s">
        <v>484</v>
      </c>
      <c r="G10" s="6" t="s">
        <v>497</v>
      </c>
    </row>
    <row r="11" customFormat="false" ht="23.25" hidden="false" customHeight="true" outlineLevel="0" collapsed="false">
      <c r="A11" s="6" t="s">
        <v>499</v>
      </c>
      <c r="B11" s="6" t="s">
        <v>297</v>
      </c>
      <c r="C11" s="6" t="s">
        <v>293</v>
      </c>
      <c r="D11" s="21" t="n">
        <v>310.752</v>
      </c>
      <c r="E11" s="6" t="s">
        <v>494</v>
      </c>
      <c r="F11" s="6" t="s">
        <v>484</v>
      </c>
      <c r="G11" s="6" t="s">
        <v>497</v>
      </c>
    </row>
    <row r="12" customFormat="false" ht="23.25" hidden="false" customHeight="true" outlineLevel="0" collapsed="false">
      <c r="A12" s="6" t="s">
        <v>500</v>
      </c>
      <c r="B12" s="6" t="s">
        <v>298</v>
      </c>
      <c r="C12" s="6" t="s">
        <v>293</v>
      </c>
      <c r="D12" s="21" t="n">
        <v>510.90816</v>
      </c>
      <c r="E12" s="6" t="s">
        <v>494</v>
      </c>
      <c r="F12" s="6" t="s">
        <v>484</v>
      </c>
      <c r="G12" s="6" t="s">
        <v>497</v>
      </c>
    </row>
    <row r="13" customFormat="false" ht="23.25" hidden="false" customHeight="true" outlineLevel="0" collapsed="false">
      <c r="A13" s="6" t="s">
        <v>501</v>
      </c>
      <c r="B13" s="6" t="s">
        <v>299</v>
      </c>
      <c r="C13" s="6" t="s">
        <v>293</v>
      </c>
      <c r="D13" s="21" t="n">
        <v>796.8</v>
      </c>
      <c r="E13" s="6" t="s">
        <v>494</v>
      </c>
      <c r="F13" s="6" t="s">
        <v>484</v>
      </c>
      <c r="G13" s="6" t="s">
        <v>497</v>
      </c>
    </row>
    <row r="14" customFormat="false" ht="34.5" hidden="false" customHeight="true" outlineLevel="0" collapsed="false">
      <c r="A14" s="6" t="s">
        <v>502</v>
      </c>
      <c r="B14" s="6" t="s">
        <v>316</v>
      </c>
      <c r="C14" s="6" t="s">
        <v>313</v>
      </c>
      <c r="D14" s="21" t="n">
        <v>425.79</v>
      </c>
      <c r="E14" s="6" t="s">
        <v>321</v>
      </c>
      <c r="F14" s="6" t="s">
        <v>484</v>
      </c>
      <c r="G14" s="6" t="s">
        <v>503</v>
      </c>
    </row>
    <row r="15" customFormat="false" ht="34.5" hidden="false" customHeight="true" outlineLevel="0" collapsed="false">
      <c r="A15" s="6" t="s">
        <v>504</v>
      </c>
      <c r="B15" s="6" t="s">
        <v>314</v>
      </c>
      <c r="C15" s="6" t="s">
        <v>313</v>
      </c>
      <c r="D15" s="21" t="n">
        <v>293.322</v>
      </c>
      <c r="E15" s="6" t="s">
        <v>321</v>
      </c>
      <c r="F15" s="6" t="s">
        <v>484</v>
      </c>
      <c r="G15" s="6" t="s">
        <v>505</v>
      </c>
    </row>
    <row r="17" customFormat="false" ht="15" hidden="false" customHeight="true" outlineLevel="0" collapsed="false">
      <c r="A17" s="23" t="s">
        <v>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2026-10-23T16:01:49Z</dcterms:created>
  <dc:creator>openpyxl</dc:creator>
  <dc:description/>
  <dc:language>en-US</dc:language>
  <cp:lastModifiedBy/>
  <dcterms:modified xsi:type="dcterms:W3CDTF">2026-10-23T18:14:42Z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