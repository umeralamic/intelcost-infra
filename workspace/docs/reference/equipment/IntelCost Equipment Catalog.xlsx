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4.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quipment" sheetId="2" state="visible" r:id="rId4"/>
    <sheet name="Activities" sheetId="3" state="visible" r:id="rId5"/>
    <sheet name="Production" sheetId="4" state="visible" r:id="rId6"/>
    <sheet name="Duration_Norms" sheetId="5" state="visible" r:id="rId7"/>
    <sheet name="Factors" sheetId="6" state="visible" r:id="rId8"/>
    <sheet name="Mob_Demob" sheetId="7" state="visible" r:id="rId9"/>
    <sheet name="Rental_Terms" sheetId="8" state="visible" r:id="rId10"/>
    <sheet name="Location" sheetId="9" state="visible" r:id="rId11"/>
    <sheet name="Sources" sheetId="10" state="visible" r:id="rId12"/>
    <sheet name="Gaps" sheetId="11" state="visible" r:id="rId13"/>
    <sheet name="Settings" sheetId="12" state="visible" r:id="rId14"/>
  </sheets>
  <definedNames>
    <definedName function="false" hidden="true" localSheetId="2" name="_xlnm._FilterDatabase" vbProcedure="false">Activities!$A$1:$I$105</definedName>
    <definedName function="false" hidden="true" localSheetId="1" name="_xlnm._FilterDatabase" vbProcedure="false">Equipment!$A$1:$AU$629</definedName>
    <definedName function="false" hidden="true" localSheetId="3" name="_xlnm._FilterDatabase" vbProcedure="false">Production!$A$1:$P$593</definedName>
    <definedName function="false" hidden="true" localSheetId="9" name="_xlnm._FilterDatabase" vbProcedure="false">Sources!$A$1:$F$158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O1" authorId="0">
      <text>
        <r>
          <rPr>
            <sz val="10"/>
            <rFont val="Arial"/>
            <family val="2"/>
          </rPr>
          <t xml:space="preserve">Label only. Wages come from the project's wage set (labor), never from this sheet.</t>
        </r>
      </text>
    </comment>
    <comment ref="Q1" authorId="0">
      <text>
        <r>
          <rPr>
            <sz val="10"/>
            <rFont val="Arial"/>
            <family val="2"/>
          </rPr>
          <t xml:space="preserve">Bare rental: no operator, no fuel. Blue = sourced value; black = formula.</t>
        </r>
      </text>
    </comment>
    <comment ref="T1" authorId="0">
      <text>
        <r>
          <rPr>
            <sz val="10"/>
            <rFont val="Arial"/>
            <family val="2"/>
          </rPr>
          <t xml:space="preserve">Min/max of the source values used; or a single source's own published range (noted); blank when there is only one value.</t>
        </r>
      </text>
    </comment>
    <comment ref="W1" authorId="0">
      <text>
        <r>
          <rPr>
            <sz val="10"/>
            <rFont val="Arial"/>
            <family val="2"/>
          </rPr>
          <t xml:space="preserve">Operated hourly rate INCLUDES operator/driver - do not add labor for these rows.</t>
        </r>
      </text>
    </comment>
    <comment ref="AA1" authorId="0">
      <text>
        <r>
          <rPr>
            <sz val="10"/>
            <rFont val="Arial"/>
            <family val="2"/>
          </rPr>
          <t xml:space="preserve">A = 2+ sources not derived from each other (median); B = single source or non-independent sources; C = derived (method in Notes); D = no basis (blank, Flags 'Needs rate').</t>
        </r>
      </text>
    </comment>
    <comment ref="AC1" authorId="0">
      <text>
        <r>
          <rPr>
            <sz val="10"/>
            <rFont val="Arial"/>
            <family val="2"/>
          </rPr>
          <t xml:space="preserve">FEMA 2025 published all-in hourly (ownership + operating + fuel), operator excluded.</t>
        </r>
      </text>
    </comment>
    <comment ref="AI1" authorId="0">
      <text>
        <r>
          <rPr>
            <sz val="10"/>
            <rFont val="Arial"/>
            <family val="2"/>
          </rPr>
          <t xml:space="preserve">Formula: incl-fuel rate - Fuel_gal_hr_med x Settings!B5 (EIA 2025 avg diesel). App adds gal/hr x user fuel price (Settings!B4).</t>
        </r>
      </text>
    </comment>
    <comment ref="AJ1" authorId="0">
      <text>
        <r>
          <rPr>
            <sz val="10"/>
            <rFont val="Arial"/>
            <family val="2"/>
          </rPr>
          <t xml:space="preserve">Confidence of Owned_rate_hr_incl_fuel: B = FEMA as published; C = interpolated; D = none.</t>
        </r>
      </text>
    </comment>
    <comment ref="AK1" authorId="0">
      <text>
        <r>
          <rPr>
            <sz val="10"/>
            <rFont val="Arial"/>
            <family val="2"/>
          </rPr>
          <t xml:space="preserve">Confidence of Owned_rate_hr_excl_fuel: always C (derived by fuel back-out) when present; D when blank.</t>
        </r>
      </text>
    </comment>
    <comment ref="AQ1" authorId="0">
      <text>
        <r>
          <rPr>
            <sz val="10"/>
            <rFont val="Arial"/>
            <family val="2"/>
          </rPr>
          <t xml:space="preserve">Formula: MAX(class minimum, $/mile x Settings!B6 miles) + permit (if Permit_likely=Y) + escorts + load/unload. See Mob_Demob.</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Blue/yellow = editable input driving the formulas (bucket CY, blade LCY, drum width, moldboard, payload). Blank = not in notes -&gt; row is D until entered.</t>
        </r>
      </text>
    </comment>
  </commentList>
</comments>
</file>

<file path=xl/sharedStrings.xml><?xml version="1.0" encoding="utf-8"?>
<sst xmlns="http://schemas.openxmlformats.org/spreadsheetml/2006/main" count="23557" uniqueCount="6060">
  <si>
    <t xml:space="preserve">IntelCost Equipment Catalog - review draft</t>
  </si>
  <si>
    <t xml:space="preserve">Built 2026-10-21 from the research notes in 'Construction equipment catalog and rates' (no new research). For review by the Director of Estimating, then for building the Equipment List library and the equipment picker in the Equipment cost component.</t>
  </si>
  <si>
    <t xml:space="preserve">How a row is used in the app</t>
  </si>
  <si>
    <t xml:space="preserve">1. Pick</t>
  </si>
  <si>
    <t xml:space="preserve">User picks Equipment type -&gt; size class (one Equipment row, Equip_ID).</t>
  </si>
  <si>
    <t xml:space="preserve">2. Activity</t>
  </si>
  <si>
    <t xml:space="preserve">User picks an Activity the machine serves (Equipment.Activities lists the Activity_IDs; Production holds the Equip_ID x Activity_ID rates). Production auto-fills Prod_typical (low/high shown for judgement).</t>
  </si>
  <si>
    <t xml:space="preserve">3. Hours</t>
  </si>
  <si>
    <t xml:space="preserve">Hours = Quantity / Production (convert BCY/LCY/CCY with Factors section 1). For crew/DOT daily rates: days = Quantity / daily rate; equipment hours = days x shift hours. Duration-based equipment (lifts, cranes, telehandlers, compressors, generators, lights, pumps, shoring, site) has no production rate: duration = the served crew/activity duration (Duration_Norms).</t>
  </si>
  <si>
    <t xml:space="preserve">4. Cost</t>
  </si>
  <si>
    <t xml:space="preserve">Cost = equipment basis + fuel + operator + mob/demob:
- Rental basis: Rent_day/week/4wk (bare, no operator, no fuel), chosen by duration (cheapest combination), x equipment location factor (Settings B8).
- Owned basis: Owned_rate_hr_excl_fuel x hours x location factor.
- Fuel: Fuel_gal_hr_med (low/high by duty) x hours x user fuel price (Settings B4). Do NOT add fuel to Owned_rate_hr_incl_fuel.
- Operator: hours x the project's wage set for Typical_operator_craft (labor). NEVER from this workbook.
- Operated rows (Rent_basis = operated: cranes, concrete pumps, dump trucks with driver) already include the operator; do not add labor.
- Mob + demob: one-time per move, counted once per resource per project (Mob_Demob; Default_mob_one_way / Default_demob_one_way at Settings B6 miles).</t>
  </si>
  <si>
    <t xml:space="preserve">Sheets</t>
  </si>
  <si>
    <t xml:space="preserve">README</t>
  </si>
  <si>
    <t xml:space="preserve">This page: workflow, column dictionary, confidence legend, rate dates, caveats.</t>
  </si>
  <si>
    <t xml:space="preserve">Equipment</t>
  </si>
  <si>
    <t xml:space="preserve">One row per equipment size class (628 rows). Rates, fuel, transport, default mob/demob, activities, notes and flags.</t>
  </si>
  <si>
    <t xml:space="preserve">Activities</t>
  </si>
  <si>
    <t xml:space="preserve">Activity master: unit, norm basis (per hour at 50-min hour vs per 8-hr / working day), method formula, inputs, sources, type (Production / Duration / Quantity).</t>
  </si>
  <si>
    <t xml:space="preserve">Production</t>
  </si>
  <si>
    <t xml:space="preserve">Equip_ID x Activity_ID (592 rows): Prod_low / typical / high with unit, basis, default conditions, calculation shown, sources, confidence. Calculated rows are live formulas driven by Input_capacity (yellow) and Settings (efficiency, speeds).</t>
  </si>
  <si>
    <t xml:space="preserve">Duration_Norms</t>
  </si>
  <si>
    <t xml:space="preserve">How duration is derived for duration-based equipment; minimum hours/rental periods; shift/overtime; standby; Caltrans delay/OT factors.</t>
  </si>
  <si>
    <t xml:space="preserve">Factors</t>
  </si>
  <si>
    <t xml:space="preserve">Soil conversions, fill factors, efficiency, operator, dozer corrections, rolling resistance, cycle components, compaction (16.3), water, grader, fuel factors.</t>
  </si>
  <si>
    <t xml:space="preserve">Mob_Demob</t>
  </si>
  <si>
    <t xml:space="preserve">Transport classes with $/loaded mile, minimums, permits, escorts; calculator; legal limits; rental delivery norms.</t>
  </si>
  <si>
    <t xml:space="preserve">Rental_Terms</t>
  </si>
  <si>
    <t xml:space="preserve">Hour limits (8/40/160 vs 176), overtime, multipliers observed, damage waiver, environmental fee, refuel, shift multipliers.</t>
  </si>
  <si>
    <t xml:space="preserve">Location</t>
  </si>
  <si>
    <t xml:space="preserve">Method (equipment factor / local fuel / wage-set operator) and evidence (RSMeans IL, Blue Book, EIA PADD diesel).</t>
  </si>
  <si>
    <t xml:space="preserve">Sources</t>
  </si>
  <si>
    <t xml:space="preserve">Source_ID register: title, publisher, edition/date, URL, what it supports.</t>
  </si>
  <si>
    <t xml:space="preserve">Gaps</t>
  </si>
  <si>
    <t xml:space="preserve">Every missing or weak item with impact and the recommended way to close it; live counts.</t>
  </si>
  <si>
    <t xml:space="preserve">Settings</t>
  </si>
  <si>
    <t xml:space="preserve">All assumptions referenced by formulas: fuel prices, FEMA back-out diesel price, default mob distance, job efficiency, location factor, fuel factors, multipliers, production speeds. Blue = editable.</t>
  </si>
  <si>
    <t xml:space="preserve">Confidence legend (Rent_confidence, Owned_confidence, Production.Confidence)</t>
  </si>
  <si>
    <t xml:space="preserve">A (green)</t>
  </si>
  <si>
    <t xml:space="preserve">Sourced from 2+ sources that are not derived from each other; median used (per-source values in Notes). ScaffoldExchange (cites Sunbelt/URI/BigRentz) does not count as independent of COSTARS or BigRentz; broad DOZR bands (60-120, 120-180 ft) are not counted as class sources.</t>
  </si>
  <si>
    <t xml:space="preserve">B (blue)</t>
  </si>
  <si>
    <t xml:space="preserve">Single source, or several sources that are not independent (value as published; FEMA rows are B).</t>
  </si>
  <si>
    <t xml:space="preserve">C (amber)</t>
  </si>
  <si>
    <t xml:space="preserve">Derived by a stated method: interpolation between adjacent sourced classes (never extrapolated), week/4-week from day by the Settings multipliers, fuel back-out, HP x 0.0486 x load factor, or production calculated from documented formulas. Method is written in Notes / Calc_shown.</t>
  </si>
  <si>
    <t xml:space="preserve">D (grey)</t>
  </si>
  <si>
    <t xml:space="preserve">No basis. Rate cell left blank; Flags says 'Needs rate' (or 'Needs fuel gal/hr' / input needed). Production rows become D whenever their driving input is blank.</t>
  </si>
  <si>
    <t xml:space="preserve">Column dictionary - Equipment</t>
  </si>
  <si>
    <t xml:space="preserve">Equip_ID</t>
  </si>
  <si>
    <t xml:space="preserve">Stable readable key (TYPE-SUBTYPE-SIZE). Never reuse a retired ID.</t>
  </si>
  <si>
    <t xml:space="preserve">Category / Type / Sub_type / Size_class</t>
  </si>
  <si>
    <t xml:space="preserve">Picker hierarchy.</t>
  </si>
  <si>
    <t xml:space="preserve">Defining_spec / Spec_value / Spec_unit</t>
  </si>
  <si>
    <t xml:space="preserve">The spec that defines the class (operating weight, net HP, bucket, ROC, drum width, platform height, capacity...).</t>
  </si>
  <si>
    <t xml:space="preserve">Example_models</t>
  </si>
  <si>
    <t xml:space="preserve">Representative models from the sources (not an endorsement).</t>
  </si>
  <si>
    <t xml:space="preserve">Operating_weight_lb / Net_HP</t>
  </si>
  <si>
    <t xml:space="preserve">Representative values from notes (blank = not in notes).</t>
  </si>
  <si>
    <t xml:space="preserve">Capacity / Platform_or_lift_height_ft</t>
  </si>
  <si>
    <t xml:space="preserve">Bucket/payload/lift capacity; platform height (lifts), lift height (telehandlers).</t>
  </si>
  <si>
    <t xml:space="preserve">Fuel_type</t>
  </si>
  <si>
    <t xml:space="preserve">diesel / gas / electric / dual / hybrid / propane / none.</t>
  </si>
  <si>
    <t xml:space="preserve">Typical_operator_craft</t>
  </si>
  <si>
    <t xml:space="preserve">Craft label only - wages come from the project wage set.</t>
  </si>
  <si>
    <t xml:space="preserve">Default_billing_basis</t>
  </si>
  <si>
    <t xml:space="preserve">day/wk/4wk (bare rental), hr (operated or owned), 4wk/month, LF etc.</t>
  </si>
  <si>
    <t xml:space="preserve">Rent_day / Rent_week / Rent_4wk</t>
  </si>
  <si>
    <t xml:space="preserve">Bare rental (no operator, no fuel), USD. 4-week = 28 days (Wheeler 176 hr, others 160 hr).</t>
  </si>
  <si>
    <t xml:space="preserve">Rent_low_4wk / Rent_high_4wk</t>
  </si>
  <si>
    <t xml:space="preserve">Lowest/highest 4-week value across the sources used. For a single source they are blank, EXCEPT where that one source publishes its own range (office trailers, containers, fence, tower crane, rentd compressors) - then they hold that range (see Notes).</t>
  </si>
  <si>
    <t xml:space="preserve">Rent_basis</t>
  </si>
  <si>
    <t xml:space="preserve">bare or operated.</t>
  </si>
  <si>
    <t xml:space="preserve">Rent_hr_operated / Operated_min_hr</t>
  </si>
  <si>
    <t xml:space="preserve">ADDED columns: operated hourly rate (includes operator/driver) and minimum billed hours, for cranes, pumps and dump trucks.</t>
  </si>
  <si>
    <t xml:space="preserve">Rent_source_ids / Rent_date / Rent_confidence</t>
  </si>
  <si>
    <t xml:space="preserve">Source IDs (Sources sheet), vintage, A-D.</t>
  </si>
  <si>
    <t xml:space="preserve">FEMA_code / Owned_rate_hr_incl_fuel / Owned_rate_year</t>
  </si>
  <si>
    <t xml:space="preserve">FEMA 2025 published hourly (ownership + operating + fuel; operator excluded).</t>
  </si>
  <si>
    <t xml:space="preserve">Fuel_gal_hr_low/med/high / Fuel_source</t>
  </si>
  <si>
    <t xml:space="preserve">Cat VisionLink Dec 2022 (50/30/10% idle) or derived HP x fuel factor x load factor (C).</t>
  </si>
  <si>
    <t xml:space="preserve">Owned_rate_hr_excl_fuel</t>
  </si>
  <si>
    <t xml:space="preserve">Formula = incl-fuel - Fuel_gal_hr_med x Settings B5 (EIA 2025 diesel $3.660). Example D6: 135.15 - 4.82 x 3.66 = 117.51.</t>
  </si>
  <si>
    <t xml:space="preserve">Owned_confidence</t>
  </si>
  <si>
    <t xml:space="preserve">Confidence of Owned_rate_hr_incl_fuel: B for FEMA as published; C for interpolated; D when blank.</t>
  </si>
  <si>
    <t xml:space="preserve">Owned_excl_fuel_confidence</t>
  </si>
  <si>
    <t xml:space="preserve">ADDED: confidence of Owned_rate_hr_excl_fuel (always C = derived fuel back-out when present; D when blank).</t>
  </si>
  <si>
    <t xml:space="preserve">Standby_rule</t>
  </si>
  <si>
    <t xml:space="preserve">Owned standby (USACE / Caltrans class delay factor), rental and FEMA rules.</t>
  </si>
  <si>
    <t xml:space="preserve">Transport_class</t>
  </si>
  <si>
    <t xml:space="preserve">self-propelled / pickup-towed / tilt-trailer / flatbed / lowboy-legal / lowboy-permitted / multi-axle-heavy / crane-assembled / delivered-by-supplier.</t>
  </si>
  <si>
    <t xml:space="preserve">Transport_weight_lb / Transport_width_ft / Permit_likely</t>
  </si>
  <si>
    <t xml:space="preserve">Operating weight used as transport weight; width only where sourced; Y/N/maybe from legal limits (80,000 lb, 8'6").</t>
  </si>
  <si>
    <t xml:space="preserve">Default_mob_one_way / Default_demob_one_way</t>
  </si>
  <si>
    <t xml:space="preserve">Formulas from Mob_Demob typical columns at Settings B6 miles; blank where the class is quote-only or self-propelled.</t>
  </si>
  <si>
    <t xml:space="preserve">Comma list of Activity_IDs.</t>
  </si>
  <si>
    <t xml:space="preserve">Notes / Flags</t>
  </si>
  <si>
    <t xml:space="preserve">Every derivation is described in Notes; Flags list Needs rate / Needs fuel / FEMA ⚠ / label corrections.</t>
  </si>
  <si>
    <t xml:space="preserve">Rate dates</t>
  </si>
  <si>
    <t xml:space="preserve">Rental (earthwork, support)</t>
  </si>
  <si>
    <t xml:space="preserve">Dealer sheets 2025 (Wheeler UT Mar 2025; Columbus OH Jun 2025; Burris IL Mar 2025; RTL MN Spring 2025; Nu-Way MO Jan 2025) and Ahearn MA (read Oct 2026); DOZR Mar 2026; rentd Jul 2026.</t>
  </si>
  <si>
    <t xml:space="preserve">Rental (aerial)</t>
  </si>
  <si>
    <t xml:space="preserve">Mixed: Sunbelt PA COSTARS contract caps 3/2023-3/2024; BigRentz Dec 2022 data; DOZR Mar 2026; ScaffoldExchange Sep 2026. Older figures likely understate 2026.</t>
  </si>
  <si>
    <t xml:space="preserve">Operated</t>
  </si>
  <si>
    <t xml:space="preserve">Cranes NTX 2025, Dependable Oct 2025, CFCS Jun 2026; pumps Ohio (read Oct 2026), CCE Mar 2026; dump trucks MN DLI May 1 2026, dumptruckrates Sep 2026.</t>
  </si>
  <si>
    <t xml:space="preserve">Owned</t>
  </si>
  <si>
    <t xml:space="preserve">FEMA 2025 schedule (declarations on/after Jul 1 2025). Fuel: Cat VisionLink Dec 2022. Back-out diesel: EIA 2025 average.</t>
  </si>
  <si>
    <t xml:space="preserve">Fuel price default</t>
  </si>
  <si>
    <t xml:space="preserve">EIA US on-highway diesel week of Oct 19 2026 = $6.276/gal (Settings B4).</t>
  </si>
  <si>
    <t xml:space="preserve">Key caveats</t>
  </si>
  <si>
    <t xml:space="preserve">Rental sample</t>
  </si>
  <si>
    <t xml:space="preserve">Leans Midwest / Mountain West (UT, OH, IL, MN, MO, MA). No TX/CA/FL bare earthwork sheets. Wheeler (Cat dealer) is consistently the high end; medians used.</t>
  </si>
  <si>
    <t xml:space="preserve">Aerial rates</t>
  </si>
  <si>
    <t xml:space="preserve">Partly 2022-2024; COSTARS day rates are contract ceilings. Spider/track lifts use COSTARS 'atrium' classes.</t>
  </si>
  <si>
    <t xml:space="preserve">FEMA ⚠</t>
  </si>
  <si>
    <t xml:space="preserve">Suspect FEMA values are kept as published and flagged (generators 17-45 kW, pickups, BW120, 13 CY mixer, small pumps, 125 ft boom, V120 trencher, 19 in chipper, 130 CFM compressor). Verify against the PDF. FEMA 8636 'Scraper, Wirtgen WR2400' corrected to stabilizer/recycler.</t>
  </si>
  <si>
    <t xml:space="preserve">Fuel back-out</t>
  </si>
  <si>
    <t xml:space="preserve">FEMA's embedded diesel price is not published; EIA 2025 average assumed. Gas/LPG FEMA rows have no ex-fuel value (no gasoline basis in notes).</t>
  </si>
  <si>
    <t xml:space="preserve">Cat dozer push curves were not obtained: dozer rows use the Peurifoy blade/cycle method with Cat SAE J1265 blade capacities (specs_fill) and Settings dozing speeds (D9-D11 use their published gear speeds). Excavator buckets: typical = midpoint of the GP range from Deere/Komatsu/Cat specs (C); minis 1-2 t and 5-6 t, 45-50 t long-reach etc. stay D (no bucket published). Haul and scraper rows stay D until Settings B22-B27 average speeds are entered (specs give only top speeds and one rimpull worked example, not average haul speeds). DOT daily rates are crew/spread outcomes (include delays), not single-machine output.</t>
  </si>
  <si>
    <t xml:space="preserve">Equipment location factor 0.85-1.15 is an inference from RSMeans IL and Blue Book. Never apply the labor factor to equipment.</t>
  </si>
  <si>
    <t xml:space="preserve">Mob/demob</t>
  </si>
  <si>
    <t xml:space="preserve">Haul $/mile from one trade publisher (2026, high-diesel period). Load/unload hours not sourced (excluded).</t>
  </si>
  <si>
    <t xml:space="preserve">Interpolation</t>
  </si>
  <si>
    <t xml:space="preserve">C-rated interpolations are linear between adjacent sourced classes and never extrapolated.</t>
  </si>
  <si>
    <t xml:space="preserve">Non-monotonic steps</t>
  </si>
  <si>
    <t xml:space="preserve">Where a smaller class costs more than the next larger one (or fuel/ex-fuel inverts), the source data is kept and the row is flagged 'Non-monotonic vs &lt;ID&gt; - source data'.</t>
  </si>
  <si>
    <t xml:space="preserve">Rounding</t>
  </si>
  <si>
    <t xml:space="preserve">All hard-coded medians use half-up rounding (Excel ROUND). A few values differ by 1 from the research-notes tables, which used banker's rounding; those rows say so in Notes.</t>
  </si>
  <si>
    <t xml:space="preserve">Out of scope</t>
  </si>
  <si>
    <t xml:space="preserve">Snow &amp; ice equipment (FEMA 8450-8458, 8549-8565), aircraft/helicopters/drones (8900-8916), marine (barges, tow/push/tug boats, airboats), fire apparatus, ambulances, buses, police and garbage vehicles are intentionally excluded. Log skidders, blowers, grizzly feeders, leaf vac and vans also have no rows (FEMA rates not captured).</t>
  </si>
  <si>
    <t xml:space="preserve">IDs</t>
  </si>
  <si>
    <t xml:space="preserve">A few IDs contain lowercase 'x' (box sizes, e.g. TB-STL-8x12) or '_' (GEN-5_5). Kept unchanged because IDs are stable keys.</t>
  </si>
  <si>
    <t xml:space="preserve">Colours</t>
  </si>
  <si>
    <t xml:space="preserve">Blue font</t>
  </si>
  <si>
    <t xml:space="preserve">Sourced hard-coded value / editable input</t>
  </si>
  <si>
    <t xml:space="preserve">Black font</t>
  </si>
  <si>
    <t xml:space="preserve">Formula or text</t>
  </si>
  <si>
    <t xml:space="preserve">Yellow fill</t>
  </si>
  <si>
    <t xml:space="preserve">Input cell (Settings, Production Input_capacity)</t>
  </si>
  <si>
    <t xml:space="preserve">Grey/white bands</t>
  </si>
  <si>
    <t xml:space="preserve">Alternate categories on Equipment columns A-E</t>
  </si>
  <si>
    <t xml:space="preserve">Red bold flag</t>
  </si>
  <si>
    <t xml:space="preserve">FEMA ⚠ value</t>
  </si>
  <si>
    <t xml:space="preserve">Category</t>
  </si>
  <si>
    <t xml:space="preserve">Type</t>
  </si>
  <si>
    <t xml:space="preserve">Sub_type</t>
  </si>
  <si>
    <t xml:space="preserve">Size_class</t>
  </si>
  <si>
    <t xml:space="preserve">Defining_spec</t>
  </si>
  <si>
    <t xml:space="preserve">Spec_value</t>
  </si>
  <si>
    <t xml:space="preserve">Spec_unit</t>
  </si>
  <si>
    <t xml:space="preserve">Operating_weight_lb</t>
  </si>
  <si>
    <t xml:space="preserve">Net_HP</t>
  </si>
  <si>
    <t xml:space="preserve">Capacity</t>
  </si>
  <si>
    <t xml:space="preserve">Platform_or_lift_height_ft</t>
  </si>
  <si>
    <t xml:space="preserve">Rent_day</t>
  </si>
  <si>
    <t xml:space="preserve">Rent_week</t>
  </si>
  <si>
    <t xml:space="preserve">Rent_4wk</t>
  </si>
  <si>
    <t xml:space="preserve">Rent_low_4wk</t>
  </si>
  <si>
    <t xml:space="preserve">Rent_high_4wk</t>
  </si>
  <si>
    <t xml:space="preserve">Rent_hr_operated</t>
  </si>
  <si>
    <t xml:space="preserve">Operated_min_hr</t>
  </si>
  <si>
    <t xml:space="preserve">Rent_source_ids</t>
  </si>
  <si>
    <t xml:space="preserve">Rent_date</t>
  </si>
  <si>
    <t xml:space="preserve">Rent_confidence</t>
  </si>
  <si>
    <t xml:space="preserve">FEMA_code</t>
  </si>
  <si>
    <t xml:space="preserve">Owned_rate_hr_incl_fuel</t>
  </si>
  <si>
    <t xml:space="preserve">Owned_rate_year</t>
  </si>
  <si>
    <t xml:space="preserve">Fuel_gal_hr_low</t>
  </si>
  <si>
    <t xml:space="preserve">Fuel_gal_hr_med</t>
  </si>
  <si>
    <t xml:space="preserve">Fuel_gal_hr_high</t>
  </si>
  <si>
    <t xml:space="preserve">Fuel_source</t>
  </si>
  <si>
    <t xml:space="preserve">Transport_weight_lb</t>
  </si>
  <si>
    <t xml:space="preserve">Transport_width_ft</t>
  </si>
  <si>
    <t xml:space="preserve">Permit_likely</t>
  </si>
  <si>
    <t xml:space="preserve">Default_mob_one_way</t>
  </si>
  <si>
    <t xml:space="preserve">Default_demob_one_way</t>
  </si>
  <si>
    <t xml:space="preserve">Notes</t>
  </si>
  <si>
    <t xml:space="preserve">Flags</t>
  </si>
  <si>
    <t xml:space="preserve">DZ-CRAWL-D1</t>
  </si>
  <si>
    <t xml:space="preserve">Earthwork</t>
  </si>
  <si>
    <t xml:space="preserve">Crawler dozer</t>
  </si>
  <si>
    <t xml:space="preserve">Small (Cat D1-D3)</t>
  </si>
  <si>
    <t xml:space="preserve">D1 class (~80 hp)</t>
  </si>
  <si>
    <t xml:space="preserve">Net HP</t>
  </si>
  <si>
    <t xml:space="preserve">hp</t>
  </si>
  <si>
    <t xml:space="preserve">Cat D1 (formerly D3K2)</t>
  </si>
  <si>
    <t xml:space="preserve">Blade Cat D1 std blade 1.99 yd3 (LGP 2.17)</t>
  </si>
  <si>
    <t xml:space="preserve">diesel</t>
  </si>
  <si>
    <t xml:space="preserve">Operating Engineer - heavy equip. group (per WD)</t>
  </si>
  <si>
    <t xml:space="preserve">day/wk/4wk</t>
  </si>
  <si>
    <t xml:space="preserve">bare</t>
  </si>
  <si>
    <t xml:space="preserve">D</t>
  </si>
  <si>
    <t xml:space="preserve">8250</t>
  </si>
  <si>
    <t xml:space="preserve">FEMA 2025</t>
  </si>
  <si>
    <t xml:space="preserve">Derived (C): Net_HP x 0.0486 diesel gal/bhp-hr x load factor 0.35/0.46/0.60 [USACE-EP]</t>
  </si>
  <si>
    <t xml:space="preserve">B</t>
  </si>
  <si>
    <t xml:space="preserve">C</t>
  </si>
  <si>
    <t xml:space="preserve">Owned: USACE standby = 0.5 x DEPR + FCCM, max 40 hr/wk [USACE-EP]; with only an all-in rate use Caltrans delay factor x rate, max 8 hr/day &amp; 40 hr/wk [CALT-2627]: no class factor captured, use 0.10-0.22 band (inference). Rental: accrues by calendar period. FEMA: not eligible unless intermittent use [FEMA-PG].</t>
  </si>
  <si>
    <t xml:space="preserve">tilt-trailer</t>
  </si>
  <si>
    <t xml:space="preserve">N</t>
  </si>
  <si>
    <t xml:space="preserve">EW-STRIP,EW-PUSH-100,EW-SPREAD,EW-RGRADE</t>
  </si>
  <si>
    <t xml:space="preserve">Weight/HP Ziegler. Max speeds F 5.6 / R 6.2 mph (hydrostatic) [CAT-DOZ-PG]; production uses Settings dozing speeds because no working-speed reduction is sourced. Fuel gal/hr derived (C): Net_HP x USACE fuel factor x load factor (Settings B11-B15). Ex-fuel (C) = FEMA incl-fuel rate - Fuel_gal_hr_med x diesel back-out price (Settings B5).</t>
  </si>
  <si>
    <t xml:space="preserve">Needs rate (rental)</t>
  </si>
  <si>
    <t xml:space="preserve">DZ-CRAWL-D2</t>
  </si>
  <si>
    <t xml:space="preserve">D2 class (85+ hp)</t>
  </si>
  <si>
    <t xml:space="preserve">Net HP (min)</t>
  </si>
  <si>
    <t xml:space="preserve">Cat D2 (formerly D4K2; 92 hp, 18,382 lb)</t>
  </si>
  <si>
    <t xml:space="preserve">Blade Cat D2 std 2.59 yd3 (LGP 2.42)</t>
  </si>
  <si>
    <t xml:space="preserve">FEMA 2025 (interpolated)</t>
  </si>
  <si>
    <t xml:space="preserve">Only the Cat minimum HP (85+) is sourced (Carter); no weight, HP, fuel or rates. Specs from Western States Cat D2 page [CAT-DOZ-PG]. Owned_rate_hr_incl_fuel interpolated (C) between DZ-CRAWL-D1 and DZ-CRAWL-D3 by Net HP (FEMA 2025 endpoints). Fuel gal/hr derived (C): Net_HP x USACE fuel factor x load factor (Settings B11-B15). Ex-fuel (C) = FEMA incl-fuel rate - Fuel_gal_hr_med x diesel back-out price (Settings B5).</t>
  </si>
  <si>
    <t xml:space="preserve">DZ-CRAWL-D3</t>
  </si>
  <si>
    <t xml:space="preserve">D3 class (~100-104 hp, 20-24k lb)</t>
  </si>
  <si>
    <t xml:space="preserve">Cat D3; Komatsu D39EX/PX; Develon DD100/130</t>
  </si>
  <si>
    <t xml:space="preserve">Blade Cat D3 std 2.86 yd3 (LGP 3.06)</t>
  </si>
  <si>
    <t xml:space="preserve">W25;C25;R25</t>
  </si>
  <si>
    <t xml:space="preserve">2025-2026</t>
  </si>
  <si>
    <t xml:space="preserve">A</t>
  </si>
  <si>
    <t xml:space="preserve">8251</t>
  </si>
  <si>
    <t xml:space="preserve">Cat VisionLink Dec 2022, model D3-12 [CATFUEL22]</t>
  </si>
  <si>
    <t xml:space="preserve">lowboy-legal</t>
  </si>
  <si>
    <t xml:space="preserve">EW-STRIP,EW-PUSH-100,EW-PUSH-200,EW-SPREAD,EW-RGRADE</t>
  </si>
  <si>
    <t xml:space="preserve">Operating weight given only as 20,000-24,000 lb class band (rental notes); transport class set manually. Rounded half-up (Excel rule) in revision; may differ by 1 from the notes table, which used banker's rounding. Rent: Median of 3 sources (W 906/2629/7623; C 875/2175/5412; R 850/2850/6900). Class mapping D39-&gt;D3, DD100/130-&gt;D3 per notes. Ex-fuel (C) = FEMA incl-fuel rate - Fuel_gal_hr_med x diesel back-out price (Settings B5).</t>
  </si>
  <si>
    <t xml:space="preserve">DZ-CRAWL-D4</t>
  </si>
  <si>
    <t xml:space="preserve">Medium (Cat D4-D7)</t>
  </si>
  <si>
    <t xml:space="preserve">D4 class (~130 hp, ~30k lb)</t>
  </si>
  <si>
    <t xml:space="preserve">Cat D4 (formerly D6K2); Komatsu D51EX/PX</t>
  </si>
  <si>
    <t xml:space="preserve">W25;C25</t>
  </si>
  <si>
    <t xml:space="preserve">8252</t>
  </si>
  <si>
    <t xml:space="preserve">Cat VisionLink Dec 2022, model D4-16 [CATFUEL22]</t>
  </si>
  <si>
    <t xml:space="preserve">EW-CLR-MED,EW-STRIP,EW-PUSH-100,EW-PUSH-200,EW-SPREAD,EW-RGRADE</t>
  </si>
  <si>
    <t xml:space="preserve">Rent: Median (=mean) of 2 sources: W 1133/3286/9529; C 1150/2838/7075. Ex-fuel (C) = FEMA incl-fuel rate - Fuel_gal_hr_med x diesel back-out price (Settings B5).</t>
  </si>
  <si>
    <t xml:space="preserve">DZ-CRAWL-D5</t>
  </si>
  <si>
    <t xml:space="preserve">D5 class (~170 hp, ~40k lb)</t>
  </si>
  <si>
    <t xml:space="preserve">Cat D5 LGP VPAT; Komatsu D61EX/PX</t>
  </si>
  <si>
    <t xml:space="preserve">Blade Cat D5 VPAT 4.6 yd3 (LGP VPAT 5.5; push-arm SU 5.6)</t>
  </si>
  <si>
    <t xml:space="preserve">Cat VisionLink Dec 2022, model D5-17 [CATFUEL22]</t>
  </si>
  <si>
    <t xml:space="preserve">EW-CLR-MED,EW-STRIP,EW-PUSH-100,EW-PUSH-200,EW-PUSH-300,EW-SPREAD,EW-RGRADE</t>
  </si>
  <si>
    <t xml:space="preserve">Rounded half-up (Excel rule) in revision; may differ by 1 from the notes table, which used banker's rounding. Rent: Median (=mean) of 2 sources: W 1632/4732/13721; C 1475/3688/9200. Owned_rate_hr_incl_fuel interpolated (C) between DZ-CRAWL-D4 and DZ-CRAWL-D6 by Net HP (FEMA 2025 endpoints). Ex-fuel (C) = FEMA incl-fuel rate - Fuel_gal_hr_med x diesel back-out price (Settings B5).</t>
  </si>
  <si>
    <t xml:space="preserve">DZ-CRAWL-D6</t>
  </si>
  <si>
    <t xml:space="preserve">D6 class (~215-240 hp, ~50k lb)</t>
  </si>
  <si>
    <t xml:space="preserve">Cat D6; Komatsu D71PX</t>
  </si>
  <si>
    <t xml:space="preserve">Blade Cat D6 SU 7.5 yd3 (VPAT 5.4; angle 5.5; LGP-36 S 5.0)</t>
  </si>
  <si>
    <t xml:space="preserve">8253</t>
  </si>
  <si>
    <t xml:space="preserve">Cat VisionLink Dec 2022, model D6-20 [CATFUEL22]</t>
  </si>
  <si>
    <t xml:space="preserve">maybe</t>
  </si>
  <si>
    <t xml:space="preserve">Rent: Median (=mean) of 2 sources: W D6/D6 LGP avg 2296/6659/19312; C D71PX 1925/4800/12000. Ex-fuel (C) = FEMA incl-fuel rate - Fuel_gal_hr_med x diesel back-out price (Settings B5).</t>
  </si>
  <si>
    <t xml:space="preserve">DZ-CRAWL-D6-XE</t>
  </si>
  <si>
    <t xml:space="preserve">Medium - electric drive (XE)</t>
  </si>
  <si>
    <t xml:space="preserve">D6 XE (215 hp)</t>
  </si>
  <si>
    <t xml:space="preserve">Cat D6 XE</t>
  </si>
  <si>
    <t xml:space="preserve">hybrid</t>
  </si>
  <si>
    <t xml:space="preserve">Cat VisionLink Dec 2022, model D6-20 XE [CATFUEL22]</t>
  </si>
  <si>
    <t xml:space="preserve">EW-STRIP,EW-PUSH-100,EW-PUSH-200,EW-PUSH-300,EW-SPREAD,EW-RGRADE</t>
  </si>
  <si>
    <t xml:space="preserve">Diesel-electric drive. No rate source; D6 class row is the nearest priced class.</t>
  </si>
  <si>
    <t xml:space="preserve">Needs rate; Needs rate (rental); Needs rate (owned)</t>
  </si>
  <si>
    <t xml:space="preserve">DZ-CRAWL-D6-LGP</t>
  </si>
  <si>
    <t xml:space="preserve">Medium - LGP (low ground pressure)</t>
  </si>
  <si>
    <t xml:space="preserve">D6 LGP</t>
  </si>
  <si>
    <t xml:space="preserve">Track variant</t>
  </si>
  <si>
    <t xml:space="preserve">LGP</t>
  </si>
  <si>
    <t xml:space="preserve">Cat D6 LGP</t>
  </si>
  <si>
    <t xml:space="preserve">Blade Cat D6 LGP SU 7.6 yd3 (LGP VPAT 5.9-6.5)</t>
  </si>
  <si>
    <t xml:space="preserve">W25</t>
  </si>
  <si>
    <t xml:space="preserve">2025</t>
  </si>
  <si>
    <t xml:space="preserve">HP/weight for LGP not in notes. Rent: Wheeler only.</t>
  </si>
  <si>
    <t xml:space="preserve">Needs fuel gal/hr; Needs rate (owned)</t>
  </si>
  <si>
    <t xml:space="preserve">DZ-CRAWL-D7</t>
  </si>
  <si>
    <t xml:space="preserve">D7 class (~265 hp)</t>
  </si>
  <si>
    <t xml:space="preserve">Cat D7 (formerly D7E)</t>
  </si>
  <si>
    <t xml:space="preserve">Blade Cat D7 (Tier 3, MX page) SU 9.7 yd3 (S 8.1)</t>
  </si>
  <si>
    <t xml:space="preserve">Cat VisionLink Dec 2022, model D7-17 [CATFUEL22]</t>
  </si>
  <si>
    <t xml:space="preserve">lowboy-permitted</t>
  </si>
  <si>
    <t xml:space="preserve">Y</t>
  </si>
  <si>
    <t xml:space="preserve">Transport set to lowboy-permitted: ~65,600 lb machine + tractor/lowboy exceeds 80,000 lb gross (notes' 36 t excavator reasoning). Rent: Wheeler only. Owned_rate_hr_incl_fuel interpolated (C) between DZ-CRAWL-D6 and DZ-CRAWL-D8 by Net HP (FEMA 2025 endpoints). Ex-fuel (C) = FEMA incl-fuel rate - Fuel_gal_hr_med x diesel back-out price (Settings B5).</t>
  </si>
  <si>
    <t xml:space="preserve">DZ-CRAWL-D8</t>
  </si>
  <si>
    <t xml:space="preserve">Large (Cat D8-D11)</t>
  </si>
  <si>
    <t xml:space="preserve">D8 class (~363 hp)</t>
  </si>
  <si>
    <t xml:space="preserve">Cat D8 (D8T)</t>
  </si>
  <si>
    <t xml:space="preserve">Blade Cat D8 SU 13.47 yd3 (LGP SU 12.9)</t>
  </si>
  <si>
    <t xml:space="preserve">8254</t>
  </si>
  <si>
    <t xml:space="preserve">Cat VisionLink Dec 2022, model D8-21 / D8T [CATFUEL22]</t>
  </si>
  <si>
    <t xml:space="preserve">EW-CLR-HVY,EW-PUSH-100,EW-PUSH-200,EW-PUSH-300,EW-SPREAD,EW-RIP</t>
  </si>
  <si>
    <t xml:space="preserve">Ziegler lists D8 as Medium, Carter as Large; Large used (Carter rename grouping). Rent: Wheeler only. Ex-fuel (C) = FEMA incl-fuel rate - Fuel_gal_hr_med x diesel back-out price (Settings B5).</t>
  </si>
  <si>
    <t xml:space="preserve">DZ-CRAWL-D9</t>
  </si>
  <si>
    <t xml:space="preserve">D9 class (~452 hp)</t>
  </si>
  <si>
    <t xml:space="preserve">Cat D9</t>
  </si>
  <si>
    <t xml:space="preserve">Blade Cat D9 SU 17.8 yd3 (U 21.7)</t>
  </si>
  <si>
    <t xml:space="preserve">8255</t>
  </si>
  <si>
    <t xml:space="preserve">Cat VisionLink Dec 2022, model D9-07 [CATFUEL22]</t>
  </si>
  <si>
    <t xml:space="preserve">multi-axle-heavy</t>
  </si>
  <si>
    <t xml:space="preserve">EW-CLR-HVY,EW-PUSH-100,EW-PUSH-200,EW-PUSH-300,EW-RIP</t>
  </si>
  <si>
    <t xml:space="preserve">Weight not in notes; transport set per mob notes ('D9+' multi-axle). Weight from cat.com (D9 110,205-111,362 lb) [CAT-DOZ-PG]. Ex-fuel (C) = FEMA incl-fuel rate - Fuel_gal_hr_med x diesel back-out price (Settings B5).</t>
  </si>
  <si>
    <t xml:space="preserve">DZ-CRAWL-D10</t>
  </si>
  <si>
    <t xml:space="preserve">D10 class (~602 hp)</t>
  </si>
  <si>
    <t xml:space="preserve">Cat D10 (D10T2)</t>
  </si>
  <si>
    <t xml:space="preserve">Blade Cat D10 10SU 24.2 yd3 (10U 28.7)</t>
  </si>
  <si>
    <t xml:space="preserve">Cat VisionLink Dec 2022, model D10T2 [CATFUEL22]</t>
  </si>
  <si>
    <t xml:space="preserve">EW-PUSH-100,EW-PUSH-200,EW-PUSH-300,EW-RIP</t>
  </si>
  <si>
    <t xml:space="preserve">Rental quoted on request only (Wheeler). Weight from cat.com (D9 110,205-111,362 lb) [CAT-DOZ-PG]. Owned_rate_hr_incl_fuel interpolated (C) between DZ-CRAWL-D9 and DZ-CRAWL-D11 by Net HP (FEMA 2025 endpoints). Ex-fuel (C) = FEMA incl-fuel rate - Fuel_gal_hr_med x diesel back-out price (Settings B5).</t>
  </si>
  <si>
    <t xml:space="preserve">DZ-CRAWL-D11</t>
  </si>
  <si>
    <t xml:space="preserve">D11 class (~850 hp)</t>
  </si>
  <si>
    <t xml:space="preserve">Cat D11</t>
  </si>
  <si>
    <t xml:space="preserve">Blade Cat D11 SU 35.6 yd3 (U 45; reclamation U 55; carrydozer 57)</t>
  </si>
  <si>
    <t xml:space="preserve">8256</t>
  </si>
  <si>
    <t xml:space="preserve">Cat VisionLink Dec 2022, model D11-07 [CATFUEL22]</t>
  </si>
  <si>
    <t xml:space="preserve">Rental quoted on request only (Wheeler). Weight from cat.com (D9 110,205-111,362 lb) [CAT-DOZ-PG]. Ex-fuel (C) = FEMA incl-fuel rate - Fuel_gal_hr_med x diesel back-out price (Settings B5).</t>
  </si>
  <si>
    <t xml:space="preserve">DZ-WHEEL-814</t>
  </si>
  <si>
    <t xml:space="preserve">Wheel dozer</t>
  </si>
  <si>
    <t xml:space="preserve">Rubber-tired dozer</t>
  </si>
  <si>
    <t xml:space="preserve">Cat 814 class (~249 hp)</t>
  </si>
  <si>
    <t xml:space="preserve">Cat 814</t>
  </si>
  <si>
    <t xml:space="preserve">8260</t>
  </si>
  <si>
    <t xml:space="preserve">EW-PUSH-100,EW-PUSH-200,EW-SPREAD</t>
  </si>
  <si>
    <t xml:space="preserve">Weight not in notes; transport class assumed permitted (verify). Fuel gal/hr derived (C): Net_HP x USACE fuel factor x load factor (Settings B11-B15). Ex-fuel (C) = FEMA incl-fuel rate - Fuel_gal_hr_med x diesel back-out price (Settings B5).</t>
  </si>
  <si>
    <t xml:space="preserve">DZ-WHEEL-824</t>
  </si>
  <si>
    <t xml:space="preserve">Cat 824 class (~405 hp)</t>
  </si>
  <si>
    <t xml:space="preserve">Cat 824</t>
  </si>
  <si>
    <t xml:space="preserve">8261</t>
  </si>
  <si>
    <t xml:space="preserve">Fuel gal/hr derived (C): Net_HP x USACE fuel factor x load factor (Settings B11-B15). Ex-fuel (C) = FEMA incl-fuel rate - Fuel_gal_hr_med x diesel back-out price (Settings B5).</t>
  </si>
  <si>
    <t xml:space="preserve">DZ-WHEEL-834</t>
  </si>
  <si>
    <t xml:space="preserve">Cat 834 class (~496 hp)</t>
  </si>
  <si>
    <t xml:space="preserve">Cat 834</t>
  </si>
  <si>
    <t xml:space="preserve">8262</t>
  </si>
  <si>
    <t xml:space="preserve">DZ-WHEEL-844</t>
  </si>
  <si>
    <t xml:space="preserve">Cat 844 class (~732 hp)</t>
  </si>
  <si>
    <t xml:space="preserve">Cat 844</t>
  </si>
  <si>
    <t xml:space="preserve">8263</t>
  </si>
  <si>
    <t xml:space="preserve">Weight not in notes; transport class assumed permitted (verify). Transport set to multi-axle-heavy for consistency with the lighter 834 (105,271 lb); 844 weight not in notes. Fuel gal/hr derived (C): Net_HP x USACE fuel factor x load factor (Settings B11-B15). Ex-fuel (C) = FEMA incl-fuel rate - Fuel_gal_hr_med x diesel back-out price (Settings B5).</t>
  </si>
  <si>
    <t xml:space="preserve">DZ-WHEEL-854</t>
  </si>
  <si>
    <t xml:space="preserve">Cat 854 class (~814 hp)</t>
  </si>
  <si>
    <t xml:space="preserve">Cat 854</t>
  </si>
  <si>
    <t xml:space="preserve">Fuel gal/hr derived (C): Net_HP x USACE fuel factor x load factor (Settings B11-B15).</t>
  </si>
  <si>
    <t xml:space="preserve">EX-MINI-1T</t>
  </si>
  <si>
    <t xml:space="preserve">Hydraulic excavator</t>
  </si>
  <si>
    <t xml:space="preserve">Mini/compact 1-2 t</t>
  </si>
  <si>
    <t xml:space="preserve">1-2 t (&lt;=5,000 lb)</t>
  </si>
  <si>
    <t xml:space="preserve">Operating weight</t>
  </si>
  <si>
    <t xml:space="preserve">lb</t>
  </si>
  <si>
    <t xml:space="preserve">Cat 300.9D (2,061 lb, 13 hp), 301.5 (3,913 lb, 21 hp), 301.7 CR, 301.8, 302 CR; Kubota K008; Bobcat E10/E20</t>
  </si>
  <si>
    <t xml:space="preserve">Operating Engineer - light/compact group (per WD)</t>
  </si>
  <si>
    <t xml:space="preserve">W25;B25;R25;N25;A26;DOZR-EX</t>
  </si>
  <si>
    <t xml:space="preserve">Owned: USACE standby = 0.5 x DEPR + FCCM, max 40 hr/wk [USACE-EP]; with only an all-in rate use Caltrans delay factor x rate, max 8 hr/day &amp; 40 hr/wk [CALT-2627]: HCECL factor 0.17 (book) / 0.16 (Sep 2026 interim). Rental: accrues by calendar period (no idle discount). FEMA: not eligible unless intermittent use [FEMA-PG].</t>
  </si>
  <si>
    <t xml:space="preserve">EW-TRENCH-5,EW-STRUCT,EW-BACKFILL</t>
  </si>
  <si>
    <t xml:space="preserve">Representative model 301.5 (3,913 lb, 21 hp) used for weight/HP. Tail swing (zero/reduced/conventional) does not change the rate class. No FEMA code below 45 hp; not extrapolated. Tail swing: zero / minimal (&lt;10% overhang) / conventional variants exist [BOBCAT-EX]; not priced separately by the rental sources. Max dig depth: Deere 17 P 7'2" [DEERE-RENT; CAT-EXC-PG]. Rent: Median of 6 sources (W 346/1004/2913; B 248/745/2235; R 200/750/2200; N 190/665/1665; A 300/900/2200; D 225/675/1775). Fuel gal/hr derived (C): Net_HP x USACE fuel factor x load factor (Settings B11-B15).</t>
  </si>
  <si>
    <t xml:space="preserve">Needs rate (owned)</t>
  </si>
  <si>
    <t xml:space="preserve">EX-MINI-3T</t>
  </si>
  <si>
    <t xml:space="preserve">Mini/compact 3-4 t</t>
  </si>
  <si>
    <t xml:space="preserve">3-4 t (5,000-10,000 lb)</t>
  </si>
  <si>
    <t xml:space="preserve">Cat 302.7 CR, 303 CR, 303.5 CR, 304 (9,867 lb, 45 hp); Kubota KX033/KX040; Bobcat E26/E35/E42</t>
  </si>
  <si>
    <t xml:space="preserve">GP bucket 0.15 yd3 (typ; Deere 35G spec-basis bucket 0.11 m3 (0.15 yd3); single value, not a range)</t>
  </si>
  <si>
    <t xml:space="preserve">W25;C25;B25;R25;N25;A26;DOZR-EX</t>
  </si>
  <si>
    <t xml:space="preserve">EW-TRENCH-5,EW-STRUCT,EW-BACKFILL,UT-PIPE-WATER</t>
  </si>
  <si>
    <t xml:space="preserve">Representative model Cat 304 (9,867 lb, 45 hp). FEMA 8280 (305 CR) caps at 45 hp but is mapped to the 5-6 t class; not reused here. Rounded half-up (Excel rule) in revision; may differ by 1 from the notes table, which used banker's rounding. Tail swing: zero / minimal (&lt;10% overhang) / conventional variants exist [BOBCAT-EX]; not priced separately by the rental sources. Max dig depth: Cat 303.5 CR 110.6-122.4 in; Deere 35G 10'0"; Kubota KX040-4 11.23 ft [DEERE-RENT; CAT-EXC-PG]. Rent: Median of 7 sources (W 528/1530/4438; C 375/912/2250; B 310/930/2790; R 307/1215/3190; N 290/1012/2788; A 375/1075/2625; D 325/975/2550). Fuel gal/hr derived (C): Net_HP x USACE fuel factor x load factor (Settings B11-B15).</t>
  </si>
  <si>
    <t xml:space="preserve">EX-MINI-5T</t>
  </si>
  <si>
    <t xml:space="preserve">Mini/compact 5-6 t</t>
  </si>
  <si>
    <t xml:space="preserve">5-6 t (10,000-14,000 lb)</t>
  </si>
  <si>
    <t xml:space="preserve">Cat 305 CR (12,688 lb, 45 hp, 12 ft dig), 306 CR; Kubota KX057; Case CX55; Bobcat E50/E60</t>
  </si>
  <si>
    <t xml:space="preserve">W25;C25;B25;R25;N25;A26</t>
  </si>
  <si>
    <t xml:space="preserve">8280</t>
  </si>
  <si>
    <t xml:space="preserve">Cat VisionLink Dec 2022, model 305-07 CR [CATFUEL22]</t>
  </si>
  <si>
    <t xml:space="preserve">EW-TRENCH-5,EW-TRENCH-10,EW-STRUCT,EW-BACKFILL,UT-PIPE-WATER</t>
  </si>
  <si>
    <t xml:space="preserve">Rounded half-up (Excel rule) in revision; may differ by 1 from the notes table, which used banker's rounding. Tail swing: zero / minimal (&lt;10% overhang) / conventional variants exist [BOBCAT-EX]; not priced separately by the rental sources. Max dig depth: Cat 305 CR 134.6-144.5 in; Deere 50 P 11'7"; Bobcat E50 11.4 ft [DEERE-RENT; CAT-EXC-PG]. Rent: Median of 6 sources (W 740/2147/6226; C 488/1212/3000; B 370/1110/3330; R 410/1672/3798; N 335/1175/2950; A 475/1425/3125). Ex-fuel (C) = FEMA incl-fuel rate - Fuel_gal_hr_med x diesel back-out price (Settings B5).</t>
  </si>
  <si>
    <t xml:space="preserve">EX-MIDI-8T</t>
  </si>
  <si>
    <t xml:space="preserve">Midi 7-8 t (nominal 8 t)</t>
  </si>
  <si>
    <t xml:space="preserve">7-8 t nominal (~15,400-19,800 lb)</t>
  </si>
  <si>
    <t xml:space="preserve">Cat 307.5 (17,905 lb), 308 CR (18,493 lb, 69.5 hp); Komatsu PC88MR (19,225 lb); Kubota KX080; Bobcat E88</t>
  </si>
  <si>
    <t xml:space="preserve">GP bucket 0.26 yd3 (typ; Komatsu PC88MR-11 single listed bucket 0.26 yd3 (aggregator))</t>
  </si>
  <si>
    <t xml:space="preserve">W25;C25;B25;R25</t>
  </si>
  <si>
    <t xml:space="preserve">Cat VisionLink Dec 2022, model 308-07 CR [CATFUEL22]</t>
  </si>
  <si>
    <t xml:space="preserve">EW-CUTLOAD,EW-MASS,EW-TRENCH-5,EW-TRENCH-10,EW-STRUCT,EW-BACKFILL,UT-PIPE-STORM,DM-PAVE-CONC</t>
  </si>
  <si>
    <t xml:space="preserve">Cat 308-07 CR fuel (0.95 med) is below the 305 CR (1.55) in the source; reproduced as published. Split in revision from the notes' 8-10 t class (Bobcat 7-8 / 9-10 t classes). Tail swing: zero / minimal (&lt;10% overhang) / conventional variants exist in compact classes [BOBCAT-EX]; rental sources do not price them separately. Max dig depth: Deere 85 P 14'10"; PC88MR 15 ft [DEERE-RENT; CAT-EXC-PG]. Rent: Median of 4 sources after split (W 308 823/2388/6924; C PC88MR 650/1600/4000; B KX080/ET90 420/1260/3780; R E88 550/1995/4995). 8.4-8.8 t models assigned to the 7-8 t (nominal 8 t) class. Owned_rate_hr_incl_fuel interpolated (C) between EX-MINI-5T and EX-CRAWL-13T by Net HP (FEMA 2025 endpoints). Ex-fuel (C) = FEMA incl-fuel rate - Fuel_gal_hr_med x diesel back-out price (Settings B5).</t>
  </si>
  <si>
    <t xml:space="preserve">Fuel value looks low vs smaller class</t>
  </si>
  <si>
    <t xml:space="preserve">EX-MIDI-10T</t>
  </si>
  <si>
    <t xml:space="preserve">Midi 9-10 t</t>
  </si>
  <si>
    <t xml:space="preserve">9-10 t (~19,800-23,000 lb)</t>
  </si>
  <si>
    <t xml:space="preserve">Cat 309 CR (21,091 lb), 310 (23,002 lb, 69.5 hp, 205.2 in dig)</t>
  </si>
  <si>
    <t xml:space="preserve">W25;A26</t>
  </si>
  <si>
    <t xml:space="preserve">EW-CUTLOAD,EW-MASS,EW-TRENCH-5,EW-TRENCH-10,EW-STRUCT,EW-BACKFILL,UT-PIPE-STORM</t>
  </si>
  <si>
    <t xml:space="preserve">Split from the 8-10 t class in revision. Rent: Mean of 2 sources after split (W 309/310 avg 884.5/2564/7436.5; A 18-25K lb 550/1800/4250). Ahearn 18-25K lb class straddles both midi rows; assigned here. Half-up rounding. Owned_rate_hr_incl_fuel interpolated (C) between EX-MINI-5T and EX-CRAWL-13T by Net HP (FEMA 2025 endpoints). Fuel gal/hr derived (C): Net_HP x USACE fuel factor x load factor (Settings B11-B15). Ex-fuel (C) = FEMA incl-fuel rate - Fuel_gal_hr_med x diesel back-out price (Settings B5).</t>
  </si>
  <si>
    <t xml:space="preserve">EX-CRAWL-13T</t>
  </si>
  <si>
    <t xml:space="preserve">Small 13-15 t</t>
  </si>
  <si>
    <t xml:space="preserve">13-15 t (~30,000-34,000 lb)</t>
  </si>
  <si>
    <t xml:space="preserve">Cat 313 GC (30,400 lb, 73 hp), 313 (108 hp), 315 GC (34,000 lb); Komatsu PC138USLC; Develon DX140</t>
  </si>
  <si>
    <t xml:space="preserve">GP bucket 0.75 yd3 (typ; midpoint of typical GP 0.5-1.0 yd3 (Deere 135 P HD 0.47-0.99))</t>
  </si>
  <si>
    <t xml:space="preserve">W25;C25;B25;R25;A26</t>
  </si>
  <si>
    <t xml:space="preserve">8281</t>
  </si>
  <si>
    <t xml:space="preserve">Cat VisionLink Dec 2022, model 313-07 GC [CATFUEL22]</t>
  </si>
  <si>
    <t xml:space="preserve">Net_HP = FEMA HP cap (90); Ziegler lists 313 GC at 73 hp. Max dig depth: Deere 135 P 20'0" [DEERE-RENT; CAT-EXC-PG]. Rent: Median of 5 sources (W 1034/3001/8703; C 850/2100/5200; B 515/1545/4635; R 650/2200/5600; A 700/2000/5250). Ex-fuel (C) = FEMA incl-fuel rate - Fuel_gal_hr_med x diesel back-out price (Settings B5).</t>
  </si>
  <si>
    <t xml:space="preserve">EX-CRAWL-17T</t>
  </si>
  <si>
    <t xml:space="preserve">Small 16-18 t</t>
  </si>
  <si>
    <t xml:space="preserve">16-18 t (~38,000-40,000 lb)</t>
  </si>
  <si>
    <t xml:space="preserve">Cat 317 GC (38,000 lb), 317 (40,200 lb, 133 hp); Komatsu PC170LC; Develon DX170/180</t>
  </si>
  <si>
    <t xml:space="preserve">GP bucket 0.899 yd3 (typ; interpolated by operating weight between EX-CRAWL-13T (30,400 lb, 0.75) and EX-CRAWL-20T (48,500 lb, 1.025))</t>
  </si>
  <si>
    <t xml:space="preserve">W25;C25;R25;A26</t>
  </si>
  <si>
    <t xml:space="preserve">Rounded half-up (Excel rule) in revision; may differ by 1 from the notes table, which used banker's rounding. Rent: Median of 4 sources (W 1042/3023/8766; C 950/2375/5900; R 760/2550/7125; A 750/2250/5750). Owned_rate_hr_incl_fuel interpolated (C) between EX-CRAWL-13T and EX-CRAWL-20T by operating weight (FEMA 2025 endpoints). Fuel gal/hr derived (C): Net_HP x USACE fuel factor x load factor (Settings B11-B15). Ex-fuel (C) = FEMA incl-fuel rate - Fuel_gal_hr_med x diesel back-out price (Settings B5).</t>
  </si>
  <si>
    <t xml:space="preserve">Non-monotonic vs EX-CRAWL-20T - source data</t>
  </si>
  <si>
    <t xml:space="preserve">EX-CRAWL-20T</t>
  </si>
  <si>
    <t xml:space="preserve">Medium 20-25 t</t>
  </si>
  <si>
    <t xml:space="preserve">20-25 t (~48,500-62,800 lb)</t>
  </si>
  <si>
    <t xml:space="preserve">Cat 320 GC (48,500 lb, 146 hp), 320 (172 hp), 323, 325, 326; Komatsu PC210LC/PC238; Develon DX225/235/255</t>
  </si>
  <si>
    <t xml:space="preserve">GP bucket 1.025 yd3 (typ; midpoint of typical GP 0.75-1.3 yd3 (Deere 210 P 0.56-1.29))</t>
  </si>
  <si>
    <t xml:space="preserve">8282</t>
  </si>
  <si>
    <t xml:space="preserve">Cat VisionLink Dec 2022, model 320-07 GC [CATFUEL22]</t>
  </si>
  <si>
    <t xml:space="preserve">EW-CUTLOAD,EW-MASS,EW-TRENCH-5,EW-TRENCH-10,EW-STRUCT,EW-BACKFILL,UT-PIPE-STORM,DM-PAVE-CONC,UT-PIPE-SAN,EW-TRENCH-15</t>
  </si>
  <si>
    <t xml:space="preserve">Max dig depth: Deere 210 P 21'11"; Cat 320 22 ft [DEERE-RENT; CAT-EXC-PG]. Rent: Median of 4 sources (W 1220/3538/10259; C 1162/2888/7200; R 917/2967/8700; A 800/2500/6500). Machine-control 'i' models cost 25-75% more (Columbus PC210LCi 1400/4150/12400). Ex-fuel (C) = FEMA incl-fuel rate - Fuel_gal_hr_med x diesel back-out price (Settings B5).</t>
  </si>
  <si>
    <t xml:space="preserve">EX-CRAWL-30T</t>
  </si>
  <si>
    <t xml:space="preserve">Medium 30-36 t</t>
  </si>
  <si>
    <t xml:space="preserve">30-36 t (~68,000-81,000 lb)</t>
  </si>
  <si>
    <t xml:space="preserve">Cat 330 (69,200 lb, 273 hp), 330 GC, 335, 336 (81,100 lb, 300 hp); Komatsu PC290/PC360; Develon DX300/350</t>
  </si>
  <si>
    <t xml:space="preserve">GP bucket 1.95 yd3 (typ; midpoint of typical GP 1.4-2.5 yd3 (Deere 345/350 P, Komatsu PC360LC-11))</t>
  </si>
  <si>
    <t xml:space="preserve">8283</t>
  </si>
  <si>
    <t xml:space="preserve">Cat VisionLink Dec 2022, model 330-07 GC [CATFUEL22]</t>
  </si>
  <si>
    <t xml:space="preserve">EW-CUTLOAD,EW-MASS,EW-TRENCH-5,EW-TRENCH-10,EW-STRUCT,EW-BACKFILL,UT-PIPE-STORM,DM-PAVE-CONC,UT-PIPE-SAN,UT-PIPE-STORM-L,EW-TRENCH-15</t>
  </si>
  <si>
    <t xml:space="preserve">Transport width 11.1 ft = Cat 336D L (133.5 in) per RitchieSpecs; &gt;8.5 ft so oversize. Net_HP = FEMA cap (201). Rounded half-up (Excel rule) in revision; may differ by 1 from the notes table, which used banker's rounding. Max dig depth: Deere 350 P 24'3"-26'10"; Cat 336 26.11 ft [DEERE-RENT; CAT-EXC-PG]. Rent: Median of 4 sources (W 1686/4888/14176; C 1650/4088/10200; R 1198/3950/11500; A 1075/3475/9000). Ex-fuel (C) = FEMA incl-fuel rate - Fuel_gal_hr_med x diesel back-out price (Settings B5).</t>
  </si>
  <si>
    <t xml:space="preserve">EX-CRAWL-40T</t>
  </si>
  <si>
    <t xml:space="preserve">Large 36-45 t</t>
  </si>
  <si>
    <t xml:space="preserve">~40 t (83,000 lb)</t>
  </si>
  <si>
    <t xml:space="preserve">Cat 340 (83,100 lb, 346 hp)</t>
  </si>
  <si>
    <t xml:space="preserve">GP bucket 2.402 yd3 (typ; interpolated by operating weight between EX-CRAWL-30T (69,200 lb, 1.95) and EX-CRAWL-70T (162,900 lb, 5.0))</t>
  </si>
  <si>
    <t xml:space="preserve">8284</t>
  </si>
  <si>
    <t xml:space="preserve">Cat VisionLink Dec 2022, model 340-08 [CATFUEL22]</t>
  </si>
  <si>
    <t xml:space="preserve">EW-CUTLOAD,EW-MASS,EW-TRENCH-10,EW-STRUCT,UT-PIPE-STORM-L,EW-TRENCH-15</t>
  </si>
  <si>
    <t xml:space="preserve">Rent: Wheeler 340 only. Ex-fuel (C) = FEMA incl-fuel rate - Fuel_gal_hr_med x diesel back-out price (Settings B5).</t>
  </si>
  <si>
    <t xml:space="preserve">Non-monotonic vs EX-CRAWL-50T - source data</t>
  </si>
  <si>
    <t xml:space="preserve">EX-CRAWL-50T</t>
  </si>
  <si>
    <t xml:space="preserve">Large 45-55 t</t>
  </si>
  <si>
    <t xml:space="preserve">45-55 t (~105,000-108,000 lb)</t>
  </si>
  <si>
    <t xml:space="preserve">Cat 349/350/352 (105,100-107,800 lb, 413-443 hp); Komatsu PC490LC</t>
  </si>
  <si>
    <t xml:space="preserve">GP bucket 3.206 yd3 (typ; interpolated by operating weight between EX-CRAWL-30T (69,200 lb, 1.95) and EX-CRAWL-70T (162,900 lb, 5.0))</t>
  </si>
  <si>
    <t xml:space="preserve">W25;C25;A26</t>
  </si>
  <si>
    <t xml:space="preserve">Cat VisionLink Dec 2022, model 352-07 [CATFUEL22]</t>
  </si>
  <si>
    <t xml:space="preserve">EW-CUTLOAD,EW-MASS,EW-STRUCT</t>
  </si>
  <si>
    <t xml:space="preserve">Max dig depth: Cat 352 26.11 ft [DEERE-RENT; CAT-EXC-PG]. Rent: Median of 3 sources (W 2674/7754/22488; C 2250/5600/14000; A 2000/4500/13500). PC490+ may bill set-up/dismantle separately (Columbus). Owned_rate_hr_incl_fuel interpolated (C) between EX-CRAWL-40T and EX-CRAWL-90T by operating weight (FEMA 2025 endpoints). Ex-fuel (C) = FEMA incl-fuel rate - Fuel_gal_hr_med x diesel back-out price (Settings B5).</t>
  </si>
  <si>
    <t xml:space="preserve">EX-CRAWL-70T</t>
  </si>
  <si>
    <t xml:space="preserve">Mass excavation 65-75 t</t>
  </si>
  <si>
    <t xml:space="preserve">65-75 t (~145,000-163,000 lb)</t>
  </si>
  <si>
    <t xml:space="preserve">Cat 374 (162,900 lb, 484 hp); Komatsu PC650LC (145,000 lb)</t>
  </si>
  <si>
    <t xml:space="preserve">GP bucket 5 yd3 (typ; midpoint of typical production bucket 4-6 yd3 (Cat 374 SD 4.32; Deere 870 P 4.56 spec bucket))</t>
  </si>
  <si>
    <t xml:space="preserve">Cat VisionLink Dec 2022, model 374-07 [CATFUEL22]</t>
  </si>
  <si>
    <t xml:space="preserve">EW-CUTLOAD,EW-MASS</t>
  </si>
  <si>
    <t xml:space="preserve">Max dig depth: Cat 374 28.1 ft [DEERE-RENT; CAT-EXC-PG]. Rent: Median (=mean) of 2 sources: W 374 4200/12179/35320; C PC650 3700/9200/23000. (Notes' 65-95 t class split into 65-75 and 90-95 t.) Owned_rate_hr_incl_fuel interpolated (C) between EX-CRAWL-40T and EX-CRAWL-90T by operating weight (FEMA 2025 endpoints). Ex-fuel (C) = FEMA incl-fuel rate - Fuel_gal_hr_med x diesel back-out price (Settings B5).</t>
  </si>
  <si>
    <t xml:space="preserve">EX-CRAWL-90T</t>
  </si>
  <si>
    <t xml:space="preserve">Mass excavation 90-95 t</t>
  </si>
  <si>
    <t xml:space="preserve">90-95 t (~205,000-207,000 lb)</t>
  </si>
  <si>
    <t xml:space="preserve">Cat 395 (207,400 lb, 542 hp); Komatsu PC900LC (205,000 lb)</t>
  </si>
  <si>
    <t xml:space="preserve">GP bucket 6 yd3 (typ; midpoint of typical 5-7 yd3 (Cat 395 SD 6.8))</t>
  </si>
  <si>
    <t xml:space="preserve">8285</t>
  </si>
  <si>
    <t xml:space="preserve">Cat VisionLink Dec 2022, model 395-07 [CATFUEL22]</t>
  </si>
  <si>
    <t xml:space="preserve">Max dig depth: Cat 395 31.9 ft [DEERE-RENT; CAT-EXC-PG]. Rent: Median (=mean) of 2 sources: W 395 5348/15509/44976; C PC900 4650/11600/29000. Ex-fuel (C) = FEMA incl-fuel rate - Fuel_gal_hr_med x diesel back-out price (Settings B5).</t>
  </si>
  <si>
    <t xml:space="preserve">EX-WHEEL-11T</t>
  </si>
  <si>
    <t xml:space="preserve">Wheeled excavator</t>
  </si>
  <si>
    <t xml:space="preserve">Wheeled ~25,000 lb</t>
  </si>
  <si>
    <t xml:space="preserve">Wheeled excavator 25K lb class (Ahearn)</t>
  </si>
  <si>
    <t xml:space="preserve">A26</t>
  </si>
  <si>
    <t xml:space="preserve">read Oct 2026</t>
  </si>
  <si>
    <t xml:space="preserve">Rent: Ahearn only.</t>
  </si>
  <si>
    <t xml:space="preserve">EX-WHEEL-20T</t>
  </si>
  <si>
    <t xml:space="preserve">Wheeled 40,000-55,000 lb</t>
  </si>
  <si>
    <t xml:space="preserve">Cat M314-M322 (36,990-54,770 lb, 134-174 hp; 18.6-23 mph travel); Ahearn 40-45K lb</t>
  </si>
  <si>
    <t xml:space="preserve">EW-TRENCH-5,EW-TRENCH-10,EW-STRUCT,EW-BACKFILL,EW-TRENCH-15</t>
  </si>
  <si>
    <t xml:space="preserve">Representative Cat M318 (174 hp, 43,980 lb). Can road short distances at 18.6-23 mph. Rent: Ahearn 40-45K lb only. Fuel gal/hr derived (C): Net_HP x USACE fuel factor x load factor (Settings B11-B15).</t>
  </si>
  <si>
    <t xml:space="preserve">EX-LR-40T</t>
  </si>
  <si>
    <t xml:space="preserve">Long-reach (LRE)</t>
  </si>
  <si>
    <t xml:space="preserve">Long-reach ~43 t (42.8 ft dig)</t>
  </si>
  <si>
    <t xml:space="preserve">Max dig depth</t>
  </si>
  <si>
    <t xml:space="preserve">ft</t>
  </si>
  <si>
    <t xml:space="preserve">Cat 340 LRE</t>
  </si>
  <si>
    <t xml:space="preserve">EW-MASS</t>
  </si>
  <si>
    <t xml:space="preserve">Specs Ziegler.</t>
  </si>
  <si>
    <t xml:space="preserve">Needs rate; Needs fuel gal/hr; Needs rate (rental); Needs rate (owned)</t>
  </si>
  <si>
    <t xml:space="preserve">EX-LR-55T</t>
  </si>
  <si>
    <t xml:space="preserve">Long-reach ~58 t (42.8 ft dig)</t>
  </si>
  <si>
    <t xml:space="preserve">Cat 352 LRE</t>
  </si>
  <si>
    <t xml:space="preserve">EX-SHOVEL-95T</t>
  </si>
  <si>
    <t xml:space="preserve">Front shovel</t>
  </si>
  <si>
    <t xml:space="preserve">Front shovel ~96 t</t>
  </si>
  <si>
    <t xml:space="preserve">Cat 395 Front Shovel</t>
  </si>
  <si>
    <t xml:space="preserve">EW-CUTLOAD</t>
  </si>
  <si>
    <t xml:space="preserve">EX-GRADALL-XL3100</t>
  </si>
  <si>
    <t xml:space="preserve">Truck-mounted (Gradall)</t>
  </si>
  <si>
    <t xml:space="preserve">Gradall XL3100 III (0.57 CY)</t>
  </si>
  <si>
    <t xml:space="preserve">Bucket</t>
  </si>
  <si>
    <t xml:space="preserve">CY</t>
  </si>
  <si>
    <t xml:space="preserve">Gradall XL3100 III</t>
  </si>
  <si>
    <t xml:space="preserve">0.57 CY bucket</t>
  </si>
  <si>
    <t xml:space="preserve">8287</t>
  </si>
  <si>
    <t xml:space="preserve">Owned: USACE standby = 0.5 x DEPR + FCCM, max 40 hr/wk [USACE-EP]; with only an all-in rate use Caltrans delay factor x rate, max 8 hr/day &amp; 40 hr/wk [CALT-2627]: HCETD factor 0.12. Rental: accrues by calendar period (no idle discount). FEMA: not eligible unless intermittent use [FEMA-PG].</t>
  </si>
  <si>
    <t xml:space="preserve">self-propelled</t>
  </si>
  <si>
    <t xml:space="preserve">EW-CUTLOAD,EW-TRENCH-5,EW-STRUCT</t>
  </si>
  <si>
    <t xml:space="preserve">HP from taxonomy extract (owned_rates lists n/c). Travels on its own truck carrier. Fuel gal/hr derived (C): Net_HP x USACE fuel factor x load factor (Settings B11-B15). Ex-fuel (C) = FEMA incl-fuel rate - Fuel_gal_hr_med x diesel back-out price (Settings B5).</t>
  </si>
  <si>
    <t xml:space="preserve">EX-GRADALL-XL4100</t>
  </si>
  <si>
    <t xml:space="preserve">Gradall XL4100 III (0.62 CY)</t>
  </si>
  <si>
    <t xml:space="preserve">Gradall XL4100 III</t>
  </si>
  <si>
    <t xml:space="preserve">0.62 CY bucket</t>
  </si>
  <si>
    <t xml:space="preserve">8288</t>
  </si>
  <si>
    <t xml:space="preserve">EX-GRADALL-XL5100</t>
  </si>
  <si>
    <t xml:space="preserve">Gradall XL5100 (1.25 CY)</t>
  </si>
  <si>
    <t xml:space="preserve">Gradall XL5100</t>
  </si>
  <si>
    <t xml:space="preserve">1.25 CY bucket</t>
  </si>
  <si>
    <t xml:space="preserve">8289</t>
  </si>
  <si>
    <t xml:space="preserve">EX-CLAM-10CY</t>
  </si>
  <si>
    <t xml:space="preserve">Clamshell bucket (crane/cable)</t>
  </si>
  <si>
    <t xml:space="preserve">Cable clamshell</t>
  </si>
  <si>
    <t xml:space="preserve">Clamshell 1.0 CY</t>
  </si>
  <si>
    <t xml:space="preserve">1.0</t>
  </si>
  <si>
    <t xml:space="preserve">1.0 CY</t>
  </si>
  <si>
    <t xml:space="preserve">none (attachment)</t>
  </si>
  <si>
    <t xml:space="preserve">None (non-operated item)</t>
  </si>
  <si>
    <t xml:space="preserve">8270</t>
  </si>
  <si>
    <t xml:space="preserve">No engine (towed / attachment / non-powered)</t>
  </si>
  <si>
    <t xml:space="preserve">flatbed</t>
  </si>
  <si>
    <t xml:space="preserve">FEMA 8270: Code listed in taxonomy; rate not captured in owned-rate notes.</t>
  </si>
  <si>
    <t xml:space="preserve">Needs rate; Needs rate (rental); Needs rate (owned; FEMA code exists)</t>
  </si>
  <si>
    <t xml:space="preserve">EX-CLAM-3-4CY</t>
  </si>
  <si>
    <t xml:space="preserve">Clamshell 3-4 CY</t>
  </si>
  <si>
    <t xml:space="preserve">3-4</t>
  </si>
  <si>
    <t xml:space="preserve">3-4 CY</t>
  </si>
  <si>
    <t xml:space="preserve">8271</t>
  </si>
  <si>
    <t xml:space="preserve">FEMA 8271: Code listed in taxonomy; rate not captured in owned-rate notes.</t>
  </si>
  <si>
    <t xml:space="preserve">EX-CLAM-5CY</t>
  </si>
  <si>
    <t xml:space="preserve">Clamshell 5 CY</t>
  </si>
  <si>
    <t xml:space="preserve">5</t>
  </si>
  <si>
    <t xml:space="preserve">5 CY</t>
  </si>
  <si>
    <t xml:space="preserve">8272</t>
  </si>
  <si>
    <t xml:space="preserve">FEMA 8272: Code listed in taxonomy; rate not captured in owned-rate notes.</t>
  </si>
  <si>
    <t xml:space="preserve">EX-CLAM-75CY</t>
  </si>
  <si>
    <t xml:space="preserve">Clamshell 7.5 CY</t>
  </si>
  <si>
    <t xml:space="preserve">7.5</t>
  </si>
  <si>
    <t xml:space="preserve">7.5 CY</t>
  </si>
  <si>
    <t xml:space="preserve">8273</t>
  </si>
  <si>
    <t xml:space="preserve">FEMA 8273: Code listed in taxonomy; rate not captured in owned-rate notes.</t>
  </si>
  <si>
    <t xml:space="preserve">EX-DRAG-2CY</t>
  </si>
  <si>
    <t xml:space="preserve">Dragline bucket (crane/cable)</t>
  </si>
  <si>
    <t xml:space="preserve">Cable dragline</t>
  </si>
  <si>
    <t xml:space="preserve">Dragline 2 CY</t>
  </si>
  <si>
    <t xml:space="preserve">2</t>
  </si>
  <si>
    <t xml:space="preserve">2 CY</t>
  </si>
  <si>
    <t xml:space="preserve">8275</t>
  </si>
  <si>
    <t xml:space="preserve">FEMA 8275: Code listed in taxonomy; rate not captured in owned-rate notes.</t>
  </si>
  <si>
    <t xml:space="preserve">EX-DRAG-5CY</t>
  </si>
  <si>
    <t xml:space="preserve">Dragline 5 CY</t>
  </si>
  <si>
    <t xml:space="preserve">8276</t>
  </si>
  <si>
    <t xml:space="preserve">FEMA 8276: Code listed in taxonomy; rate not captured in owned-rate notes.</t>
  </si>
  <si>
    <t xml:space="preserve">EX-DRAG-10CY</t>
  </si>
  <si>
    <t xml:space="preserve">Dragline 10 CY</t>
  </si>
  <si>
    <t xml:space="preserve">10</t>
  </si>
  <si>
    <t xml:space="preserve">10 CY</t>
  </si>
  <si>
    <t xml:space="preserve">8277</t>
  </si>
  <si>
    <t xml:space="preserve">FEMA 8277: Code listed in taxonomy; rate not captured in owned-rate notes.</t>
  </si>
  <si>
    <t xml:space="preserve">EX-DRAG-14CY</t>
  </si>
  <si>
    <t xml:space="preserve">Dragline 14 CY</t>
  </si>
  <si>
    <t xml:space="preserve">14</t>
  </si>
  <si>
    <t xml:space="preserve">14 CY</t>
  </si>
  <si>
    <t xml:space="preserve">8278</t>
  </si>
  <si>
    <t xml:space="preserve">FEMA 8278: Code listed in taxonomy; rate not captured in owned-rate notes.</t>
  </si>
  <si>
    <t xml:space="preserve">BH-415</t>
  </si>
  <si>
    <t xml:space="preserve">Backhoe loader</t>
  </si>
  <si>
    <t xml:space="preserve">Center-pivot, compact</t>
  </si>
  <si>
    <t xml:space="preserve">Cat 415 class (69 hp)</t>
  </si>
  <si>
    <t xml:space="preserve">Cat 415 IL (69 hp, 17,637 lb)</t>
  </si>
  <si>
    <t xml:space="preserve">Owned: USACE standby = 0.5 x DEPR + FCCM, max 40 hr/wk [USACE-EP]; with only an all-in rate use Caltrans delay factor x rate, max 8 hr/day &amp; 40 hr/wk [CALT-2627]: LDRRT factor 0.11 (book) / 0.10 (interim). Rental: accrues by calendar period (no idle discount). FEMA: not eligible unless intermittent use [FEMA-PG].</t>
  </si>
  <si>
    <t xml:space="preserve">EW-TRENCH-5,EW-BACKFILL,EW-LOAD-TRK</t>
  </si>
  <si>
    <t xml:space="preserve">Rent: Wheeler only. Fuel gal/hr derived (C): Net_HP x USACE fuel factor x load factor (Settings B11-B15).</t>
  </si>
  <si>
    <t xml:space="preserve">Non-monotonic vs BH-STD-14FT - source data; Needs rate (owned)</t>
  </si>
  <si>
    <t xml:space="preserve">BH-STD-14FT</t>
  </si>
  <si>
    <t xml:space="preserve">Center-pivot, standard</t>
  </si>
  <si>
    <t xml:space="preserve">Standard 14-15 ft dig (90-103 hp)</t>
  </si>
  <si>
    <t xml:space="preserve">Cat 416/420/420 XE (24,251 lb, 92-103 hp); Case 580SN; 90-99 hp class</t>
  </si>
  <si>
    <t xml:space="preserve">0.87 CY loader bucket (Case 580 per FEMA 8401); Bucket 1.25 yd3 typ (Cat 420 loader MP bucket 1.25 yd3)</t>
  </si>
  <si>
    <t xml:space="preserve">W25;B25;A26</t>
  </si>
  <si>
    <t xml:space="preserve">8572</t>
  </si>
  <si>
    <t xml:space="preserve">Cat VisionLink Dec 2022, model 420-07 [CATFUEL22]</t>
  </si>
  <si>
    <t xml:space="preserve">EW-TRENCH-5,EW-STRUCT,EW-BACKFILL,EW-LOAD-TRK,UT-PIPE-WATER</t>
  </si>
  <si>
    <t xml:space="preserve">Weight is max operating weight (Ziegler). Cat 420: 91 hp net, loader MP bucket 1.25 yd3, 14 ft std dig; travel F 3.7/5.8/12/25 mph [CAT-420]. Hoe bucket capacity not published (trench/structural rows stay D). Rent: Median of 3 sources (W 420 619/1796/5209; B Case 580SN 415/1245/3735; A 90-99 hp 500/1250/2750). Ex-fuel (C) = FEMA incl-fuel rate - Fuel_gal_hr_med x diesel back-out price (Settings B5).</t>
  </si>
  <si>
    <t xml:space="preserve">BH-CASE580-80HP</t>
  </si>
  <si>
    <t xml:space="preserve">Center-pivot, standard (FEMA 8401)</t>
  </si>
  <si>
    <t xml:space="preserve">Case 580 Super L (80 hp, 0.87 CY)</t>
  </si>
  <si>
    <t xml:space="preserve">Case 580 Super L</t>
  </si>
  <si>
    <t xml:space="preserve">0.87 CY; Bucket 0.87 yd3 typ (Case 580 Super L 0.87 CY (FEMA 8401))</t>
  </si>
  <si>
    <t xml:space="preserve">8401</t>
  </si>
  <si>
    <t xml:space="preserve">EW-TRENCH-5,EW-BACKFILL</t>
  </si>
  <si>
    <t xml:space="preserve">Owned-rate row only; for rental use BH-STD-14FT. Fuel gal/hr derived (C): Net_HP x USACE fuel factor x load factor (Settings B11-B15). Ex-fuel (C) = FEMA incl-fuel rate - Fuel_gal_hr_med x diesel back-out price (Settings B5).</t>
  </si>
  <si>
    <t xml:space="preserve">Non-monotonic vs BH-430 - source data; Needs rate (rental)</t>
  </si>
  <si>
    <t xml:space="preserve">BH-430</t>
  </si>
  <si>
    <t xml:space="preserve">Center-pivot, extended</t>
  </si>
  <si>
    <t xml:space="preserve">Cat 430 class (107 hp, 15.1 ft dig)</t>
  </si>
  <si>
    <t xml:space="preserve">Cat 430</t>
  </si>
  <si>
    <t xml:space="preserve">Cat VisionLink Dec 2022, model 430-07 [CATFUEL22]</t>
  </si>
  <si>
    <t xml:space="preserve">Rent: Wheeler only.</t>
  </si>
  <si>
    <t xml:space="preserve">BH-440</t>
  </si>
  <si>
    <t xml:space="preserve">Center-pivot, large</t>
  </si>
  <si>
    <t xml:space="preserve">Cat 440 class (104 hp, 29,321 lb)</t>
  </si>
  <si>
    <t xml:space="preserve">Cat 440</t>
  </si>
  <si>
    <t xml:space="preserve">Cat VisionLink Dec 2022, model 440-07 [CATFUEL22]</t>
  </si>
  <si>
    <t xml:space="preserve">EW-TRENCH-5,EW-TRENCH-10,EW-BACKFILL,EW-LOAD-TRK</t>
  </si>
  <si>
    <t xml:space="preserve">BH-450</t>
  </si>
  <si>
    <t xml:space="preserve">Cat 450 class (131 hp, 17 ft dig)</t>
  </si>
  <si>
    <t xml:space="preserve">Cat 450</t>
  </si>
  <si>
    <t xml:space="preserve">8573</t>
  </si>
  <si>
    <t xml:space="preserve">Cat VisionLink Dec 2022, model 450-07 [CATFUEL22]</t>
  </si>
  <si>
    <t xml:space="preserve">FEMA 8573: FEMA rate not reliably extracted.</t>
  </si>
  <si>
    <t xml:space="preserve">BH-SIDESHIFT</t>
  </si>
  <si>
    <t xml:space="preserve">Side-shift</t>
  </si>
  <si>
    <t xml:space="preserve">Side-shift 70-92 hp</t>
  </si>
  <si>
    <t xml:space="preserve">Cat 428 (70 hp), 432 (92 hp), 434 (92 hp; 25,353 lb)</t>
  </si>
  <si>
    <t xml:space="preserve">Representative 434. Fuel gal/hr derived (C): Net_HP x USACE fuel factor x load factor (Settings B11-B15).</t>
  </si>
  <si>
    <t xml:space="preserve">WL-MINI-07Y</t>
  </si>
  <si>
    <t xml:space="preserve">Wheel loader</t>
  </si>
  <si>
    <t xml:space="preserve">Compact (mini)</t>
  </si>
  <si>
    <t xml:space="preserve">0.5-0.7 CY (~38 hp)</t>
  </si>
  <si>
    <t xml:space="preserve">Gehl 280</t>
  </si>
  <si>
    <t xml:space="preserve">0.5-0.7 CY; Bucket 0.6 yd3 typ (midpoint of 0.5-0.7 CY (Gehl 280, taxonomy))</t>
  </si>
  <si>
    <t xml:space="preserve">8390</t>
  </si>
  <si>
    <t xml:space="preserve">EW-LOAD-TRK,EW-STOCKPILE,EW-BACKFILL</t>
  </si>
  <si>
    <t xml:space="preserve">WL-COMPACT-1Y</t>
  </si>
  <si>
    <t xml:space="preserve">Compact</t>
  </si>
  <si>
    <t xml:space="preserve">~1-1.25 yd (~68-75 hp)</t>
  </si>
  <si>
    <t xml:space="preserve">Cat 903/906/907/908 (74.7 hp, 12,628-14,617 lb, 1.0-2.0 yd); Bobcat L85; Kubota R630</t>
  </si>
  <si>
    <t xml:space="preserve">1.0-1.25 CY; Bucket 1.125 yd3 typ (midpoint of 1.0-1.25 yd rental class (Cat 906 GP 1.0-1.7; Deere 244 P 1.0-1.4))</t>
  </si>
  <si>
    <t xml:space="preserve">8391</t>
  </si>
  <si>
    <t xml:space="preserve">Cat VisionLink Dec 2022, model 906M [CATFUEL22]</t>
  </si>
  <si>
    <t xml:space="preserve">Rent: Median of 3 sources (W 906 619/1796/5209; B 360/1080/3240; A 400/1200/3000). FEMA: FEMA 8391 Bobcat L85 (68 hp) mapped to this class by HP. Ex-fuel (C) = FEMA incl-fuel rate - Fuel_gal_hr_med x diesel back-out price (Settings B5).</t>
  </si>
  <si>
    <t xml:space="preserve">WL-COMPACT-2Y</t>
  </si>
  <si>
    <t xml:space="preserve">2-2.5 yd (~110 hp)</t>
  </si>
  <si>
    <t xml:space="preserve">Cat 910/914 (110 hp, 18,102-19,103 lb, 1.7-4.6 yd); Komatsu WA200 (2.5 yd); Develon DL200</t>
  </si>
  <si>
    <t xml:space="preserve">2.0-2.5 CY; Bucket 2.25 yd3 typ (midpoint of 2.0-2.5 yd rental class (Deere 344 P 2.0-2.6))</t>
  </si>
  <si>
    <t xml:space="preserve">W25;B25;C25;R25</t>
  </si>
  <si>
    <t xml:space="preserve">8392</t>
  </si>
  <si>
    <t xml:space="preserve">Cat VisionLink Dec 2022, model 910-14 [CATFUEL22]</t>
  </si>
  <si>
    <t xml:space="preserve">Rent: Median of 4 sources (W 914 827/2399/6956; B 470/1410/4230; C 750/1850/4600; R 600/2000/5200). Ex-fuel (C) = FEMA incl-fuel rate - Fuel_gal_hr_med x diesel back-out price (Settings B5).</t>
  </si>
  <si>
    <t xml:space="preserve">WL-SMALL-3Y</t>
  </si>
  <si>
    <t xml:space="preserve">Small</t>
  </si>
  <si>
    <t xml:space="preserve">3-3.2 yd (~170 hp)</t>
  </si>
  <si>
    <t xml:space="preserve">Cat 926 (170 hp, 27,972 lb, 3.0 yd), 930 (31,124 lb, 3.2 yd); Komatsu WA270</t>
  </si>
  <si>
    <t xml:space="preserve">3.0-3.2 CY; Bucket 3.1 yd3 typ (midpoint of 3.0-3.2 yd rental class)</t>
  </si>
  <si>
    <t xml:space="preserve">8393</t>
  </si>
  <si>
    <t xml:space="preserve">Cat VisionLink Dec 2022, model 926M [CATFUEL22]</t>
  </si>
  <si>
    <t xml:space="preserve">Rounded half-up (Excel rule) in revision; may differ by 1 from the notes table, which used banker's rounding. Rent: Median of 3 sources (W 926/930 avg 976/2831/8210; C 825/2050/5100; A 550/2000/5500). Ex-fuel (C) = FEMA incl-fuel rate - Fuel_gal_hr_med x diesel back-out price (Settings B5).</t>
  </si>
  <si>
    <t xml:space="preserve">WL-SMALL-4Y</t>
  </si>
  <si>
    <t xml:space="preserve">3.5-4.25 yd (~190-232 hp)</t>
  </si>
  <si>
    <t xml:space="preserve">Cat 938 (191 hp, 35,528 lb, 3.8 yd); Komatsu WA320 (3.5)/WA380 (4.25); Deere 644K (4.2 CY)</t>
  </si>
  <si>
    <t xml:space="preserve">3.5-4.25 CY; Bucket 3.875 yd3 typ (midpoint of 3.5-4.25 yd rental class)</t>
  </si>
  <si>
    <t xml:space="preserve">8394</t>
  </si>
  <si>
    <t xml:space="preserve">Cat VisionLink Dec 2022, model 938M [CATFUEL22]</t>
  </si>
  <si>
    <t xml:space="preserve">Rent: Median of 3 sources (W 938 1175/3408/9884; C WA320/380 avg 1088/2700/6700; A 850/2500/7000). FEMA: FEMA 8394 Deere 644K (4.2 CY, 232 hp) mapped to this class by bucket. Ex-fuel (C) = FEMA incl-fuel rate - Fuel_gal_hr_med x diesel back-out price (Settings B5).</t>
  </si>
  <si>
    <t xml:space="preserve">WL-MED-45Y</t>
  </si>
  <si>
    <t xml:space="preserve">Medium</t>
  </si>
  <si>
    <t xml:space="preserve">4.5 yd (~225-250 hp)</t>
  </si>
  <si>
    <t xml:space="preserve">Cat 950 GC (225 hp, 3.75-5.75 yd), 950 (249 hp, 42,461 lb)</t>
  </si>
  <si>
    <t xml:space="preserve">4.5 CY; Bucket 4.5 yd3 typ (4.5 yd (Wheeler Cat 950 rental line; cat.com 950 rated 4.1))</t>
  </si>
  <si>
    <t xml:space="preserve">8396</t>
  </si>
  <si>
    <t xml:space="preserve">Cat VisionLink Dec 2022, model 950M [CATFUEL22]</t>
  </si>
  <si>
    <t xml:space="preserve">Rent: Wheeler 950 (4.5 yd) only. Ex-fuel (C) = FEMA incl-fuel rate - Fuel_gal_hr_med x diesel back-out price (Settings B5).</t>
  </si>
  <si>
    <t xml:space="preserve">WL-MED-5Y</t>
  </si>
  <si>
    <t xml:space="preserve">5-5.25 yd (~255-321 hp)</t>
  </si>
  <si>
    <t xml:space="preserve">Cat 962/966 (321 hp, 51,124 lb, 5.25 yd); Case 921C (5 CY, 255 hp)</t>
  </si>
  <si>
    <t xml:space="preserve">5.0-5.25 CY; Bucket 5.25 yd3 typ (5.25 yd (Cat 966 rental line))</t>
  </si>
  <si>
    <t xml:space="preserve">8395</t>
  </si>
  <si>
    <t xml:space="preserve">Cat VisionLink Dec 2022, model 966M [CATFUEL22]</t>
  </si>
  <si>
    <t xml:space="preserve">Rent: Wheeler 966 (5.25 yd) only. FEMA: FEMA 8395 is a Case 921C (5 CY); fuel row is Cat 966M - different makes in one class. Ex-fuel (C) = FEMA incl-fuel rate - Fuel_gal_hr_med x diesel back-out price (Settings B5).</t>
  </si>
  <si>
    <t xml:space="preserve">WL-MED-972</t>
  </si>
  <si>
    <t xml:space="preserve">Cat 972 class (~339 hp)</t>
  </si>
  <si>
    <t xml:space="preserve">Cat 972 (339 hp, 54,858 lb)</t>
  </si>
  <si>
    <t xml:space="preserve">8397</t>
  </si>
  <si>
    <t xml:space="preserve">Cat VisionLink Dec 2022, model 972M [CATFUEL22]</t>
  </si>
  <si>
    <t xml:space="preserve">Rent: Wheeler only. Ex-fuel (C) = FEMA incl-fuel rate - Fuel_gal_hr_med x diesel back-out price (Settings B5).</t>
  </si>
  <si>
    <t xml:space="preserve">WL-MED-980</t>
  </si>
  <si>
    <t xml:space="preserve">Cat 980 class (~420 hp, 5.75-7.5 yd)</t>
  </si>
  <si>
    <t xml:space="preserve">Cat 980 / 980 GC</t>
  </si>
  <si>
    <t xml:space="preserve">5.75-7.5 CY (980 GC); Bucket 6.625 yd3 typ (midpoint of Cat 980 GC 5.75-7.5 yd3)</t>
  </si>
  <si>
    <t xml:space="preserve">Cat VisionLink Dec 2022, model 980M [CATFUEL22]</t>
  </si>
  <si>
    <t xml:space="preserve">980 GC: 393 hp, 65,610 lb; F 4.1/7.9/14/24.7 mph [CAT-WL-PG]. Rent: Wheeler only. Owned_rate_hr_incl_fuel interpolated (C) between WL-MED-972 and WL-LARGE-988 by Net HP (FEMA 2025 endpoints). Ex-fuel (C) = FEMA incl-fuel rate - Fuel_gal_hr_med x diesel back-out price (Settings B5).</t>
  </si>
  <si>
    <t xml:space="preserve">WL-MED-982</t>
  </si>
  <si>
    <t xml:space="preserve">Cat 982 class (~432 hp)</t>
  </si>
  <si>
    <t xml:space="preserve">Cat 982</t>
  </si>
  <si>
    <t xml:space="preserve">Cat VisionLink Dec 2022, model 982M [CATFUEL22]</t>
  </si>
  <si>
    <t xml:space="preserve">EW-LOAD-TRK,EW-STOCKPILE</t>
  </si>
  <si>
    <t xml:space="preserve">Owned_rate_hr_incl_fuel interpolated (C) between WL-MED-972 and WL-LARGE-988 by Net HP (FEMA 2025 endpoints). Ex-fuel (C) = FEMA incl-fuel rate - Fuel_gal_hr_med x diesel back-out price (Settings B5).</t>
  </si>
  <si>
    <t xml:space="preserve">WL-LARGE-986</t>
  </si>
  <si>
    <t xml:space="preserve">Large</t>
  </si>
  <si>
    <t xml:space="preserve">Cat 986 class (~449 hp, 6.5-13.5 yd)</t>
  </si>
  <si>
    <t xml:space="preserve">Cat 986</t>
  </si>
  <si>
    <t xml:space="preserve">6.5-13.5 CY</t>
  </si>
  <si>
    <t xml:space="preserve">Owned_rate_hr_incl_fuel interpolated (C) between WL-MED-972 and WL-LARGE-988 by Net HP (FEMA 2025 endpoints). Fuel gal/hr derived (C): Net_HP x USACE fuel factor x load factor (Settings B11-B15). Ex-fuel (C) = FEMA incl-fuel rate - Fuel_gal_hr_med x diesel back-out price (Settings B5).</t>
  </si>
  <si>
    <t xml:space="preserve">Non-monotonic vs WL-LARGE-988 - source data; Needs rate (rental)</t>
  </si>
  <si>
    <t xml:space="preserve">WL-LARGE-988</t>
  </si>
  <si>
    <t xml:space="preserve">Cat 988 class (~580 hp, 6.2-17 yd)</t>
  </si>
  <si>
    <t xml:space="preserve">Cat 988</t>
  </si>
  <si>
    <t xml:space="preserve">6.2-17 CY</t>
  </si>
  <si>
    <t xml:space="preserve">8398</t>
  </si>
  <si>
    <t xml:space="preserve">Cat VisionLink Dec 2022, model 988K [CATFUEL22]</t>
  </si>
  <si>
    <t xml:space="preserve">Cat 988: 6.2-17 yd3 (17 = light material); rated payload 12.5 t face / 16 t loose; production left D (bucket range too wide for a typical) [CAT-WL-PG]. Ex-fuel (C) = FEMA incl-fuel rate - Fuel_gal_hr_med x diesel back-out price (Settings B5).</t>
  </si>
  <si>
    <t xml:space="preserve">WL-LARGE-990</t>
  </si>
  <si>
    <t xml:space="preserve">Large (quarry/mining)</t>
  </si>
  <si>
    <t xml:space="preserve">Cat 990 class (~786 hp)</t>
  </si>
  <si>
    <t xml:space="preserve">Cat 990</t>
  </si>
  <si>
    <t xml:space="preserve">EW-LOAD-TRK</t>
  </si>
  <si>
    <t xml:space="preserve">No FEMA row above 580 hp; not extrapolated. Cat 993/995 (mining) omitted. Fuel gal/hr derived (C): Net_HP x USACE fuel factor x load factor (Settings B11-B15).</t>
  </si>
  <si>
    <t xml:space="preserve">WL-LARGE-992</t>
  </si>
  <si>
    <t xml:space="preserve">Cat 992 class (~814 hp)</t>
  </si>
  <si>
    <t xml:space="preserve">Cat 992</t>
  </si>
  <si>
    <t xml:space="preserve">15-32 CY</t>
  </si>
  <si>
    <t xml:space="preserve">TL-CRAWL-963</t>
  </si>
  <si>
    <t xml:space="preserve">Track loader</t>
  </si>
  <si>
    <t xml:space="preserve">Crawler loader</t>
  </si>
  <si>
    <t xml:space="preserve">3-3.2 CY (~178 hp)</t>
  </si>
  <si>
    <t xml:space="preserve">Cat 963C</t>
  </si>
  <si>
    <t xml:space="preserve">3-3.2 CY; Bucket 3.1 yd3 typ (midpoint of Cat 963 3-3.2 CY)</t>
  </si>
  <si>
    <t xml:space="preserve">8383</t>
  </si>
  <si>
    <t xml:space="preserve">Owned: USACE standby = 0.5 x DEPR + FCCM, max 40 hr/wk [USACE-EP]; with only an all-in rate use Caltrans delay factor x rate, max 8 hr/day &amp; 40 hr/wk [CALT-2627]: LDRCL factor 0.11. Rental: accrues by calendar period (no idle discount). FEMA: not eligible unless intermittent use [FEMA-PG].</t>
  </si>
  <si>
    <t xml:space="preserve">EW-LOAD-TRK,EW-BACKFILL</t>
  </si>
  <si>
    <t xml:space="preserve">HP from taxonomy (FEMA cap 178). Fuel gal/hr derived (C): Net_HP x USACE fuel factor x load factor (Settings B11-B15). Ex-fuel (C) = FEMA incl-fuel rate - Fuel_gal_hr_med x diesel back-out price (Settings B5).</t>
  </si>
  <si>
    <t xml:space="preserve">TL-CRAWL-973</t>
  </si>
  <si>
    <t xml:space="preserve">4-4.19 CY (~238 hp)</t>
  </si>
  <si>
    <t xml:space="preserve">Cat 973C</t>
  </si>
  <si>
    <t xml:space="preserve">4-4.19 CY; Bucket 4.095 yd3 typ (midpoint of Cat 973 4-4.19 CY)</t>
  </si>
  <si>
    <t xml:space="preserve">8384</t>
  </si>
  <si>
    <t xml:space="preserve">Weight not in notes; transport assumed permitted (verify). Fuel gal/hr derived (C): Net_HP x USACE fuel factor x load factor (Settings B11-B15). Ex-fuel (C) = FEMA incl-fuel rate - Fuel_gal_hr_med x diesel back-out price (Settings B5).</t>
  </si>
  <si>
    <t xml:space="preserve">SS-WHEEL-MICRO</t>
  </si>
  <si>
    <t xml:space="preserve">Skid steer / CTL</t>
  </si>
  <si>
    <t xml:space="preserve">Wheeled skid steer, micro</t>
  </si>
  <si>
    <t xml:space="preserve">ROC 700-1,099 lb (~24 hp)</t>
  </si>
  <si>
    <t xml:space="preserve">Rated operating capacity</t>
  </si>
  <si>
    <t xml:space="preserve">Bobcat S70</t>
  </si>
  <si>
    <t xml:space="preserve">ROC 700-1,099 lb</t>
  </si>
  <si>
    <t xml:space="preserve">B25</t>
  </si>
  <si>
    <t xml:space="preserve">Mar 2025</t>
  </si>
  <si>
    <t xml:space="preserve">8540</t>
  </si>
  <si>
    <t xml:space="preserve">EW-LOAD-TRK,EW-BACKFILL,EW-SPREAD-SSL</t>
  </si>
  <si>
    <t xml:space="preserve">Rent: Burris only. Fuel gal/hr derived (C): Net_HP x USACE fuel factor x load factor (Settings B11-B15). Ex-fuel (C) = FEMA incl-fuel rate - Fuel_gal_hr_med x diesel back-out price (Settings B5).</t>
  </si>
  <si>
    <t xml:space="preserve">SS-WHEEL-SMALL</t>
  </si>
  <si>
    <t xml:space="preserve">Wheeled skid steer, small frame</t>
  </si>
  <si>
    <t xml:space="preserve">ROC &lt;1,750 lb</t>
  </si>
  <si>
    <t xml:space="preserve">Cat 226D; Bobcat S450 (1,370 lb), S530 (1,750 lb); ~5,000-6,000 lb, ~50 hp</t>
  </si>
  <si>
    <t xml:space="preserve">ROC 1,370-1,749 lb</t>
  </si>
  <si>
    <t xml:space="preserve">W25;B25;R25;N25</t>
  </si>
  <si>
    <t xml:space="preserve">Cat Dec 2022 single value, 226D3-249D3 group [CATFUEL22]</t>
  </si>
  <si>
    <t xml:space="preserve">Spec value 1,500 lb = mid of class; weight/HP are SkidSteers.com frame-class figures (5,000-6,000 lb, ~50 hp). Rounded half-up (Excel rule) in revision; may differ by 1 from the notes table, which used banker's rounding. Rent: Median of 4 sources (W 412/1194/3462; B 240/720/2160; R 185/675/1875; N 219/765/1915).</t>
  </si>
  <si>
    <t xml:space="preserve">SS-WHEEL-MED</t>
  </si>
  <si>
    <t xml:space="preserve">Wheeled skid steer, medium frame</t>
  </si>
  <si>
    <t xml:space="preserve">ROC 1,750-2,500 lb</t>
  </si>
  <si>
    <t xml:space="preserve">Bobcat S590/S64 (2,300), S595/S66 (2,400); Gehl SSV65; 6,000-7,000 lb, 50-70 hp</t>
  </si>
  <si>
    <t xml:space="preserve">ROC 1,750-2,500 lb; Bucket 0.6 yd3 typ (62-68 in bucket 0.57-0.63 yd3 mapped to 1,750-2,200 lb ROC (notes mapping; midpoint))</t>
  </si>
  <si>
    <t xml:space="preserve">B25;R25;A26</t>
  </si>
  <si>
    <t xml:space="preserve">Cat Dec 2022 single value, 236D3-262D3 group [CATFUEL22]</t>
  </si>
  <si>
    <t xml:space="preserve">Rent: Median of 3 sources (B 257/770/2310; R 225/838/2250; A 375/1200/2500).</t>
  </si>
  <si>
    <t xml:space="preserve">SS-WHEEL-LARGE</t>
  </si>
  <si>
    <t xml:space="preserve">Wheeled skid steer, large frame</t>
  </si>
  <si>
    <t xml:space="preserve">ROC 2,500-3,500 lb</t>
  </si>
  <si>
    <t xml:space="preserve">Cat 270 XE; Bobcat S650/S76 (2,900), S770 (3,350), S86 (3,400); Gehl SSV75; 7,000-10,000 lb, 70+ hp</t>
  </si>
  <si>
    <t xml:space="preserve">ROC 2,500-3,500 lb; Bucket 0.69 yd3 typ (74 in bucket 0.69 yd3 mapped to 2,500-3,200 lb ROC (notes mapping))</t>
  </si>
  <si>
    <t xml:space="preserve">W25;B25;R25;A26</t>
  </si>
  <si>
    <t xml:space="preserve">8541</t>
  </si>
  <si>
    <t xml:space="preserve">Cat Dec 2022 single value, 272D3/299D3 group [CATFUEL22]</t>
  </si>
  <si>
    <t xml:space="preserve">Rounded half-up (Excel rule) in revision; may differ by 1 from the notes table, which used banker's rounding. Rent: Median of 4 sources (W 714/2070/6003; B 350/1050/3150; R 273/1025/2767; A 395/1300/2750). FEMA: FEMA 8541 Bobcat S76 (~2,900 lb ROC, to 74 hp). Ex-fuel (C) = FEMA incl-fuel rate - Fuel_gal_hr_med x diesel back-out price (Settings B5).</t>
  </si>
  <si>
    <t xml:space="preserve">SS-WHEEL-XL</t>
  </si>
  <si>
    <t xml:space="preserve">Wheeled skid steer, large frame (high ROC)</t>
  </si>
  <si>
    <t xml:space="preserve">ROC 3,000-4,500 lb</t>
  </si>
  <si>
    <t xml:space="preserve">Bobcat S86 (3,400 lb ROC, to 105 hp)</t>
  </si>
  <si>
    <t xml:space="preserve">ROC 3,000-4,499 lb</t>
  </si>
  <si>
    <t xml:space="preserve">B25;R25</t>
  </si>
  <si>
    <t xml:space="preserve">8542</t>
  </si>
  <si>
    <t xml:space="preserve">Rent: Median (=mean) of 2 sources: B 3,000-4,499 lb 360/1080/3240; R S86 300/1100/3100. Overlaps SS-WHEEL-LARGE. Ex-fuel (C) = FEMA incl-fuel rate - Fuel_gal_hr_med x diesel back-out price (Settings B5).</t>
  </si>
  <si>
    <t xml:space="preserve">SS-MTL</t>
  </si>
  <si>
    <t xml:space="preserve">Mini track loader (stand-on)</t>
  </si>
  <si>
    <t xml:space="preserve">Mini track loader (~25 hp)</t>
  </si>
  <si>
    <t xml:space="preserve">Bobcat MT100/MT120</t>
  </si>
  <si>
    <t xml:space="preserve">R25</t>
  </si>
  <si>
    <t xml:space="preserve">Spring 2025</t>
  </si>
  <si>
    <t xml:space="preserve">8380</t>
  </si>
  <si>
    <t xml:space="preserve">EW-BACKFILL,EW-SPREAD-SSL</t>
  </si>
  <si>
    <t xml:space="preserve">Rent: RTL MT100 only. Fuel gal/hr derived (C): Net_HP x USACE fuel factor x load factor (Settings B11-B15). Ex-fuel (C) = FEMA incl-fuel rate - Fuel_gal_hr_med x diesel back-out price (Settings B5).</t>
  </si>
  <si>
    <t xml:space="preserve">CTL-SMALL</t>
  </si>
  <si>
    <t xml:space="preserve">Compact track loader, small</t>
  </si>
  <si>
    <t xml:space="preserve">ROC &lt;2,000 lb</t>
  </si>
  <si>
    <t xml:space="preserve">Cat 239; Bobcat T450 (1,500), T590 (1,900)</t>
  </si>
  <si>
    <t xml:space="preserve">W25;R25;N25;A26</t>
  </si>
  <si>
    <t xml:space="preserve">8381</t>
  </si>
  <si>
    <t xml:space="preserve">Cat Dec 2022 single value, 226D3-249D3 group (incl. 239D3) [CATFUEL22]</t>
  </si>
  <si>
    <t xml:space="preserve">Rent: Median of 4 sources (W 540/1566/4542; R 300/1325/3395; N 319/1115/2795; A 425/1250/3000). FEMA: FEMA 8381 Bobcat T450 (to 55 hp). Ex-fuel (C) = FEMA incl-fuel rate - Fuel_gal_hr_med x diesel back-out price (Settings B5).</t>
  </si>
  <si>
    <t xml:space="preserve">CTL-MED</t>
  </si>
  <si>
    <t xml:space="preserve">Compact track loader, medium</t>
  </si>
  <si>
    <t xml:space="preserve">ROC 2,000-3,000 lb</t>
  </si>
  <si>
    <t xml:space="preserve">Bobcat T550/T595/T650/T76; Takeuchi TL10; Kubota SVL65/75</t>
  </si>
  <si>
    <t xml:space="preserve">ROC 2,000-3,000 lb; Bucket 0.69 yd3 typ (74 in bucket 0.69 yd3 mapped to 2,500-3,200 lb ROC (notes mapping))</t>
  </si>
  <si>
    <t xml:space="preserve">B25;R25;N25;A26;C25</t>
  </si>
  <si>
    <t xml:space="preserve">Cat Dec 2022 single value, 259D3-289D3 group [CATFUEL22]</t>
  </si>
  <si>
    <t xml:space="preserve">Rounded half-up (Excel rule) in revision; may differ by 1 from the notes table, which used banker's rounding. Rent: Median of 5 sources (B 382/1148/3442; R 369/1450/4106; N 365/1250/3450; A 450/1383/3133; C 575/1400/3500).</t>
  </si>
  <si>
    <t xml:space="preserve">CTL-LARGE</t>
  </si>
  <si>
    <t xml:space="preserve">Compact track loader, large</t>
  </si>
  <si>
    <t xml:space="preserve">ROC &gt;3,000 lb</t>
  </si>
  <si>
    <t xml:space="preserve">Cat 285 XE; Bobcat T770/T86 (3,800); Takeuchi TL12; Kubota SVL97</t>
  </si>
  <si>
    <t xml:space="preserve">ROC &gt;3,000 lb; Bucket 0.74 yd3 typ (80 in bucket 0.74 yd3 mapped to 3,500 lb+ ROC (notes mapping))</t>
  </si>
  <si>
    <t xml:space="preserve">W25;B25;R25;A26;C25</t>
  </si>
  <si>
    <t xml:space="preserve">8382</t>
  </si>
  <si>
    <t xml:space="preserve">Cat Dec 2022 single value, 299D3 group [CATFUEL22]</t>
  </si>
  <si>
    <t xml:space="preserve">Rent: Median of 5 sources (W 1211/3511/10185; B 448/1342/4028; R 475/1850/4748; A 500/1700/3950; C 700/1700/4200). FEMA: FEMA 8382 Bobcat T86 (to 105 hp). Ex-fuel (C) = FEMA incl-fuel rate - Fuel_gal_hr_med x diesel back-out price (Settings B5).</t>
  </si>
  <si>
    <t xml:space="preserve">SC-621-24</t>
  </si>
  <si>
    <t xml:space="preserve">Wheel tractor scraper</t>
  </si>
  <si>
    <t xml:space="preserve">Open bowl, single engine</t>
  </si>
  <si>
    <t xml:space="preserve">24 yd3 bowl</t>
  </si>
  <si>
    <t xml:space="preserve">Bowl capacity (heaped)</t>
  </si>
  <si>
    <t xml:space="preserve">yd3</t>
  </si>
  <si>
    <t xml:space="preserve">Cat 621</t>
  </si>
  <si>
    <t xml:space="preserve">24 yd3 heaped; rated load 57,610 lb</t>
  </si>
  <si>
    <t xml:space="preserve">8524</t>
  </si>
  <si>
    <t xml:space="preserve">Cat VisionLink Dec 2022, model 621K [CATFUEL22]</t>
  </si>
  <si>
    <t xml:space="preserve">EW-SCR-1000,EW-SCR-2000,EW-SCR-3000</t>
  </si>
  <si>
    <t xml:space="preserve">No published scraper rental rates found. Weight not in notes; transport assumed permitted. Loaded top speed 33.5 mph; 407 hp [CAT-SCR-PG]. Ex-fuel (C) = FEMA incl-fuel rate - Fuel_gal_hr_med x diesel back-out price (Settings B5).</t>
  </si>
  <si>
    <t xml:space="preserve">SC-623-23</t>
  </si>
  <si>
    <t xml:space="preserve">Elevating</t>
  </si>
  <si>
    <t xml:space="preserve">23 yd3 bowl</t>
  </si>
  <si>
    <t xml:space="preserve">Cat 623</t>
  </si>
  <si>
    <t xml:space="preserve">23 yd3 heaped; rated load 55,200 lb</t>
  </si>
  <si>
    <t xml:space="preserve">Cat VisionLink Dec 2022, model 623K [CATFUEL22]</t>
  </si>
  <si>
    <t xml:space="preserve">No published scraper rental rates found. Weight not in notes; transport assumed permitted.</t>
  </si>
  <si>
    <t xml:space="preserve">SC-627-24</t>
  </si>
  <si>
    <t xml:space="preserve">Open bowl, tandem-powered (push-pull)</t>
  </si>
  <si>
    <t xml:space="preserve">Cat 627</t>
  </si>
  <si>
    <t xml:space="preserve">24 yd3 heaped; rated load not in specs</t>
  </si>
  <si>
    <t xml:space="preserve">Cat VisionLink Dec 2022, model 627K [CATFUEL22]</t>
  </si>
  <si>
    <t xml:space="preserve">No published scraper rental rates found. Cat VisionLink values run high-&gt;low (low 10.52 &gt; high 9.03) as published. Weight not in notes; transport assumed permitted.</t>
  </si>
  <si>
    <t xml:space="preserve">Needs rate; Fuel low/high inverted in source; Needs rate (rental); Needs rate (owned)</t>
  </si>
  <si>
    <t xml:space="preserve">SC-631-34</t>
  </si>
  <si>
    <t xml:space="preserve">34 yd3 bowl</t>
  </si>
  <si>
    <t xml:space="preserve">Cat 631</t>
  </si>
  <si>
    <t xml:space="preserve">34 yd3 heaped; rated load 82,200 lb</t>
  </si>
  <si>
    <t xml:space="preserve">8521</t>
  </si>
  <si>
    <t xml:space="preserve">Cat VisionLink Dec 2022, model 631K [CATFUEL22]</t>
  </si>
  <si>
    <t xml:space="preserve">No published scraper rental rates found. Weight not in notes; transport assumed permitted. Loaded top speed 34.7 mph; 570 hp [CAT-SCR-PG]. Ex-fuel (C) = FEMA incl-fuel rate - Fuel_gal_hr_med x diesel back-out price (Settings B5).</t>
  </si>
  <si>
    <t xml:space="preserve">SC-637-34</t>
  </si>
  <si>
    <t xml:space="preserve">Open bowl, tandem-powered</t>
  </si>
  <si>
    <t xml:space="preserve">Cat 637 (coal bowl 50 yd)</t>
  </si>
  <si>
    <t xml:space="preserve">Cat VisionLink Dec 2022, model 637K [CATFUEL22]</t>
  </si>
  <si>
    <t xml:space="preserve">No published scraper rental rates found. Fuel values inverted as published. Weight not in notes; transport assumed permitted. 637 Coal Bowl 50 yd3 variant not catalogued separately.</t>
  </si>
  <si>
    <t xml:space="preserve">SC-651-44</t>
  </si>
  <si>
    <t xml:space="preserve">44 yd3 bowl</t>
  </si>
  <si>
    <t xml:space="preserve">Cat 651</t>
  </si>
  <si>
    <t xml:space="preserve">44 yd3 heaped; rated load not in specs</t>
  </si>
  <si>
    <t xml:space="preserve">8522</t>
  </si>
  <si>
    <t xml:space="preserve">No published scraper rental rates found. No Cat fuel row for 651 and no HP captured. Weight not in notes; transport assumed permitted. Ex-fuel (C) = FEMA incl-fuel rate - Fuel_gal_hr_med x diesel back-out price (Settings B5).</t>
  </si>
  <si>
    <t xml:space="preserve">Needs fuel gal/hr; Needs rate (rental)</t>
  </si>
  <si>
    <t xml:space="preserve">SC-657-44</t>
  </si>
  <si>
    <t xml:space="preserve">Cat 657</t>
  </si>
  <si>
    <t xml:space="preserve">44 yd3 heaped; rated load 104,000 lb</t>
  </si>
  <si>
    <t xml:space="preserve">Cat VisionLink Dec 2022, model 657-07 [CATFUEL22]</t>
  </si>
  <si>
    <t xml:space="preserve">No published scraper rental rates found. Fuel values inverted as published. Weight not in notes; transport assumed permitted. Loaded top speed 33 mph; 637 + 479 hp [CAT-SCR-PG].</t>
  </si>
  <si>
    <t xml:space="preserve">SC-PULL-4CY</t>
  </si>
  <si>
    <t xml:space="preserve">Pull scraper (towed)</t>
  </si>
  <si>
    <t xml:space="preserve">Box / pull pan</t>
  </si>
  <si>
    <t xml:space="preserve">4.1 CY, 84 in</t>
  </si>
  <si>
    <t xml:space="preserve">Bowl capacity</t>
  </si>
  <si>
    <t xml:space="preserve">Rome 5C</t>
  </si>
  <si>
    <t xml:space="preserve">4.1 CY</t>
  </si>
  <si>
    <t xml:space="preserve">none (towed)</t>
  </si>
  <si>
    <t xml:space="preserve">8269</t>
  </si>
  <si>
    <t xml:space="preserve">Towed by a tractor/dozer priced separately. Ex-fuel = incl-fuel rate (no liquid fuel to back out).</t>
  </si>
  <si>
    <t xml:space="preserve">GR-COMPACT</t>
  </si>
  <si>
    <t xml:space="preserve">Motor grader</t>
  </si>
  <si>
    <t xml:space="preserve">Compact grader</t>
  </si>
  <si>
    <t xml:space="preserve">Model</t>
  </si>
  <si>
    <t xml:space="preserve">CG65E</t>
  </si>
  <si>
    <t xml:space="preserve">Cat CG65E</t>
  </si>
  <si>
    <t xml:space="preserve">Owned: USACE standby = 0.5 x DEPR + FCCM, max 40 hr/wk [USACE-EP]; with only an all-in rate use Caltrans delay factor x rate, max 8 hr/day &amp; 40 hr/wk [CALT-2627]: GRADR factor 0.11 (book) / 0.10 (interim). Rental: accrues by calendar period (no idle discount). FEMA: not eligible unless intermittent use [FEMA-PG].</t>
  </si>
  <si>
    <t xml:space="preserve">EW-FGRADE</t>
  </si>
  <si>
    <t xml:space="preserve">Specs not in notes. Rent: Wheeler only.</t>
  </si>
  <si>
    <t xml:space="preserve">GR-12FT-120</t>
  </si>
  <si>
    <t xml:space="preserve">12 ft moldboard</t>
  </si>
  <si>
    <t xml:space="preserve">12 ft (Cat 120)</t>
  </si>
  <si>
    <t xml:space="preserve">Moldboard length</t>
  </si>
  <si>
    <t xml:space="preserve">Cat 120 (130 hp, 35,067 lb)</t>
  </si>
  <si>
    <t xml:space="preserve">8331</t>
  </si>
  <si>
    <t xml:space="preserve">Cat VisionLink Dec 2022, model 120-14 [CATFUEL22]</t>
  </si>
  <si>
    <t xml:space="preserve">EW-FGRADE,EW-RGRADE-GR,EW-SPREAD-BASE</t>
  </si>
  <si>
    <t xml:space="preserve">Ex-fuel (C) = FEMA incl-fuel rate - Fuel_gal_hr_med x diesel back-out price (Settings B5).</t>
  </si>
  <si>
    <t xml:space="preserve">GR-12FT-140</t>
  </si>
  <si>
    <t xml:space="preserve">12 ft (Cat 140)</t>
  </si>
  <si>
    <t xml:space="preserve">Cat 140/140 AWD (179 hp, 42,647 lb); 140 GC</t>
  </si>
  <si>
    <t xml:space="preserve">8332</t>
  </si>
  <si>
    <t xml:space="preserve">Cat VisionLink Dec 2022, model 140-15 [CATFUEL22]</t>
  </si>
  <si>
    <t xml:space="preserve">Wheeler single-source dealer pricing; independents likely 20-35% lower (notes inference). Rent: Wheeler 140/150 line. Ex-fuel (C) = FEMA incl-fuel rate - Fuel_gal_hr_med x diesel back-out price (Settings B5).</t>
  </si>
  <si>
    <t xml:space="preserve">GR-12FT-120GC</t>
  </si>
  <si>
    <t xml:space="preserve">12 ft (Cat 120 GC)</t>
  </si>
  <si>
    <t xml:space="preserve">Cat 120 GC (171 hp)</t>
  </si>
  <si>
    <t xml:space="preserve">FEMA 8331 'Cat 120' carries a 171 hp cap, which equals the 120 GC rating; FEMA rate kept on GR-12FT-120 (no basis to move it). Fuel gal/hr derived (C): Net_HP x USACE fuel factor x load factor (Settings B11-B15).</t>
  </si>
  <si>
    <t xml:space="preserve">GR-12FT-140GC</t>
  </si>
  <si>
    <t xml:space="preserve">12 ft (Cat 140 GC)</t>
  </si>
  <si>
    <t xml:space="preserve">Cat 140 GC (196 hp)</t>
  </si>
  <si>
    <t xml:space="preserve">Cat VisionLink Dec 2022, model 140-01 GC [CATFUEL22]</t>
  </si>
  <si>
    <t xml:space="preserve">FEMA 8332 'Cat 140' carries a 196 hp cap, which equals the 140 GC rating; FEMA rate kept on GR-12FT-140.</t>
  </si>
  <si>
    <t xml:space="preserve">GR-12FT-150</t>
  </si>
  <si>
    <t xml:space="preserve">12 ft (Cat 150)</t>
  </si>
  <si>
    <t xml:space="preserve">Cat 150 (200 hp)</t>
  </si>
  <si>
    <t xml:space="preserve">Cat VisionLink Dec 2022, model 150-15 [CATFUEL22]</t>
  </si>
  <si>
    <t xml:space="preserve">Wheeler single-source dealer pricing; independents likely 20-35% lower (notes inference). Weight not in notes. Rent: Wheeler 140/150 line (same as 140). Owned_rate_hr_incl_fuel interpolated (C) between GR-12FT-140 and GR-14FT-160 by Net HP (FEMA 2025 endpoints). Ex-fuel (C) = FEMA incl-fuel rate - Fuel_gal_hr_med x diesel back-out price (Settings B5).</t>
  </si>
  <si>
    <t xml:space="preserve">GR-14FT-160</t>
  </si>
  <si>
    <t xml:space="preserve">14 ft moldboard</t>
  </si>
  <si>
    <t xml:space="preserve">14 ft (Cat 160)</t>
  </si>
  <si>
    <t xml:space="preserve">Cat 160 (224 hp)</t>
  </si>
  <si>
    <t xml:space="preserve">8333</t>
  </si>
  <si>
    <t xml:space="preserve">Cat VisionLink Dec 2022, model 160-15 [CATFUEL22]</t>
  </si>
  <si>
    <t xml:space="preserve">Wheeler single-source dealer pricing; independents likely 20-35% lower (notes inference). Weight not in notes. Rent: Wheeler only. Ex-fuel (C) = FEMA incl-fuel rate - Fuel_gal_hr_med x diesel back-out price (Settings B5).</t>
  </si>
  <si>
    <t xml:space="preserve">GR-14FT-14</t>
  </si>
  <si>
    <t xml:space="preserve">14 ft (Cat 14)</t>
  </si>
  <si>
    <t xml:space="preserve">Cat 14 (238 hp, 57,250 lb)</t>
  </si>
  <si>
    <t xml:space="preserve">Cat VisionLink Dec 2022, model 14-15 [CATFUEL22]</t>
  </si>
  <si>
    <t xml:space="preserve">Wheeler single-source dealer pricing; independents likely 20-35% lower (notes inference). Rent: Wheeler only. Owned_rate_hr_incl_fuel interpolated (C) between GR-14FT-160 and GR-18FT-18 by Net HP (FEMA 2025 endpoints). Ex-fuel (C) = FEMA incl-fuel rate - Fuel_gal_hr_med x diesel back-out price (Settings B5).</t>
  </si>
  <si>
    <t xml:space="preserve">GR-16FT-16</t>
  </si>
  <si>
    <t xml:space="preserve">16 ft moldboard</t>
  </si>
  <si>
    <t xml:space="preserve">16 ft (Cat 16)</t>
  </si>
  <si>
    <t xml:space="preserve">Cat 16 (290 hp, 71,454 lb)</t>
  </si>
  <si>
    <t xml:space="preserve">Cat VisionLink Dec 2022, model 16-15 [CATFUEL22]</t>
  </si>
  <si>
    <t xml:space="preserve">GR-18FT-18</t>
  </si>
  <si>
    <t xml:space="preserve">18 ft moldboard</t>
  </si>
  <si>
    <t xml:space="preserve">18 ft (Cat 18)</t>
  </si>
  <si>
    <t xml:space="preserve">Cat 18 (304 hp, 74,324 lb)</t>
  </si>
  <si>
    <t xml:space="preserve">8334</t>
  </si>
  <si>
    <t xml:space="preserve">Cat VisionLink Dec 2022, model 18-15 [CATFUEL22]</t>
  </si>
  <si>
    <t xml:space="preserve">Wheeler single-source dealer pricing; independents likely 20-35% lower (notes inference). Rent: Wheeler only. Ex-fuel (C) = FEMA incl-fuel rate - Fuel_gal_hr_med x diesel back-out price (Settings B5).</t>
  </si>
  <si>
    <t xml:space="preserve">GR-24FT-24</t>
  </si>
  <si>
    <t xml:space="preserve">24 ft moldboard</t>
  </si>
  <si>
    <t xml:space="preserve">24 ft (Cat 24)</t>
  </si>
  <si>
    <t xml:space="preserve">Cat 24 (535 hp, 165,314 lb)</t>
  </si>
  <si>
    <t xml:space="preserve">ADT-25T</t>
  </si>
  <si>
    <t xml:space="preserve">Hauling</t>
  </si>
  <si>
    <t xml:space="preserve">Articulated dump truck (ADT)</t>
  </si>
  <si>
    <t xml:space="preserve">Standard</t>
  </si>
  <si>
    <t xml:space="preserve">26.5 t payload</t>
  </si>
  <si>
    <t xml:space="preserve">Rated payload</t>
  </si>
  <si>
    <t xml:space="preserve">ton</t>
  </si>
  <si>
    <t xml:space="preserve">Cat 725 (26.5 t); Doosan DA30</t>
  </si>
  <si>
    <t xml:space="preserve">26.5 ton payload; heaped 19.6 yd3 (Cat 725 26.5 t / 19.6 yd3 heaped)</t>
  </si>
  <si>
    <t xml:space="preserve">W25;R25</t>
  </si>
  <si>
    <t xml:space="preserve">Cat VisionLink Dec 2022, model 725 [CATFUEL22]</t>
  </si>
  <si>
    <t xml:space="preserve">EW-HAUL-ADT-05,EW-HAUL-ADT-10,EW-HAUL-ADT-20</t>
  </si>
  <si>
    <t xml:space="preserve">Not in FEMA schedule. Weight/width not in notes; transport assumed permitted. Rounded half-up (Excel rule) in revision; may differ by 1 from the notes table, which used banker's rounding. Rent: Median (=mean) of 2 sources: W 725 1964/5695/16517; R DA30 1800/4750/12000.</t>
  </si>
  <si>
    <t xml:space="preserve">ADT-30T</t>
  </si>
  <si>
    <t xml:space="preserve">30 t payload</t>
  </si>
  <si>
    <t xml:space="preserve">Cat 730 (38.9 t as listed); Komatsu HM300 (31 t)</t>
  </si>
  <si>
    <t xml:space="preserve">30 ton payload; heaped 23.3 yd3 (Volvo A30 32 st / 23.3 yd3 (class proxy; Cat 730 heaped not in specs))</t>
  </si>
  <si>
    <t xml:space="preserve">Cat VisionLink Dec 2022, model 730 [CATFUEL22]</t>
  </si>
  <si>
    <t xml:space="preserve">Not in FEMA schedule. Weight/width not in notes; transport assumed permitted. Rent: Median (=mean) of 2 sources: W 730 2251/6528/18930; C HM300 2000/5000/12500.</t>
  </si>
  <si>
    <t xml:space="preserve">ADT-35T</t>
  </si>
  <si>
    <t xml:space="preserve">35.3 t payload</t>
  </si>
  <si>
    <t xml:space="preserve">Cat 735 (35.3 t)</t>
  </si>
  <si>
    <t xml:space="preserve">35.3 ton payload; heaped 28.4 yd3 (Volvo A35 38 st / 28.4 yd3 (class proxy))</t>
  </si>
  <si>
    <t xml:space="preserve">Not in FEMA schedule. Weight/width not in notes; transport assumed permitted.</t>
  </si>
  <si>
    <t xml:space="preserve">ADT-40T</t>
  </si>
  <si>
    <t xml:space="preserve">40 t payload</t>
  </si>
  <si>
    <t xml:space="preserve">Cat 740 / 740 GC (40 t); Komatsu HM400 (44 t); Doosan DA45</t>
  </si>
  <si>
    <t xml:space="preserve">40 ton payload; heaped 31.4 yd3 (Volvo A40G 43 st / 31.4 yd3 (class proxy))</t>
  </si>
  <si>
    <t xml:space="preserve">Not in FEMA schedule. Weight/width not in notes; transport assumed permitted. Rent: Median of 3 sources (W 740 GC 2931/8499/24648; C HM400 2400/6000/15000; R DA45 2750/7500/17000). Columbus tailgate +$1,000/mo.</t>
  </si>
  <si>
    <t xml:space="preserve">ADT-45T</t>
  </si>
  <si>
    <t xml:space="preserve">45.2 t payload</t>
  </si>
  <si>
    <t xml:space="preserve">Cat 745 (45.2 t)</t>
  </si>
  <si>
    <t xml:space="preserve">45.2 ton payload; heaped 33.4 yd3 (Cat 745 45.2 t / 33.4 yd3)</t>
  </si>
  <si>
    <t xml:space="preserve">Cat Dec 2022 single value, 745 (single value) [CATFUEL22]</t>
  </si>
  <si>
    <t xml:space="preserve">Not in FEMA schedule. Weight/width not in notes; transport assumed permitted. Rent: Wheeler only.</t>
  </si>
  <si>
    <t xml:space="preserve">ADT-EJ-30T</t>
  </si>
  <si>
    <t xml:space="preserve">Ejector body</t>
  </si>
  <si>
    <t xml:space="preserve">30 t payload (ejector)</t>
  </si>
  <si>
    <t xml:space="preserve">Cat 730 EJ</t>
  </si>
  <si>
    <t xml:space="preserve">30 ton</t>
  </si>
  <si>
    <t xml:space="preserve">EW-HAUL-ADT-05,EW-HAUL-ADT-10</t>
  </si>
  <si>
    <t xml:space="preserve">ADT-EJ-42T</t>
  </si>
  <si>
    <t xml:space="preserve">42 t payload (ejector)</t>
  </si>
  <si>
    <t xml:space="preserve">Cat 740 EJ</t>
  </si>
  <si>
    <t xml:space="preserve">42 ton</t>
  </si>
  <si>
    <t xml:space="preserve">RDT-770</t>
  </si>
  <si>
    <t xml:space="preserve">Rigid off-highway truck</t>
  </si>
  <si>
    <t xml:space="preserve">Quarry/construction</t>
  </si>
  <si>
    <t xml:space="preserve">42.1 t payload</t>
  </si>
  <si>
    <t xml:space="preserve">Cat 770</t>
  </si>
  <si>
    <t xml:space="preserve">42.1 ton</t>
  </si>
  <si>
    <t xml:space="preserve">Cat VisionLink Dec 2022, model 770G [CATFUEL22]</t>
  </si>
  <si>
    <t xml:space="preserve">EW-HAUL-RDT-10</t>
  </si>
  <si>
    <t xml:space="preserve">No rental or FEMA rate. Transport assumed multi-axle/partial disassembly (verify).</t>
  </si>
  <si>
    <t xml:space="preserve">RDT-772</t>
  </si>
  <si>
    <t xml:space="preserve">51.6 t payload</t>
  </si>
  <si>
    <t xml:space="preserve">Cat 772</t>
  </si>
  <si>
    <t xml:space="preserve">51.6 ton; heaped 40.8 yd3 (Cat 772 51.6 t / 40.8 yd3)</t>
  </si>
  <si>
    <t xml:space="preserve">Cat VisionLink Dec 2022, model 772G [CATFUEL22]</t>
  </si>
  <si>
    <t xml:space="preserve">RDT-773</t>
  </si>
  <si>
    <t xml:space="preserve">61.7 t payload</t>
  </si>
  <si>
    <t xml:space="preserve">Cat 773</t>
  </si>
  <si>
    <t xml:space="preserve">61.7 ton; heaped 46.75 yd3 (Cat 773 61.7 t / 46.75 yd3)</t>
  </si>
  <si>
    <t xml:space="preserve">Cat VisionLink Dec 2022, model 773G [CATFUEL22]</t>
  </si>
  <si>
    <t xml:space="preserve">RDT-775</t>
  </si>
  <si>
    <t xml:space="preserve">70.5 t payload</t>
  </si>
  <si>
    <t xml:space="preserve">Cat 775</t>
  </si>
  <si>
    <t xml:space="preserve">70.5 ton</t>
  </si>
  <si>
    <t xml:space="preserve">Cat VisionLink Dec 2022, model 775G [CATFUEL22]</t>
  </si>
  <si>
    <t xml:space="preserve">RDT-777</t>
  </si>
  <si>
    <t xml:space="preserve">101.1 t payload</t>
  </si>
  <si>
    <t xml:space="preserve">Cat 777</t>
  </si>
  <si>
    <t xml:space="preserve">101.1 ton; heaped 83.1 yd3 (Cat 777 101.1 t / 83.1 yd3)</t>
  </si>
  <si>
    <t xml:space="preserve">Cat VisionLink Dec 2022, model 777G [CATFUEL22]</t>
  </si>
  <si>
    <t xml:space="preserve">DUMPER-3T</t>
  </si>
  <si>
    <t xml:space="preserve">Site dumper</t>
  </si>
  <si>
    <t xml:space="preserve">Tracked/wheeled site dumper</t>
  </si>
  <si>
    <t xml:space="preserve">~6,600 lb payload</t>
  </si>
  <si>
    <t xml:space="preserve">Payload</t>
  </si>
  <si>
    <t xml:space="preserve">Takeuchi/Yanmar TA3SH-type</t>
  </si>
  <si>
    <t xml:space="preserve">6,613 lb</t>
  </si>
  <si>
    <t xml:space="preserve">C25</t>
  </si>
  <si>
    <t xml:space="preserve">Jun 2025</t>
  </si>
  <si>
    <t xml:space="preserve">Rent: Columbus only.</t>
  </si>
  <si>
    <t xml:space="preserve">DUMPER-6T</t>
  </si>
  <si>
    <t xml:space="preserve">~13,200 lb payload</t>
  </si>
  <si>
    <t xml:space="preserve">6MDXS (13,230 lb); 13,200 lb dumper</t>
  </si>
  <si>
    <t xml:space="preserve">13,200 lb</t>
  </si>
  <si>
    <t xml:space="preserve">C25;A26</t>
  </si>
  <si>
    <t xml:space="preserve">Rent: Median (=mean) of 2 sources: C 6MDXS 1050/2600/6500; A 500/1500/4000.</t>
  </si>
  <si>
    <t xml:space="preserve">CRAWLER-CARRIER</t>
  </si>
  <si>
    <t xml:space="preserve">Crawler carrier</t>
  </si>
  <si>
    <t xml:space="preserve">Rotating crawler carrier</t>
  </si>
  <si>
    <t xml:space="preserve">RT7R class</t>
  </si>
  <si>
    <t xml:space="preserve">RT7R</t>
  </si>
  <si>
    <t xml:space="preserve">Columbus RT7R</t>
  </si>
  <si>
    <t xml:space="preserve">DT-ROAD-7CY</t>
  </si>
  <si>
    <t xml:space="preserve">On-road dump truck</t>
  </si>
  <si>
    <t xml:space="preserve">Straight truck</t>
  </si>
  <si>
    <t xml:space="preserve">7 CY struck</t>
  </si>
  <si>
    <t xml:space="preserve">Struck capacity</t>
  </si>
  <si>
    <t xml:space="preserve">Freightliner M2 106 / 108SD / 114SD (FEMA basis)</t>
  </si>
  <si>
    <t xml:space="preserve">7 CY</t>
  </si>
  <si>
    <t xml:space="preserve">Truck Driver (per WD class/axles)</t>
  </si>
  <si>
    <t xml:space="preserve">8720</t>
  </si>
  <si>
    <t xml:space="preserve">EW-HAUL-TRK-05,EW-HAUL-TRK-10,EW-HAUL-TRK-20</t>
  </si>
  <si>
    <t xml:space="preserve">Bare (no driver) dump truck rental not found; see operated DT-OP rows. Fuel gal/hr derived (C): Net_HP x USACE fuel factor x load factor (Settings B11-B15). Ex-fuel (C) = FEMA incl-fuel rate - Fuel_gal_hr_med x diesel back-out price (Settings B5).</t>
  </si>
  <si>
    <t xml:space="preserve">DT-ROAD-9CY</t>
  </si>
  <si>
    <t xml:space="preserve">9 CY struck</t>
  </si>
  <si>
    <t xml:space="preserve">9 CY</t>
  </si>
  <si>
    <t xml:space="preserve">8721</t>
  </si>
  <si>
    <t xml:space="preserve">DT-ROAD-12CY</t>
  </si>
  <si>
    <t xml:space="preserve">12 CY struck</t>
  </si>
  <si>
    <t xml:space="preserve">12 CY</t>
  </si>
  <si>
    <t xml:space="preserve">8722</t>
  </si>
  <si>
    <t xml:space="preserve">DT-ROAD-14CY</t>
  </si>
  <si>
    <t xml:space="preserve">14 CY struck</t>
  </si>
  <si>
    <t xml:space="preserve">8723</t>
  </si>
  <si>
    <t xml:space="preserve">Non-monotonic vs DT-ROAD-12CY - source data; Needs rate (rental)</t>
  </si>
  <si>
    <t xml:space="preserve">DT-ROAD-18CY</t>
  </si>
  <si>
    <t xml:space="preserve">18 CY struck</t>
  </si>
  <si>
    <t xml:space="preserve">18 CY</t>
  </si>
  <si>
    <t xml:space="preserve">8724</t>
  </si>
  <si>
    <t xml:space="preserve">DT-OP-3AXLE</t>
  </si>
  <si>
    <t xml:space="preserve">Operated (with driver)</t>
  </si>
  <si>
    <t xml:space="preserve">3-axle (tri-axle), operated</t>
  </si>
  <si>
    <t xml:space="preserve">Axles</t>
  </si>
  <si>
    <t xml:space="preserve">axles</t>
  </si>
  <si>
    <t xml:space="preserve">Truck Driver (per WD class/axles) - included in operated rate</t>
  </si>
  <si>
    <t xml:space="preserve">hr (operated)</t>
  </si>
  <si>
    <t xml:space="preserve">operated</t>
  </si>
  <si>
    <t xml:space="preserve">MNDLI;DTR</t>
  </si>
  <si>
    <t xml:space="preserve">Dec 2025-Sep 2026</t>
  </si>
  <si>
    <t xml:space="preserve">Operated rate INCLUDES driver: do not add labor. MN figure is a prevailing-wage minimum for Region 1. Rent (operated, incl. operator): Median (=mean) of MN DLI Region 1 3-axle $104.77/hr (May 1 2026) and dumptruckrates.com range midpoint $107.50 ($85-130/hr). Low/high = 85/130.</t>
  </si>
  <si>
    <t xml:space="preserve">Needs rate (owned); Needs fuel gal/hr</t>
  </si>
  <si>
    <t xml:space="preserve">DT-OP-4AXLE</t>
  </si>
  <si>
    <t xml:space="preserve">4+ axle, operated</t>
  </si>
  <si>
    <t xml:space="preserve">MNDLI</t>
  </si>
  <si>
    <t xml:space="preserve">May 1 2026</t>
  </si>
  <si>
    <t xml:space="preserve">Operated rate INCLUDES driver. Rent (operated, incl. operator): MN DLI Region 1 4+ axle minimum.</t>
  </si>
  <si>
    <t xml:space="preserve">DT-OP-SEMI</t>
  </si>
  <si>
    <t xml:space="preserve">Tractor-trailer (semi end dump), operated</t>
  </si>
  <si>
    <t xml:space="preserve">Configuration</t>
  </si>
  <si>
    <t xml:space="preserve">tractor-trailer</t>
  </si>
  <si>
    <t xml:space="preserve">EW-HAUL-TRK-10,EW-HAUL-TRK-20</t>
  </si>
  <si>
    <t xml:space="preserve">Operated rate INCLUDES driver. Rent (operated, incl. operator): MN DLI Region 1 tractor-trailer minimum.</t>
  </si>
  <si>
    <t xml:space="preserve">DTRL-8590</t>
  </si>
  <si>
    <t xml:space="preserve">Dump trailer</t>
  </si>
  <si>
    <t xml:space="preserve">Rear dump trailer</t>
  </si>
  <si>
    <t xml:space="preserve">Rear dump trailer 20 ft (13 ton, 23.7 CY)</t>
  </si>
  <si>
    <t xml:space="preserve">23.7</t>
  </si>
  <si>
    <t xml:space="preserve">23.7 CY</t>
  </si>
  <si>
    <t xml:space="preserve">8590</t>
  </si>
  <si>
    <t xml:space="preserve">Towed by a truck tractor (TRK-TRAC rows). FEMA 8590: Rate not captured in owned-rate notes.</t>
  </si>
  <si>
    <t xml:space="preserve">DTRL-8591</t>
  </si>
  <si>
    <t xml:space="preserve">End dump trailer 30 CY</t>
  </si>
  <si>
    <t xml:space="preserve">30</t>
  </si>
  <si>
    <t xml:space="preserve">30 CY</t>
  </si>
  <si>
    <t xml:space="preserve">8591</t>
  </si>
  <si>
    <t xml:space="preserve">Towed by a truck tractor (TRK-TRAC rows). FEMA 8591: Rate not captured in owned-rate notes.</t>
  </si>
  <si>
    <t xml:space="preserve">DTRL-8637</t>
  </si>
  <si>
    <t xml:space="preserve">Bottom-dump trailer, off-highway</t>
  </si>
  <si>
    <t xml:space="preserve">Bottom-dump trailer, off-highway (Load King 2842) 28 CY</t>
  </si>
  <si>
    <t xml:space="preserve">28</t>
  </si>
  <si>
    <t xml:space="preserve">28 CY</t>
  </si>
  <si>
    <t xml:space="preserve">8637</t>
  </si>
  <si>
    <t xml:space="preserve">Towed by a truck tractor (TRK-TRAC rows). FEMA 8637: Rate not captured in owned-rate notes.</t>
  </si>
  <si>
    <t xml:space="preserve">WT-2000</t>
  </si>
  <si>
    <t xml:space="preserve">Water truck / tank</t>
  </si>
  <si>
    <t xml:space="preserve">On-highway</t>
  </si>
  <si>
    <t xml:space="preserve">2,000 gal on-highway</t>
  </si>
  <si>
    <t xml:space="preserve">Tank capacity</t>
  </si>
  <si>
    <t xml:space="preserve">gal</t>
  </si>
  <si>
    <t xml:space="preserve">2,000 gal</t>
  </si>
  <si>
    <t xml:space="preserve">EW-WATER,EW-DUST</t>
  </si>
  <si>
    <t xml:space="preserve">WT-2500</t>
  </si>
  <si>
    <t xml:space="preserve">2,500 gal (4x2)</t>
  </si>
  <si>
    <t xml:space="preserve">2,500 gal</t>
  </si>
  <si>
    <t xml:space="preserve">8780</t>
  </si>
  <si>
    <t xml:space="preserve">FEMA 8780: FEMA rate not reliably extracted.</t>
  </si>
  <si>
    <t xml:space="preserve">Needs rate; Needs fuel gal/hr; Needs rate (rental); Needs rate (owned; FEMA code exists)</t>
  </si>
  <si>
    <t xml:space="preserve">WT-4000</t>
  </si>
  <si>
    <t xml:space="preserve">4,000 gal (6x4)</t>
  </si>
  <si>
    <t xml:space="preserve">4,000 gal</t>
  </si>
  <si>
    <t xml:space="preserve">8781</t>
  </si>
  <si>
    <t xml:space="preserve">Rent: Wheeler only. FEMA 8781: FEMA rate not reliably extracted.</t>
  </si>
  <si>
    <t xml:space="preserve">Needs fuel gal/hr; Needs rate (owned; FEMA code exists)</t>
  </si>
  <si>
    <t xml:space="preserve">WT-6000-ADT</t>
  </si>
  <si>
    <t xml:space="preserve">Off-road (ADT chassis)</t>
  </si>
  <si>
    <t xml:space="preserve">6,000 gal ADT-based</t>
  </si>
  <si>
    <t xml:space="preserve">6,000 gal</t>
  </si>
  <si>
    <t xml:space="preserve">Rent: Day = midpoint of Wheeler's $2,197-2,478/day (two units); week/4-week derived with catalog multipliers. Rent_week = day x Settings week/day multiplier (3.0); Rent_4wk = week x 4wk/week multiplier (2.9) - method C.</t>
  </si>
  <si>
    <t xml:space="preserve">WT-8000-ADT</t>
  </si>
  <si>
    <t xml:space="preserve">8,000 gal ADT-based</t>
  </si>
  <si>
    <t xml:space="preserve">8,000 gal</t>
  </si>
  <si>
    <t xml:space="preserve">WT-9000-ADT</t>
  </si>
  <si>
    <t xml:space="preserve">9,000 gal ADT-based</t>
  </si>
  <si>
    <t xml:space="preserve">9,000 gal</t>
  </si>
  <si>
    <t xml:space="preserve">WT-TANKER-4000</t>
  </si>
  <si>
    <t xml:space="preserve">Water tanker</t>
  </si>
  <si>
    <t xml:space="preserve">4,000 gal tanker</t>
  </si>
  <si>
    <t xml:space="preserve">8614</t>
  </si>
  <si>
    <t xml:space="preserve">FEMA 8614: FEMA rate not reliably extracted.</t>
  </si>
  <si>
    <t xml:space="preserve">WTRL-4000</t>
  </si>
  <si>
    <t xml:space="preserve">Water trailer (towed)</t>
  </si>
  <si>
    <t xml:space="preserve">4,000 gal water trailer</t>
  </si>
  <si>
    <t xml:space="preserve">8610</t>
  </si>
  <si>
    <t xml:space="preserve">EW-WATER</t>
  </si>
  <si>
    <t xml:space="preserve">FEMA 8610: Rate not captured in owned-rate notes.</t>
  </si>
  <si>
    <t xml:space="preserve">WTRL-6000</t>
  </si>
  <si>
    <t xml:space="preserve">6,000 gal water trailer</t>
  </si>
  <si>
    <t xml:space="preserve">8611</t>
  </si>
  <si>
    <t xml:space="preserve">FEMA 8611: Rate not captured in owned-rate notes.</t>
  </si>
  <si>
    <t xml:space="preserve">WTRL-10000</t>
  </si>
  <si>
    <t xml:space="preserve">10,000 gal water trailer</t>
  </si>
  <si>
    <t xml:space="preserve">10,000 gal</t>
  </si>
  <si>
    <t xml:space="preserve">8612</t>
  </si>
  <si>
    <t xml:space="preserve">FEMA 8612: Rate not captured in owned-rate notes.</t>
  </si>
  <si>
    <t xml:space="preserve">WTRL-14000</t>
  </si>
  <si>
    <t xml:space="preserve">14,000 gal water trailer</t>
  </si>
  <si>
    <t xml:space="preserve">14,000 gal</t>
  </si>
  <si>
    <t xml:space="preserve">8613</t>
  </si>
  <si>
    <t xml:space="preserve">FEMA 8613: Rate not captured in owned-rate notes.</t>
  </si>
  <si>
    <t xml:space="preserve">WTRL-500</t>
  </si>
  <si>
    <t xml:space="preserve">500 gal water trailer</t>
  </si>
  <si>
    <t xml:space="preserve">500 gal</t>
  </si>
  <si>
    <t xml:space="preserve">W25;B25</t>
  </si>
  <si>
    <t xml:space="preserve">pickup-towed</t>
  </si>
  <si>
    <t xml:space="preserve">EW-DUST</t>
  </si>
  <si>
    <t xml:space="preserve">Rent: Median (=mean) of 2 sources: W 200/580/1683; B 110/330/990.</t>
  </si>
  <si>
    <t xml:space="preserve">WTANK-12000</t>
  </si>
  <si>
    <t xml:space="preserve">Stand tank</t>
  </si>
  <si>
    <t xml:space="preserve">12,000 gal stand tank</t>
  </si>
  <si>
    <t xml:space="preserve">12,000 gal</t>
  </si>
  <si>
    <t xml:space="preserve">none</t>
  </si>
  <si>
    <t xml:space="preserve">delivered-by-supplier</t>
  </si>
  <si>
    <t xml:space="preserve">CP-PLATE-FWD</t>
  </si>
  <si>
    <t xml:space="preserve">Compaction</t>
  </si>
  <si>
    <t xml:space="preserve">Plate compactor</t>
  </si>
  <si>
    <t xml:space="preserve">Forward, small</t>
  </si>
  <si>
    <t xml:space="preserve">~150-200 lb forward plate</t>
  </si>
  <si>
    <t xml:space="preserve">Machine weight</t>
  </si>
  <si>
    <t xml:space="preserve">Wacker Neuson WP1550AW (19.5 in, 194 lb, 100 ft/min, 9,750 ft2/hr); VP1135; Multiquip MVC82</t>
  </si>
  <si>
    <t xml:space="preserve">gas</t>
  </si>
  <si>
    <t xml:space="preserve">Laborer (per WD group)</t>
  </si>
  <si>
    <t xml:space="preserve">EW-COMP-PLATE</t>
  </si>
  <si>
    <t xml:space="preserve">No FEMA plate/rammer rows. Hauled in pickup/trailer. Rent: Median of 4 sources (W 128/372/1080; B 80/240/720; R 75/295/995; N 55/195/485).</t>
  </si>
  <si>
    <t xml:space="preserve">CP-PLATE-REV</t>
  </si>
  <si>
    <t xml:space="preserve">Reversible</t>
  </si>
  <si>
    <t xml:space="preserve">~800-1,100 lb reversible plate</t>
  </si>
  <si>
    <t xml:space="preserve">Wacker DPU5545/6555; Mikasa MVH408 (836 lb)</t>
  </si>
  <si>
    <t xml:space="preserve">EW-COMP-PLATE,EW-COMP-TRENCH</t>
  </si>
  <si>
    <t xml:space="preserve">Rounded half-up (Excel rule) in revision; may differ by 1 from the notes table, which used banker's rounding. Rent: Median of 4 sources (W 302/876/2541; B 255/765/2295; R 225/895/2595; N 200/740/1850).</t>
  </si>
  <si>
    <t xml:space="preserve">CP-RAMMER</t>
  </si>
  <si>
    <t xml:space="preserve">Rammer (jumping jack)</t>
  </si>
  <si>
    <t xml:space="preserve">Gas rammer</t>
  </si>
  <si>
    <t xml:space="preserve">Rammer 100-140 lb</t>
  </si>
  <si>
    <t xml:space="preserve">Wacker Neuson BS60-4As (11 x 13.4 in shoe, 159 lb, 28.9 ft/min, ~1,590 ft2/hr); BS50; MTX60</t>
  </si>
  <si>
    <t xml:space="preserve">W25;B25;N25</t>
  </si>
  <si>
    <t xml:space="preserve">Wacker Neuson BS60-4As 1.0 L/hr = 0.26 gal/hr [WN-BS60]</t>
  </si>
  <si>
    <t xml:space="preserve">EW-COMP-RAMMER</t>
  </si>
  <si>
    <t xml:space="preserve">Rent: Median of 3 sources (W 135/392/1137; B 85/255/765; N 55/195/485).</t>
  </si>
  <si>
    <t xml:space="preserve">CP-HANDVIB</t>
  </si>
  <si>
    <t xml:space="preserve">Hand-held vibratory compactor</t>
  </si>
  <si>
    <t xml:space="preserve">FEMA hand-held</t>
  </si>
  <si>
    <t xml:space="preserve">Hand-held vibratory (28 hp as listed)</t>
  </si>
  <si>
    <t xml:space="preserve">HP (as listed)</t>
  </si>
  <si>
    <t xml:space="preserve">FEMA 8220</t>
  </si>
  <si>
    <t xml:space="preserve">8220</t>
  </si>
  <si>
    <t xml:space="preserve">FEMA: 28 HP looks inconsistent with a hand-held unit (as extracted). Fuel gal/hr derived (C): Net_HP x USACE fuel factor x load factor (Settings B11-B15). Ex-fuel (C) = FEMA incl-fuel rate - Fuel_gal_hr_med x diesel back-out price (Settings B5).</t>
  </si>
  <si>
    <t xml:space="preserve">FEMA value flagged: HP as listed looks wrong for hand-held; verify; Needs rate (rental); FEMA ⚠ value kept as published; verify vs PDF</t>
  </si>
  <si>
    <t xml:space="preserve">CP-TRENCH-ROLLER</t>
  </si>
  <si>
    <t xml:space="preserve">Trench roller</t>
  </si>
  <si>
    <t xml:space="preserve">Remote multi-purpose</t>
  </si>
  <si>
    <t xml:space="preserve">~32-33 in, ~3,200 lb</t>
  </si>
  <si>
    <t xml:space="preserve">Drum width</t>
  </si>
  <si>
    <t xml:space="preserve">in</t>
  </si>
  <si>
    <t xml:space="preserve">Wacker RTKX; Bomag; Multiquip RX1575</t>
  </si>
  <si>
    <t xml:space="preserve">33 in drum</t>
  </si>
  <si>
    <t xml:space="preserve">EW-COMP-TRENCH</t>
  </si>
  <si>
    <t xml:space="preserve">Rent: Median of 4 sources (W 461/1336/3875; B 320/960/2880; R 275/1100/3300; N 225/780/2100).</t>
  </si>
  <si>
    <t xml:space="preserve">CP-SSL-VIBROLL</t>
  </si>
  <si>
    <t xml:space="preserve">Vibratory roller attachment</t>
  </si>
  <si>
    <t xml:space="preserve">Skid-steer attachment</t>
  </si>
  <si>
    <t xml:space="preserve">72-84 in SSL vibratory roller</t>
  </si>
  <si>
    <t xml:space="preserve">FEMA 8221 towed SSL roller 84 in; RTL 72 in attachment</t>
  </si>
  <si>
    <t xml:space="preserve">8221</t>
  </si>
  <si>
    <t xml:space="preserve">EW-COMP-SOIL-SM</t>
  </si>
  <si>
    <t xml:space="preserve">Carrier (skid steer) priced separately. Rent: RTL 72 in attachment only. Ex-fuel = incl-fuel rate (no liquid fuel to back out).</t>
  </si>
  <si>
    <t xml:space="preserve">CP-SD-48-SM</t>
  </si>
  <si>
    <t xml:space="preserve">Single-drum vibratory roller</t>
  </si>
  <si>
    <t xml:space="preserve">Smooth drum, 50 in</t>
  </si>
  <si>
    <t xml:space="preserve">48-54 in smooth (~10,000 lb)</t>
  </si>
  <si>
    <t xml:space="preserve">Cat CS34 (50 in, 9,800 lb); Cat CS5 (50 in, ~9,800-10,307 lb, 74.6 hp)</t>
  </si>
  <si>
    <t xml:space="preserve">50 in drum</t>
  </si>
  <si>
    <t xml:space="preserve">EW-COMP-SOIL-6,EW-COMP-SOIL-8</t>
  </si>
  <si>
    <t xml:space="preserve">Wheeler drum widths inferred from Cat specs (notes). Owned rate removed in revision: earlier interpolation used a blank HP endpoint (CP-SD-48PAD). Cat CS34 50 in, 9,800 lb, max 5.5 mph [CAT-CMP-PG]. Fuel gal/hr derived (C): Net_HP x USACE fuel factor x load factor (Settings B11-B15).</t>
  </si>
  <si>
    <t xml:space="preserve">CP-SD-66-SM</t>
  </si>
  <si>
    <t xml:space="preserve">Smooth drum, 66 in</t>
  </si>
  <si>
    <t xml:space="preserve">66-67 in smooth</t>
  </si>
  <si>
    <t xml:space="preserve">Cat CS44B (66 in, 15,895 lb, max 7 mph) / CS7; Volvo SD45; Wacker SV414T 67 in</t>
  </si>
  <si>
    <t xml:space="preserve">66 in drum</t>
  </si>
  <si>
    <t xml:space="preserve">Wheeler drum widths inferred from Cat specs (notes). Fuel removed in revision (CS54B drum width not in notes). Weight = Cat CS44B [CAT-CMP-PG]. Rent: Median of 3 sources (W CS44 831/2410/6988; C SV414T 725/1775/4400; A 500/1500/3750).</t>
  </si>
  <si>
    <t xml:space="preserve">CP-SD-66-PAD</t>
  </si>
  <si>
    <t xml:space="preserve">Padfoot drum, 66 in</t>
  </si>
  <si>
    <t xml:space="preserve">66 in padfoot</t>
  </si>
  <si>
    <t xml:space="preserve">Cat CP44/CP7; Wacker RC70P</t>
  </si>
  <si>
    <t xml:space="preserve">Wheeler drum widths inferred from Cat specs (notes). Rounded half-up (Excel rule) in revision; may differ by 1 from the notes table, which used banker's rounding. Rent: Median (=mean) of 2 sources: W CP44 1012/2935/8512; B RC70P 445/1335/4005. Wide spread; treat as range.</t>
  </si>
  <si>
    <t xml:space="preserve">CP-SD-84-SM</t>
  </si>
  <si>
    <t xml:space="preserve">Smooth drum, 84 in</t>
  </si>
  <si>
    <t xml:space="preserve">84 in smooth</t>
  </si>
  <si>
    <t xml:space="preserve">Cat CS56/CS74 (84 in); Volvo SV544T; Wacker RC110; Cat CS56B (84 in, 25,346 lb, 1,400-1,830 vpm), CS10 GC (84 in, 23,136 lb)</t>
  </si>
  <si>
    <t xml:space="preserve">84 in drum</t>
  </si>
  <si>
    <t xml:space="preserve">W25;C25;B25;A26</t>
  </si>
  <si>
    <t xml:space="preserve">Cat Dec 2022 single value, CS56B (single) [CATFUEL22]</t>
  </si>
  <si>
    <t xml:space="preserve">EW-COMP-SOIL-6,EW-COMP-SOIL-8,EW-COMP-SOIL-12</t>
  </si>
  <si>
    <t xml:space="preserve">Wheeler drum widths inferred from Cat specs (notes). Rounded half-up (Excel rule) in revision; may differ by 1 from the notes table, which used banker's rounding. Rent: Median of 4 sources (W CS56/74 avg 1178/3418/9910; C 800/1975/4900; B 585/1755/5265; A 600/2000/4500).</t>
  </si>
  <si>
    <t xml:space="preserve">CP-SD-84-PAD</t>
  </si>
  <si>
    <t xml:space="preserve">Padfoot drum, 84 in</t>
  </si>
  <si>
    <t xml:space="preserve">84 in padfoot</t>
  </si>
  <si>
    <t xml:space="preserve">Cat CP56/CP74; Wacker RC110P; Cat CP56B (84 in, 25,707 lb)</t>
  </si>
  <si>
    <t xml:space="preserve">Wheeler drum widths inferred from Cat specs (notes). Rounded half-up (Excel rule) in revision; may differ by 1 from the notes table, which used banker's rounding. Rent: Median (=mean) of 2 sources: W CP56/74 avg 1344/3899/11308; B RC110P 590/1770/5310. Wide spread.</t>
  </si>
  <si>
    <t xml:space="preserve">CP-SD-84-HVY</t>
  </si>
  <si>
    <t xml:space="preserve">84 in heavy (CS74/CS19 class, to ~41,600 lb)</t>
  </si>
  <si>
    <t xml:space="preserve">Cat CS74 (84 in), CS19 (41,641 lb); 120-176 hp gross</t>
  </si>
  <si>
    <t xml:space="preserve">Cat Dec 2022 single value, CS74B (single) [CATFUEL22]</t>
  </si>
  <si>
    <t xml:space="preserve">Wheeler drum widths inferred from Cat specs (notes). Rent: Wheeler CS74 only.</t>
  </si>
  <si>
    <t xml:space="preserve">CP-SD-48PAD</t>
  </si>
  <si>
    <t xml:space="preserve">Padfoot, small</t>
  </si>
  <si>
    <t xml:space="preserve">~48 in padfoot (FEMA 2-ton class)</t>
  </si>
  <si>
    <t xml:space="preserve">Single-drum vibratory (FEMA 8219)</t>
  </si>
  <si>
    <t xml:space="preserve">8219</t>
  </si>
  <si>
    <t xml:space="preserve">EW-COMP-SOIL-6</t>
  </si>
  <si>
    <t xml:space="preserve">Width not sourced (48-54 in soil rollers: no rental lines found). FEMA: Taxonomy lists 8219 as 2-ton pavement roller; owned notes list it as single-drum vibratory. Owned-notes label used. Ex-fuel (C) = FEMA incl-fuel rate - Fuel_gal_hr_med x diesel back-out price (Settings B5).</t>
  </si>
  <si>
    <t xml:space="preserve">Needs fuel gal/hr; label conflict 8219; Needs rate (rental)</t>
  </si>
  <si>
    <t xml:space="preserve">CP-SD-51PAD-CP563</t>
  </si>
  <si>
    <t xml:space="preserve">Padfoot</t>
  </si>
  <si>
    <t xml:space="preserve">Cat CP-563D 51 in (to 145 hp)</t>
  </si>
  <si>
    <t xml:space="preserve">Cat CP-563D</t>
  </si>
  <si>
    <t xml:space="preserve">51 in drum</t>
  </si>
  <si>
    <t xml:space="preserve">8224</t>
  </si>
  <si>
    <t xml:space="preserve">CP-TAMP-815</t>
  </si>
  <si>
    <t xml:space="preserve">Wheeled soil compactor (tamping)</t>
  </si>
  <si>
    <t xml:space="preserve">Tamping-foot</t>
  </si>
  <si>
    <t xml:space="preserve">Cat 815 (~249 hp)</t>
  </si>
  <si>
    <t xml:space="preserve">Cat 815</t>
  </si>
  <si>
    <t xml:space="preserve">Cat VisionLink Dec 2022, model 815K [CATFUEL22]</t>
  </si>
  <si>
    <t xml:space="preserve">EW-COMP-SOIL-8,EW-COMP-SOIL-12</t>
  </si>
  <si>
    <t xml:space="preserve">Weight not in notes. Rent: Wheeler only.</t>
  </si>
  <si>
    <t xml:space="preserve">CP-TAMP-825</t>
  </si>
  <si>
    <t xml:space="preserve">Cat 825 (~405 hp)</t>
  </si>
  <si>
    <t xml:space="preserve">Cat 825</t>
  </si>
  <si>
    <t xml:space="preserve">Cat VisionLink Dec 2022, model 825K [CATFUEL22]</t>
  </si>
  <si>
    <t xml:space="preserve">CP-LANDFILL-816</t>
  </si>
  <si>
    <t xml:space="preserve">Landfill compactor</t>
  </si>
  <si>
    <t xml:space="preserve">Landfill/sanitation</t>
  </si>
  <si>
    <t xml:space="preserve">Cat 816 (~249 hp)</t>
  </si>
  <si>
    <t xml:space="preserve">Cat 816</t>
  </si>
  <si>
    <t xml:space="preserve">8225</t>
  </si>
  <si>
    <t xml:space="preserve">Specialty; weight not in notes. Fuel gal/hr derived (C): Net_HP x USACE fuel factor x load factor (Settings B11-B15). Ex-fuel (C) = FEMA incl-fuel rate - Fuel_gal_hr_med x diesel back-out price (Settings B5).</t>
  </si>
  <si>
    <t xml:space="preserve">CP-LANDFILL-826</t>
  </si>
  <si>
    <t xml:space="preserve">Cat 826 (~405 hp)</t>
  </si>
  <si>
    <t xml:space="preserve">Cat 826</t>
  </si>
  <si>
    <t xml:space="preserve">8226</t>
  </si>
  <si>
    <t xml:space="preserve">CP-LANDFILL-836</t>
  </si>
  <si>
    <t xml:space="preserve">Cat 836 (~496 hp)</t>
  </si>
  <si>
    <t xml:space="preserve">Cat 836</t>
  </si>
  <si>
    <t xml:space="preserve">8227</t>
  </si>
  <si>
    <t xml:space="preserve">CP-TANDEM-SMALL</t>
  </si>
  <si>
    <t xml:space="preserve">Paving</t>
  </si>
  <si>
    <t xml:space="preserve">Tandem vibratory roller (asphalt)</t>
  </si>
  <si>
    <t xml:space="preserve">Utility ride-on 1.5-3 t</t>
  </si>
  <si>
    <t xml:space="preserve">36-54 in double drum</t>
  </si>
  <si>
    <t xml:space="preserve">Cat CB1.7 (35 in, 3,538 lb)-CB4.4 (55 in, 8,362 lb); Wacker RD12/RD28; Bomag SW354; Cat CB2.7 (47.2 in, 5,936 lb)</t>
  </si>
  <si>
    <t xml:space="preserve">36-54 in drums</t>
  </si>
  <si>
    <t xml:space="preserve">Operating Engineer - paving group (per WD)</t>
  </si>
  <si>
    <t xml:space="preserve">C25;B25;N25;W25</t>
  </si>
  <si>
    <t xml:space="preserve">8218</t>
  </si>
  <si>
    <t xml:space="preserve">PV-ROLL-HMA,EW-COMP-SOIL-SM</t>
  </si>
  <si>
    <t xml:space="preserve">Rent: Median of 4 sources (C 325/775/1900; B 273/818/2453; N 215/650/1875; W 332/964/2795). FEMA: FEMA 8218 Bomag BW100AD-3 (to 33 hp). Ex-fuel (C) = FEMA incl-fuel rate - Fuel_gal_hr_med x diesel back-out price (Settings B5).</t>
  </si>
  <si>
    <t xml:space="preserve">Needs fuel gal/hr</t>
  </si>
  <si>
    <t xml:space="preserve">CP-TANDEM-47</t>
  </si>
  <si>
    <t xml:space="preserve">Utility ride-on</t>
  </si>
  <si>
    <t xml:space="preserve">47 in double drum (to 75 hp)</t>
  </si>
  <si>
    <t xml:space="preserve">Bomag BW120AD-4</t>
  </si>
  <si>
    <t xml:space="preserve">47 in drums</t>
  </si>
  <si>
    <t xml:space="preserve">8222</t>
  </si>
  <si>
    <t xml:space="preserve">PV-ROLL-HMA</t>
  </si>
  <si>
    <t xml:space="preserve">FEMA: Lower than the smaller BW100 (8218 $92.08). Fuel gal/hr derived (C): Net_HP x USACE fuel factor x load factor (Settings B11-B15). Ex-fuel (C) = FEMA incl-fuel rate - Fuel_gal_hr_med x diesel back-out price (Settings B5).</t>
  </si>
  <si>
    <t xml:space="preserve">FEMA value flagged: 8222 lower than smaller 8218; verify; Needs rate (rental); FEMA ⚠ value kept as published; verify vs PDF</t>
  </si>
  <si>
    <t xml:space="preserve">CP-TANDEM-54</t>
  </si>
  <si>
    <t xml:space="preserve">Mid tandem</t>
  </si>
  <si>
    <t xml:space="preserve">54 in double drum</t>
  </si>
  <si>
    <t xml:space="preserve">Bomag SW504</t>
  </si>
  <si>
    <t xml:space="preserve">54 in drums</t>
  </si>
  <si>
    <t xml:space="preserve">CP-TANDEM-67</t>
  </si>
  <si>
    <t xml:space="preserve">Large tandem</t>
  </si>
  <si>
    <t xml:space="preserve">66-67 in double drum</t>
  </si>
  <si>
    <t xml:space="preserve">Bomag SW774; Cat CB8/CB10 (67 in; CB10 21,642-22,255 lb, 36.5 gal tank)</t>
  </si>
  <si>
    <t xml:space="preserve">67 in drums</t>
  </si>
  <si>
    <t xml:space="preserve">Rent: Columbus only. Oscillation versions ~$50-75/day more.</t>
  </si>
  <si>
    <t xml:space="preserve">CP-TANDEM-79</t>
  </si>
  <si>
    <t xml:space="preserve">79 in double drum</t>
  </si>
  <si>
    <t xml:space="preserve">Bomag SW884; Cat CB13</t>
  </si>
  <si>
    <t xml:space="preserve">79 in drums</t>
  </si>
  <si>
    <t xml:space="preserve">CP-TANDEM-84</t>
  </si>
  <si>
    <t xml:space="preserve">Highway tandem</t>
  </si>
  <si>
    <t xml:space="preserve">84 in double drum (~29,000-32,000 lb)</t>
  </si>
  <si>
    <t xml:space="preserve">Cat CB15/CB16</t>
  </si>
  <si>
    <t xml:space="preserve">84 in drums</t>
  </si>
  <si>
    <t xml:space="preserve">Rent: Wheeler CB16 only.</t>
  </si>
  <si>
    <t xml:space="preserve">CP-COMBO</t>
  </si>
  <si>
    <t xml:space="preserve">Combination roller</t>
  </si>
  <si>
    <t xml:space="preserve">Steel drum + rubber tire</t>
  </si>
  <si>
    <t xml:space="preserve">Combination 2.7-4.0 t</t>
  </si>
  <si>
    <t xml:space="preserve">CC2.7/CC4.0</t>
  </si>
  <si>
    <t xml:space="preserve">Cat CC2.7, CC4.0</t>
  </si>
  <si>
    <t xml:space="preserve">CP-PNEU-SMALL</t>
  </si>
  <si>
    <t xml:space="preserve">Pneumatic roller</t>
  </si>
  <si>
    <t xml:space="preserve">Small 9-wheel</t>
  </si>
  <si>
    <t xml:space="preserve">9-wheel ~5,000 lb</t>
  </si>
  <si>
    <t xml:space="preserve">Cat CT3</t>
  </si>
  <si>
    <t xml:space="preserve">CP-PNEU-68</t>
  </si>
  <si>
    <t xml:space="preserve">9-wheel 68 in / 11-wheel 84 in</t>
  </si>
  <si>
    <t xml:space="preserve">~33,000 lb ballasted (CW16 class)</t>
  </si>
  <si>
    <t xml:space="preserve">Rolling width</t>
  </si>
  <si>
    <t xml:space="preserve">Cat CW16; Bomag BW11RH (68 in, to 100 hp)</t>
  </si>
  <si>
    <t xml:space="preserve">8223</t>
  </si>
  <si>
    <t xml:space="preserve">Cat Dec 2022 single value, CW16 (single) [CATFUEL22]</t>
  </si>
  <si>
    <t xml:space="preserve">PV-ROLL-HMA,EW-COMP-SOIL-8</t>
  </si>
  <si>
    <t xml:space="preserve">Rent: Wheeler CW16 only. FEMA: FEMA 8223 Bomag BW11RH. Ex-fuel (C) = FEMA incl-fuel rate - Fuel_gal_hr_med x diesel back-out price (Settings B5).</t>
  </si>
  <si>
    <t xml:space="preserve">CP-PNEU-82</t>
  </si>
  <si>
    <t xml:space="preserve">Heavy</t>
  </si>
  <si>
    <t xml:space="preserve">82 in, to ~59,500 lb ballasted (CW34 class)</t>
  </si>
  <si>
    <t xml:space="preserve">Cat CW34 (82 in, 8 tires, 22,050-59,525 lb, max 12 mph)</t>
  </si>
  <si>
    <t xml:space="preserve">Cat Dec 2022 single value, CW34 (single) [CATFUEL22]</t>
  </si>
  <si>
    <t xml:space="preserve">PV-ROLL-HMA,EW-PROOFROLL</t>
  </si>
  <si>
    <t xml:space="preserve">Cat CW34 fuel (1.45) below CW16 (1.80) as published. Rent: Wheeler only.</t>
  </si>
  <si>
    <t xml:space="preserve">CP-PNEU-TOWED</t>
  </si>
  <si>
    <t xml:space="preserve">Towed 11-wheel</t>
  </si>
  <si>
    <t xml:space="preserve">Towed pneumatic 11-wheel</t>
  </si>
  <si>
    <t xml:space="preserve">Wheels</t>
  </si>
  <si>
    <t xml:space="preserve">wheels</t>
  </si>
  <si>
    <t xml:space="preserve">FEMA 8228</t>
  </si>
  <si>
    <t xml:space="preserve">8228</t>
  </si>
  <si>
    <t xml:space="preserve">Tow tractor priced separately. Ex-fuel = incl-fuel rate (no liquid fuel to back out).</t>
  </si>
  <si>
    <t xml:space="preserve">CP-STEEL-TOWED</t>
  </si>
  <si>
    <t xml:space="preserve">Static steel drum roller</t>
  </si>
  <si>
    <t xml:space="preserve">Towed</t>
  </si>
  <si>
    <t xml:space="preserve">Towed static steel drum</t>
  </si>
  <si>
    <t xml:space="preserve">towed</t>
  </si>
  <si>
    <t xml:space="preserve">FEMA 8229</t>
  </si>
  <si>
    <t xml:space="preserve">8229</t>
  </si>
  <si>
    <t xml:space="preserve">CP-PAVEROLLER-2T</t>
  </si>
  <si>
    <t xml:space="preserve">Static tandem roller</t>
  </si>
  <si>
    <t xml:space="preserve">Pavement roller</t>
  </si>
  <si>
    <t xml:space="preserve">2-ton pavement roller</t>
  </si>
  <si>
    <t xml:space="preserve">Weight class</t>
  </si>
  <si>
    <t xml:space="preserve">FEMA 8129</t>
  </si>
  <si>
    <t xml:space="preserve">8129</t>
  </si>
  <si>
    <t xml:space="preserve">FEMA 8129: Code listed; rate not captured.</t>
  </si>
  <si>
    <t xml:space="preserve">Needs rate; Needs rate (rental); Needs rate (owned; FEMA code exists); Needs fuel gal/hr</t>
  </si>
  <si>
    <t xml:space="preserve">PV-PAVER-TOWED</t>
  </si>
  <si>
    <t xml:space="preserve">Asphalt paver</t>
  </si>
  <si>
    <t xml:space="preserve">Towed paver 8 ft</t>
  </si>
  <si>
    <t xml:space="preserve">Paving width</t>
  </si>
  <si>
    <t xml:space="preserve">FEMA 8430</t>
  </si>
  <si>
    <t xml:space="preserve">8430</t>
  </si>
  <si>
    <t xml:space="preserve">PV-HMA-LOT</t>
  </si>
  <si>
    <t xml:space="preserve">FEMA 8430: Rate not captured.</t>
  </si>
  <si>
    <t xml:space="preserve">PV-PAVER-P195</t>
  </si>
  <si>
    <t xml:space="preserve">Compact/commercial (Weiler)</t>
  </si>
  <si>
    <t xml:space="preserve">3'10"-7' (P195 class)</t>
  </si>
  <si>
    <t xml:space="preserve">Paving range (max)</t>
  </si>
  <si>
    <t xml:space="preserve">Weiler P195 (13,000 lb)</t>
  </si>
  <si>
    <t xml:space="preserve">3'10"-7' range</t>
  </si>
  <si>
    <t xml:space="preserve">PV-PAVER-COMM</t>
  </si>
  <si>
    <t xml:space="preserve">Commercial (Weiler)</t>
  </si>
  <si>
    <t xml:space="preserve">8-15'8" (P265-P395B class)</t>
  </si>
  <si>
    <t xml:space="preserve">Weiler P265, P385B, P395B (24,000 lb)</t>
  </si>
  <si>
    <t xml:space="preserve">8'-15'8" range</t>
  </si>
  <si>
    <t xml:space="preserve">PV-HMA-LOT,PV-HMA-ROAD</t>
  </si>
  <si>
    <t xml:space="preserve">Rent: Wheeler P385 only.</t>
  </si>
  <si>
    <t xml:space="preserve">PV-PAVER-AP355</t>
  </si>
  <si>
    <t xml:space="preserve">Compact track</t>
  </si>
  <si>
    <t xml:space="preserve">Cat AP355</t>
  </si>
  <si>
    <t xml:space="preserve">AP355</t>
  </si>
  <si>
    <t xml:space="preserve">Cat Dec 2022 single value, AP355 (single) [CATFUEL22]</t>
  </si>
  <si>
    <t xml:space="preserve">PV-PAVER-AP400</t>
  </si>
  <si>
    <t xml:space="preserve">Highway, wheel</t>
  </si>
  <si>
    <t xml:space="preserve">Cat AP400 (8'-19'6")</t>
  </si>
  <si>
    <t xml:space="preserve">Cat AP400</t>
  </si>
  <si>
    <t xml:space="preserve">8'-19'6" range</t>
  </si>
  <si>
    <t xml:space="preserve">Cat Dec 2022 single value, AP400 [CATFUEL22]</t>
  </si>
  <si>
    <t xml:space="preserve">PV-HMA-ROAD,PV-HMA-LOT</t>
  </si>
  <si>
    <t xml:space="preserve">Paver output is governed by plant/truck supply, not the paver (notes). Cat single fuel value used as medium. Paver ex-fuel is low-confidence on fuel side (3-4% share).</t>
  </si>
  <si>
    <t xml:space="preserve">PV-PAVER-AP455</t>
  </si>
  <si>
    <t xml:space="preserve">Highway, track</t>
  </si>
  <si>
    <t xml:space="preserve">Cat AP455 (8'-19'6")</t>
  </si>
  <si>
    <t xml:space="preserve">Cat AP455 (120 hp)</t>
  </si>
  <si>
    <t xml:space="preserve">8431</t>
  </si>
  <si>
    <t xml:space="preserve">Cat Dec 2022 single value, AP455 [CATFUEL22]</t>
  </si>
  <si>
    <t xml:space="preserve">Paver output is governed by plant/truck supply, not the paver (notes). Cat single fuel value used as medium. Paver ex-fuel is low-confidence on fuel side (3-4% share). Ex-fuel (C) = FEMA incl-fuel rate - Fuel_gal_hr_med x diesel back-out price (Settings B5).</t>
  </si>
  <si>
    <t xml:space="preserve">PV-PAVER-AP500</t>
  </si>
  <si>
    <t xml:space="preserve">Cat AP500 (8'-19'6")</t>
  </si>
  <si>
    <t xml:space="preserve">Cat AP500</t>
  </si>
  <si>
    <t xml:space="preserve">8434</t>
  </si>
  <si>
    <t xml:space="preserve">Cat Dec 2022 single value, AP500 [CATFUEL22]</t>
  </si>
  <si>
    <t xml:space="preserve">PV-PAVER-AP555</t>
  </si>
  <si>
    <t xml:space="preserve">Cat AP555 (8'-20')</t>
  </si>
  <si>
    <t xml:space="preserve">Cat AP555 (148 hp)</t>
  </si>
  <si>
    <t xml:space="preserve">8'-20' range</t>
  </si>
  <si>
    <t xml:space="preserve">8432</t>
  </si>
  <si>
    <t xml:space="preserve">Cat Dec 2022 single value, AP555 [CATFUEL22]</t>
  </si>
  <si>
    <t xml:space="preserve">Paver output is governed by plant/truck supply, not the paver (notes). Cat single fuel value used as medium. Paver ex-fuel is low-confidence on fuel side (3-4% share). Rent: Wheeler only; $600 cleaning fee if not cleaned. Ex-fuel (C) = FEMA incl-fuel rate - Fuel_gal_hr_med x diesel back-out price (Settings B5).</t>
  </si>
  <si>
    <t xml:space="preserve">PV-PAVER-AP600</t>
  </si>
  <si>
    <t xml:space="preserve">Cat AP600 (8'-20'6")</t>
  </si>
  <si>
    <t xml:space="preserve">Cat AP600</t>
  </si>
  <si>
    <t xml:space="preserve">8'-20'6" range</t>
  </si>
  <si>
    <t xml:space="preserve">Cat Dec 2022 single value, AP600 [CATFUEL22]</t>
  </si>
  <si>
    <t xml:space="preserve">PV-PAVER-AP655</t>
  </si>
  <si>
    <t xml:space="preserve">Cat AP655 (8'-20'6")</t>
  </si>
  <si>
    <t xml:space="preserve">Cat AP655 (173 hp)</t>
  </si>
  <si>
    <t xml:space="preserve">8433</t>
  </si>
  <si>
    <t xml:space="preserve">Cat Dec 2022 single value, AP655 [CATFUEL22]</t>
  </si>
  <si>
    <t xml:space="preserve">PV-PAVER-AP1000</t>
  </si>
  <si>
    <t xml:space="preserve">Cat AP1000 (10'-25'6")</t>
  </si>
  <si>
    <t xml:space="preserve">Cat AP1000</t>
  </si>
  <si>
    <t xml:space="preserve">10'-25'6" range</t>
  </si>
  <si>
    <t xml:space="preserve">8435</t>
  </si>
  <si>
    <t xml:space="preserve">Cat Dec 2022 single value, AP1000 [CATFUEL22]</t>
  </si>
  <si>
    <t xml:space="preserve">PV-PAVER-AP1055</t>
  </si>
  <si>
    <t xml:space="preserve">Cat AP1055 (9'10"-25')</t>
  </si>
  <si>
    <t xml:space="preserve">Cat AP1055</t>
  </si>
  <si>
    <t xml:space="preserve">9'10"-25' range</t>
  </si>
  <si>
    <t xml:space="preserve">Cat Dec 2022 single value, AP1055 [CATFUEL22]</t>
  </si>
  <si>
    <t xml:space="preserve">Paver output is governed by plant/truck supply, not the paver (notes). Cat single fuel value used as medium. Paver ex-fuel is low-confidence on fuel side (3-4% share). Rent: Wheeler only; $600 cleaning fee if not cleaned.</t>
  </si>
  <si>
    <t xml:space="preserve">PV-MTV-8436</t>
  </si>
  <si>
    <t xml:space="preserve">Material transfer vehicle / pickup machine</t>
  </si>
  <si>
    <t xml:space="preserve">MTV</t>
  </si>
  <si>
    <t xml:space="preserve">Pickup machine / MTV (FEMA 8436)</t>
  </si>
  <si>
    <t xml:space="preserve">FEMA code</t>
  </si>
  <si>
    <t xml:space="preserve">8436</t>
  </si>
  <si>
    <t xml:space="preserve">Pickup machine / MTV</t>
  </si>
  <si>
    <t xml:space="preserve">PV-HMA-ROAD</t>
  </si>
  <si>
    <t xml:space="preserve">Weight not in notes. FEMA 8436: Rate not captured.</t>
  </si>
  <si>
    <t xml:space="preserve">PV-MTV-8437</t>
  </si>
  <si>
    <t xml:space="preserve">Pickup machine / MTV (FEMA 8437)</t>
  </si>
  <si>
    <t xml:space="preserve">8437</t>
  </si>
  <si>
    <t xml:space="preserve">Weight not in notes. FEMA 8437: Rate not captured.</t>
  </si>
  <si>
    <t xml:space="preserve">PV-MTV-8438</t>
  </si>
  <si>
    <t xml:space="preserve">Pickup machine / MTV (FEMA 8438)</t>
  </si>
  <si>
    <t xml:space="preserve">8438</t>
  </si>
  <si>
    <t xml:space="preserve">Weight not in notes. FEMA 8438: Rate not captured.</t>
  </si>
  <si>
    <t xml:space="preserve">PV-MTV-8439</t>
  </si>
  <si>
    <t xml:space="preserve">Roadtec MTV-1000C (FEMA 8439)</t>
  </si>
  <si>
    <t xml:space="preserve">8439</t>
  </si>
  <si>
    <t xml:space="preserve">Roadtec MTV-1000C</t>
  </si>
  <si>
    <t xml:space="preserve">Weight not in notes. FEMA 8439: Rate not captured.</t>
  </si>
  <si>
    <t xml:space="preserve">PV-PAVER-BELTEXT</t>
  </si>
  <si>
    <t xml:space="preserve">Attachment</t>
  </si>
  <si>
    <t xml:space="preserve">Paver belt extension</t>
  </si>
  <si>
    <t xml:space="preserve">belt ext.</t>
  </si>
  <si>
    <t xml:space="preserve">FEMA 8447</t>
  </si>
  <si>
    <t xml:space="preserve">8447</t>
  </si>
  <si>
    <t xml:space="preserve">FEMA 8447: Rate not captured.</t>
  </si>
  <si>
    <t xml:space="preserve">PV-WIDENER-10</t>
  </si>
  <si>
    <t xml:space="preserve">Shoulder widener (grader attachment)</t>
  </si>
  <si>
    <t xml:space="preserve">Widener</t>
  </si>
  <si>
    <t xml:space="preserve">Widener 10 ft spread</t>
  </si>
  <si>
    <t xml:space="preserve">Spread width</t>
  </si>
  <si>
    <t xml:space="preserve">FEMA 8335</t>
  </si>
  <si>
    <t xml:space="preserve">8335</t>
  </si>
  <si>
    <t xml:space="preserve">FEMA 8335: Rate not captured.</t>
  </si>
  <si>
    <t xml:space="preserve">PV-MILL-SSL</t>
  </si>
  <si>
    <t xml:space="preserve">Cold planer</t>
  </si>
  <si>
    <t xml:space="preserve">SSL planer attachment</t>
  </si>
  <si>
    <t xml:space="preserve">SSL planer</t>
  </si>
  <si>
    <t xml:space="preserve">PV-MILL-SMALL</t>
  </si>
  <si>
    <t xml:space="preserve">Rent: Wheeler only; bits $8.50 each.</t>
  </si>
  <si>
    <t xml:space="preserve">Small rear-loader (1-3 ft drum)</t>
  </si>
  <si>
    <t xml:space="preserve">1-3 ft drum (60-250 hp)</t>
  </si>
  <si>
    <t xml:space="preserve">Wirtgen W35Ri/W50Ri; Roadtec RX-100</t>
  </si>
  <si>
    <t xml:space="preserve">1-3 ft drum</t>
  </si>
  <si>
    <t xml:space="preserve">Class from OneCrew (10,000-30,000 lb, 60-250 hp); weight/HP = mid of band. Fuel gal/hr derived (C): Net_HP x USACE fuel factor x load factor (Settings B11-B15).</t>
  </si>
  <si>
    <t xml:space="preserve">PV-MILL-PM310</t>
  </si>
  <si>
    <t xml:space="preserve">Compact (3-5 ft drum)</t>
  </si>
  <si>
    <t xml:space="preserve">39.4 in drum (Cat PM310)</t>
  </si>
  <si>
    <t xml:space="preserve">Cat PM310 (13 in max depth; 108 fpm max)</t>
  </si>
  <si>
    <t xml:space="preserve">39.4 in drum</t>
  </si>
  <si>
    <t xml:space="preserve">PV-MILL-MID</t>
  </si>
  <si>
    <t xml:space="preserve">PV-MILL-PM312</t>
  </si>
  <si>
    <t xml:space="preserve">4 ft 1 in drum (Cat PM312)</t>
  </si>
  <si>
    <t xml:space="preserve">Cat PM312; Wirtgen W100Fi/W120Fi; Roadtec RX-300 (300-500 hp, 30,000-55,000 lb)</t>
  </si>
  <si>
    <t xml:space="preserve">4'1" drum</t>
  </si>
  <si>
    <t xml:space="preserve">Weight/HP = mid of OneCrew compact band. Rent: Wheeler only. Haul $664-965 (&lt;25 mi). Fuel gal/hr derived (C): Net_HP x USACE fuel factor x load factor (Settings B11-B15).</t>
  </si>
  <si>
    <t xml:space="preserve">PV-MILL-PM622</t>
  </si>
  <si>
    <t xml:space="preserve">Large half-lane (6-12 ft drum)</t>
  </si>
  <si>
    <t xml:space="preserve">~6.6 ft drum (Cat PM622)</t>
  </si>
  <si>
    <t xml:space="preserve">Cat PM620 (79.1 in, 630 hp gross, to 328 ft/min) / PM622; Wirtgen W200Fi; Roadtec RX-505</t>
  </si>
  <si>
    <t xml:space="preserve">PV-MILL-LARGE</t>
  </si>
  <si>
    <t xml:space="preserve">Drum width not in notes for PM622 (79 in = Cat 2.0 m option is NOT sourced: treat spec value as placeholder). Weight/HP = mid of OneCrew large band. Width 79.1 in = Cat PM620 [CAT-PM620] (PM622 assumed same drum class). Rent: Wheeler only. Fuel gal/hr derived (C): Net_HP x USACE fuel factor x load factor (Settings B11-B15).</t>
  </si>
  <si>
    <t xml:space="preserve">PV-MILL-PM822</t>
  </si>
  <si>
    <t xml:space="preserve">Large full-lane (6-12+ ft drum)</t>
  </si>
  <si>
    <t xml:space="preserve">Full-lane (Cat PM822)</t>
  </si>
  <si>
    <t xml:space="preserve">Cat PM822; Wirtgen W210XF; Roadtec RX-700</t>
  </si>
  <si>
    <t xml:space="preserve">Drum width not in notes (placeholder). Weight/HP = mid of OneCrew large band. Rent: Wheeler only. Fuel gal/hr derived (C): Net_HP x USACE fuel factor x load factor (Settings B11-B15).</t>
  </si>
  <si>
    <t xml:space="preserve">Spec width unverified; Needs rate (owned)</t>
  </si>
  <si>
    <t xml:space="preserve">PV-DIST-550</t>
  </si>
  <si>
    <t xml:space="preserve">Asphalt distributor</t>
  </si>
  <si>
    <t xml:space="preserve">Truck/trailer distributor</t>
  </si>
  <si>
    <t xml:space="preserve">550 gal</t>
  </si>
  <si>
    <t xml:space="preserve">Tank</t>
  </si>
  <si>
    <t xml:space="preserve">8580</t>
  </si>
  <si>
    <t xml:space="preserve">PV-TACK,PV-PRIME</t>
  </si>
  <si>
    <t xml:space="preserve">FEMA 8580: FEMA rate not reliably extracted.</t>
  </si>
  <si>
    <t xml:space="preserve">PV-DIST-1000</t>
  </si>
  <si>
    <t xml:space="preserve">1,000 gal</t>
  </si>
  <si>
    <t xml:space="preserve">8581</t>
  </si>
  <si>
    <t xml:space="preserve">FEMA 8581: FEMA rate not reliably extracted.</t>
  </si>
  <si>
    <t xml:space="preserve">PV-DIST-2000</t>
  </si>
  <si>
    <t xml:space="preserve">8582</t>
  </si>
  <si>
    <t xml:space="preserve">FEMA 8582: FEMA rate not reliably extracted.</t>
  </si>
  <si>
    <t xml:space="preserve">PV-DIST-4000</t>
  </si>
  <si>
    <t xml:space="preserve">8583</t>
  </si>
  <si>
    <t xml:space="preserve">FEMA 8583: FEMA rate not reliably extracted.</t>
  </si>
  <si>
    <t xml:space="preserve">PV-CHIP-8423</t>
  </si>
  <si>
    <t xml:space="preserve">Chip spreader</t>
  </si>
  <si>
    <t xml:space="preserve">2.8 CY</t>
  </si>
  <si>
    <t xml:space="preserve">Size</t>
  </si>
  <si>
    <t xml:space="preserve">8423</t>
  </si>
  <si>
    <t xml:space="preserve">PV-CHIPSEAL</t>
  </si>
  <si>
    <t xml:space="preserve">FEMA 8423: Rate not captured.</t>
  </si>
  <si>
    <t xml:space="preserve">PV-CHIP-8424</t>
  </si>
  <si>
    <t xml:space="preserve">3.5-3.8 CY</t>
  </si>
  <si>
    <t xml:space="preserve">8424</t>
  </si>
  <si>
    <t xml:space="preserve">FEMA 8424: Rate not captured.</t>
  </si>
  <si>
    <t xml:space="preserve">PV-CHIP-8425</t>
  </si>
  <si>
    <t xml:space="preserve">Mounted 8 ft</t>
  </si>
  <si>
    <t xml:space="preserve">8425</t>
  </si>
  <si>
    <t xml:space="preserve">FEMA 8425: Rate not captured.</t>
  </si>
  <si>
    <t xml:space="preserve">PV-CHIP-8584</t>
  </si>
  <si>
    <t xml:space="preserve">13 ft</t>
  </si>
  <si>
    <t xml:space="preserve">8584</t>
  </si>
  <si>
    <t xml:space="preserve">FEMA 8584: Rate not captured.</t>
  </si>
  <si>
    <t xml:space="preserve">PV-BROOM-SP-8</t>
  </si>
  <si>
    <t xml:space="preserve">Broom / sweeper</t>
  </si>
  <si>
    <t xml:space="preserve">Self-propelled broom</t>
  </si>
  <si>
    <t xml:space="preserve">8 ft 3-wheel open</t>
  </si>
  <si>
    <t xml:space="preserve">Broom width</t>
  </si>
  <si>
    <t xml:space="preserve">Lay-Mor 6/8 ft (FEMA 8150)</t>
  </si>
  <si>
    <t xml:space="preserve">8150</t>
  </si>
  <si>
    <t xml:space="preserve">PV-SWEEP</t>
  </si>
  <si>
    <t xml:space="preserve">Rent: Wheeler only. FEMA 8150: FEMA sweeper rates not reliably extracted.</t>
  </si>
  <si>
    <t xml:space="preserve">Needs rate (owned; FEMA code exists); Needs fuel gal/hr</t>
  </si>
  <si>
    <t xml:space="preserve">PV-BROOM-SP-8CAB</t>
  </si>
  <si>
    <t xml:space="preserve">8 ft 4-wheel cab</t>
  </si>
  <si>
    <t xml:space="preserve">PV-BROOM-SSL</t>
  </si>
  <si>
    <t xml:space="preserve">Skid-steer pickup sweeper</t>
  </si>
  <si>
    <t xml:space="preserve">SSL pickup sweeper</t>
  </si>
  <si>
    <t xml:space="preserve">attachment</t>
  </si>
  <si>
    <t xml:space="preserve">R25;A26</t>
  </si>
  <si>
    <t xml:space="preserve">Rounded half-up (Excel rule) in revision; may differ by 1 from the notes table, which used banker's rounding. Rent: Median (=mean) of 2 sources: R 195/795/2295; A 250/500/1050.</t>
  </si>
  <si>
    <t xml:space="preserve">PV-BROOM-TRACT-72</t>
  </si>
  <si>
    <t xml:space="preserve">Tractor-mounted broom</t>
  </si>
  <si>
    <t xml:space="preserve">72 in</t>
  </si>
  <si>
    <t xml:space="preserve">FEMA 8151</t>
  </si>
  <si>
    <t xml:space="preserve">8151</t>
  </si>
  <si>
    <t xml:space="preserve">FEMA 8151: Rate not captured.</t>
  </si>
  <si>
    <t xml:space="preserve">PV-SWEEPER-TRUCK</t>
  </si>
  <si>
    <t xml:space="preserve">Street sweeper truck</t>
  </si>
  <si>
    <t xml:space="preserve">120 in, 4.5 CY hopper</t>
  </si>
  <si>
    <t xml:space="preserve">Sweep width</t>
  </si>
  <si>
    <t xml:space="preserve">Elgin Pelican (FEMA 8157)</t>
  </si>
  <si>
    <t xml:space="preserve">4.5 CY hopper</t>
  </si>
  <si>
    <t xml:space="preserve">8157</t>
  </si>
  <si>
    <t xml:space="preserve">FEMA 8157: FEMA sweeper rates not reliably extracted.</t>
  </si>
  <si>
    <t xml:space="preserve">PV-BROOM-SP-8153</t>
  </si>
  <si>
    <t xml:space="preserve">Self-propelled broom 96 in</t>
  </si>
  <si>
    <t xml:space="preserve">FEMA 8153</t>
  </si>
  <si>
    <t xml:space="preserve">8153</t>
  </si>
  <si>
    <t xml:space="preserve">FEMA 8153: FEMA broom/sweeper rates not reliably extracted.</t>
  </si>
  <si>
    <t xml:space="preserve">PV-BROOM-SP-8155</t>
  </si>
  <si>
    <t xml:space="preserve">Self-propelled broom 84 in</t>
  </si>
  <si>
    <t xml:space="preserve">FEMA 8155</t>
  </si>
  <si>
    <t xml:space="preserve">8155</t>
  </si>
  <si>
    <t xml:space="preserve">FEMA 8155: FEMA broom/sweeper rates not reliably extracted.</t>
  </si>
  <si>
    <t xml:space="preserve">PV-BROOM-PULL</t>
  </si>
  <si>
    <t xml:space="preserve">Pull broom</t>
  </si>
  <si>
    <t xml:space="preserve">Pull broom (towed)</t>
  </si>
  <si>
    <t xml:space="preserve">pull</t>
  </si>
  <si>
    <t xml:space="preserve">FEMA 8154</t>
  </si>
  <si>
    <t xml:space="preserve">8154</t>
  </si>
  <si>
    <t xml:space="preserve">FEMA 8154: FEMA rate not reliably extracted.</t>
  </si>
  <si>
    <t xml:space="preserve">PV-SWEEPER-8158</t>
  </si>
  <si>
    <t xml:space="preserve">Street sweeper (FEMA 8158)</t>
  </si>
  <si>
    <t xml:space="preserve">8158</t>
  </si>
  <si>
    <t xml:space="preserve">FEMA 8158</t>
  </si>
  <si>
    <t xml:space="preserve">FEMA 8158: FEMA sweeper rates not reliably extracted.</t>
  </si>
  <si>
    <t xml:space="preserve">PV-BROOM-RUNWAY</t>
  </si>
  <si>
    <t xml:space="preserve">Runway broom (high-speed)</t>
  </si>
  <si>
    <t xml:space="preserve">Oshkosh H-Series (420 hp)</t>
  </si>
  <si>
    <t xml:space="preserve">Oshkosh H-Series</t>
  </si>
  <si>
    <t xml:space="preserve">8565</t>
  </si>
  <si>
    <t xml:space="preserve">Airfield specialty. Fuel gal/hr derived (C): Net_HP x USACE fuel factor x load factor (Settings B11-B15). Ex-fuel (C) = FEMA incl-fuel rate - Fuel_gal_hr_med x diesel back-out price (Settings B5).</t>
  </si>
  <si>
    <t xml:space="preserve">PV-STRIPE-8440</t>
  </si>
  <si>
    <t xml:space="preserve">Line striper</t>
  </si>
  <si>
    <t xml:space="preserve">Walk/ride striper</t>
  </si>
  <si>
    <t xml:space="preserve">Walk-behind striper, single gun</t>
  </si>
  <si>
    <t xml:space="preserve">Walk-behind striper</t>
  </si>
  <si>
    <t xml:space="preserve">Graco LineLazer</t>
  </si>
  <si>
    <t xml:space="preserve">8440</t>
  </si>
  <si>
    <t xml:space="preserve">PV-STRIPE-SMALL</t>
  </si>
  <si>
    <t xml:space="preserve">FEMA 8440: Rate not captured.</t>
  </si>
  <si>
    <t xml:space="preserve">PV-STRIPE-8441</t>
  </si>
  <si>
    <t xml:space="preserve">Ride-on striper</t>
  </si>
  <si>
    <t xml:space="preserve">8441</t>
  </si>
  <si>
    <t xml:space="preserve">FEMA 8441: Rate not captured.</t>
  </si>
  <si>
    <t xml:space="preserve">PV-STRIPE-8442</t>
  </si>
  <si>
    <t xml:space="preserve">Ride-on striper, 2x25 gal</t>
  </si>
  <si>
    <t xml:space="preserve">8442</t>
  </si>
  <si>
    <t xml:space="preserve">FEMA 8442: Rate not captured.</t>
  </si>
  <si>
    <t xml:space="preserve">PV-STRIPE-TRUCK</t>
  </si>
  <si>
    <t xml:space="preserve">Truck-mounted</t>
  </si>
  <si>
    <t xml:space="preserve">Truck-mounted RoadLazer</t>
  </si>
  <si>
    <t xml:space="preserve">truck</t>
  </si>
  <si>
    <t xml:space="preserve">Graco RoadLazer (FEMA 8445)</t>
  </si>
  <si>
    <t xml:space="preserve">8445</t>
  </si>
  <si>
    <t xml:space="preserve">FEMA 8445: Rate not captured.</t>
  </si>
  <si>
    <t xml:space="preserve">PV-STABILIZER-WR2400</t>
  </si>
  <si>
    <t xml:space="preserve">Soil stabilizer / reclaimer</t>
  </si>
  <si>
    <t xml:space="preserve">Stabilizer/recycler</t>
  </si>
  <si>
    <t xml:space="preserve">Wirtgen WR 2400 class</t>
  </si>
  <si>
    <t xml:space="preserve">WR 2400</t>
  </si>
  <si>
    <t xml:space="preserve">Wirtgen WR 2400</t>
  </si>
  <si>
    <t xml:space="preserve">8636</t>
  </si>
  <si>
    <t xml:space="preserve">PV-STABILIZE</t>
  </si>
  <si>
    <t xml:space="preserve">FEMA 8636 mislabel fixed: the WR 2400 is a Wirtgen recycler/stabilizer, not a scraper. FEMA 8636: FEMA lists 8636 as 'Scraper, Wirtgen WR2400' - MISLABEL corrected to stabilizer/recycler; rate not captured.</t>
  </si>
  <si>
    <t xml:space="preserve">Needs rate; FEMA label corrected (8636); Needs rate (rental); Needs rate (owned; FEMA code exists); Needs fuel gal/hr</t>
  </si>
  <si>
    <t xml:space="preserve">CN-MIXER-5CF</t>
  </si>
  <si>
    <t xml:space="preserve">Concrete</t>
  </si>
  <si>
    <t xml:space="preserve">Concrete/mortar mixer</t>
  </si>
  <si>
    <t xml:space="preserve">Wheelbarrow</t>
  </si>
  <si>
    <t xml:space="preserve">5 cu ft</t>
  </si>
  <si>
    <t xml:space="preserve">Drum</t>
  </si>
  <si>
    <t xml:space="preserve">cu ft</t>
  </si>
  <si>
    <t xml:space="preserve">8410</t>
  </si>
  <si>
    <t xml:space="preserve">CN-MIX-SMALL</t>
  </si>
  <si>
    <t xml:space="preserve">Gasoline unit: ex-fuel left blank because the notes give no 2025 gasoline basis and no gal/hr. Ex-fuel (C) = FEMA incl-fuel rate - Fuel_gal_hr_med x gasoline back-out price (Settings B10).</t>
  </si>
  <si>
    <t xml:space="preserve">CN-MIXER-12CF</t>
  </si>
  <si>
    <t xml:space="preserve">Trailer mortar mixer</t>
  </si>
  <si>
    <t xml:space="preserve">12 cu ft</t>
  </si>
  <si>
    <t xml:space="preserve">8411</t>
  </si>
  <si>
    <t xml:space="preserve">CN-MIXER-16CF</t>
  </si>
  <si>
    <t xml:space="preserve">16 cu ft</t>
  </si>
  <si>
    <t xml:space="preserve">8412</t>
  </si>
  <si>
    <t xml:space="preserve">CN-TRUCKMIX-11</t>
  </si>
  <si>
    <t xml:space="preserve">Concrete mixer truck</t>
  </si>
  <si>
    <t xml:space="preserve">Transit mixer</t>
  </si>
  <si>
    <t xml:space="preserve">11 CY</t>
  </si>
  <si>
    <t xml:space="preserve">Freightliner 114SD</t>
  </si>
  <si>
    <t xml:space="preserve">8414</t>
  </si>
  <si>
    <t xml:space="preserve">CN-TRUCKMIX-13</t>
  </si>
  <si>
    <t xml:space="preserve">13 CY</t>
  </si>
  <si>
    <t xml:space="preserve">8673</t>
  </si>
  <si>
    <t xml:space="preserve">FEMA: About 3x the 11 CY rate. Ex-fuel (C) = FEMA incl-fuel rate - Fuel_gal_hr_med x diesel back-out price (Settings B5).</t>
  </si>
  <si>
    <t xml:space="preserve">FEMA value flagged: ~3x 11 CY rate; verify; Needs fuel gal/hr; Needs rate (rental); FEMA ⚠ value kept as published; verify vs PDF</t>
  </si>
  <si>
    <t xml:space="preserve">CN-PUMP-BOOM-38M</t>
  </si>
  <si>
    <t xml:space="preserve">Concrete pump</t>
  </si>
  <si>
    <t xml:space="preserve">Truck-mounted boom</t>
  </si>
  <si>
    <t xml:space="preserve">Boom pump 38 m</t>
  </si>
  <si>
    <t xml:space="preserve">Vertical reach</t>
  </si>
  <si>
    <t xml:space="preserve">m</t>
  </si>
  <si>
    <t xml:space="preserve">Putzmeister M38-5 class</t>
  </si>
  <si>
    <t xml:space="preserve">Pump operator - included in operated rate</t>
  </si>
  <si>
    <t xml:space="preserve">CPO</t>
  </si>
  <si>
    <t xml:space="preserve">CN-PUMP-BOOM</t>
  </si>
  <si>
    <t xml:space="preserve">Operated: includes operator; also $/yd3, travel hours, 8-12% fuel surcharge, washout $250-450 (CCE). Minimum 3-4 hr block ($600-1,600 min charge). Rent (operated, incl. operator): Ohio $185/hr job time + $4.00/yd3 + travel $125/hr.</t>
  </si>
  <si>
    <t xml:space="preserve">CN-PUMP-BOOM-46M</t>
  </si>
  <si>
    <t xml:space="preserve">Boom pump 46 m</t>
  </si>
  <si>
    <t xml:space="preserve">46 m class (M42-5 nearest named)</t>
  </si>
  <si>
    <t xml:space="preserve">Operated: includes operator; also $/yd3, travel hours, 8-12% fuel surcharge, washout $250-450 (CCE). Minimum 3-4 hr block ($600-1,600 min charge). Rent (operated, incl. operator): Ohio $225/hr + $4.00/yd3 + travel $130/hr + permit $210.</t>
  </si>
  <si>
    <t xml:space="preserve">CN-PUMP-LINE</t>
  </si>
  <si>
    <t xml:space="preserve">Line/trailer</t>
  </si>
  <si>
    <t xml:space="preserve">Line pump (trailer)</t>
  </si>
  <si>
    <t xml:space="preserve">line</t>
  </si>
  <si>
    <t xml:space="preserve">Trailer/line pump</t>
  </si>
  <si>
    <t xml:space="preserve">Operated: includes operator; also $/yd3, travel hours, 8-12% fuel surcharge, washout $250-450 (CCE). Minimum 3-4 hr block ($600-1,600 min charge). Rent (operated, incl. operator): Ohio $140/hr port-to-port. National planning range $125-225/hr (CCE).</t>
  </si>
  <si>
    <t xml:space="preserve">CN-PUMP-BOOM-63M</t>
  </si>
  <si>
    <t xml:space="preserve">Boom pump 47-63 m+</t>
  </si>
  <si>
    <t xml:space="preserve">Putzmeister 63 m class</t>
  </si>
  <si>
    <t xml:space="preserve">No public 2025-2026 rate for 47/52/58/63 m. National boom range $200-350+/hr (CCE) is too wide to assign a class value.</t>
  </si>
  <si>
    <t xml:space="preserve">Needs rate; Needs rate (rental); Needs rate (owned); Needs fuel gal/hr</t>
  </si>
  <si>
    <t xml:space="preserve">CN-TELEBELT</t>
  </si>
  <si>
    <t xml:space="preserve">Concrete conveyor</t>
  </si>
  <si>
    <t xml:space="preserve">Truck-mounted telescopic belt</t>
  </si>
  <si>
    <t xml:space="preserve">110 ft Telebelt</t>
  </si>
  <si>
    <t xml:space="preserve">Reach</t>
  </si>
  <si>
    <t xml:space="preserve">Putzmeister Telebelt</t>
  </si>
  <si>
    <t xml:space="preserve">Operator - included in operated rate</t>
  </si>
  <si>
    <t xml:space="preserve">CN-PLACE-BELT</t>
  </si>
  <si>
    <t xml:space="preserve">Rent (operated, incl. operator): Ohio $185/hr + $3.50/yd3 or $2.00/ton + travel $110/hr.</t>
  </si>
  <si>
    <t xml:space="preserve">CN-VIB-FLEX</t>
  </si>
  <si>
    <t xml:space="preserve">Concrete vibrator</t>
  </si>
  <si>
    <t xml:space="preserve">Flex-shaft</t>
  </si>
  <si>
    <t xml:space="preserve">2.5 in head, 16 ft shaft</t>
  </si>
  <si>
    <t xml:space="preserve">Head</t>
  </si>
  <si>
    <t xml:space="preserve">FEMA 8421</t>
  </si>
  <si>
    <t xml:space="preserve">Cement Mason / Laborer (per WD)</t>
  </si>
  <si>
    <t xml:space="preserve">8421</t>
  </si>
  <si>
    <t xml:space="preserve">CN-PLACE-SLAB</t>
  </si>
  <si>
    <t xml:space="preserve">Rent: Wheeler ~$60/day; week/4-week derived. Rent_week = day x Settings week/day multiplier (3.0); Rent_4wk = week x 4wk/week multiplier (2.9) - method C. FEMA 8421: Rate not captured.</t>
  </si>
  <si>
    <t xml:space="preserve">CN-VIB-MIH</t>
  </si>
  <si>
    <t xml:space="preserve">Motor-in-head</t>
  </si>
  <si>
    <t xml:space="preserve">Motor-in-head vibrator</t>
  </si>
  <si>
    <t xml:space="preserve">motor-in-head</t>
  </si>
  <si>
    <t xml:space="preserve">FEMA 8761</t>
  </si>
  <si>
    <t xml:space="preserve">electric</t>
  </si>
  <si>
    <t xml:space="preserve">8761</t>
  </si>
  <si>
    <t xml:space="preserve">Electric/battery - no liquid fuel (charging/power not modeled)</t>
  </si>
  <si>
    <t xml:space="preserve">FEMA 8761: Code listed in taxonomy; rate not captured.</t>
  </si>
  <si>
    <t xml:space="preserve">CN-TROWEL-WB</t>
  </si>
  <si>
    <t xml:space="preserve">Power trowel</t>
  </si>
  <si>
    <t xml:space="preserve">Walk-behind</t>
  </si>
  <si>
    <t xml:space="preserve">36-46 in walk-behind</t>
  </si>
  <si>
    <t xml:space="preserve">Ring diameter</t>
  </si>
  <si>
    <t xml:space="preserve">FEMA 8290 (48 in walk-behind)</t>
  </si>
  <si>
    <t xml:space="preserve">W25;N25</t>
  </si>
  <si>
    <t xml:space="preserve">8290</t>
  </si>
  <si>
    <t xml:space="preserve">CN-FINISH-WB</t>
  </si>
  <si>
    <t xml:space="preserve">Rent: Median (=mean) of 2 sources: W 46 in 142/413/1197; N 36/46 avg 60/210/525. Wide spread. FEMA 8290: Rate not captured.</t>
  </si>
  <si>
    <t xml:space="preserve">CN-TROWEL-RIDE-72</t>
  </si>
  <si>
    <t xml:space="preserve">Ride-on</t>
  </si>
  <si>
    <t xml:space="preserve">Ride-on 72 in</t>
  </si>
  <si>
    <t xml:space="preserve">Overall diameter</t>
  </si>
  <si>
    <t xml:space="preserve">N25</t>
  </si>
  <si>
    <t xml:space="preserve">Jan 2025</t>
  </si>
  <si>
    <t xml:space="preserve">CN-FINISH-RIDE</t>
  </si>
  <si>
    <t xml:space="preserve">Rent: Nu-Way only.</t>
  </si>
  <si>
    <t xml:space="preserve">CN-TROWEL-RIDE-91</t>
  </si>
  <si>
    <t xml:space="preserve">Ride-on 91 in</t>
  </si>
  <si>
    <t xml:space="preserve">CN-TROWEL-RIDE-98</t>
  </si>
  <si>
    <t xml:space="preserve">Ride-on 97.5 in</t>
  </si>
  <si>
    <t xml:space="preserve">CN-SCREED-ROLLER</t>
  </si>
  <si>
    <t xml:space="preserve">Screed</t>
  </si>
  <si>
    <t xml:space="preserve">Roller screed</t>
  </si>
  <si>
    <t xml:space="preserve">roller</t>
  </si>
  <si>
    <t xml:space="preserve">CN-SCREED-HAND</t>
  </si>
  <si>
    <t xml:space="preserve">Hand-held power screed</t>
  </si>
  <si>
    <t xml:space="preserve">hand-held</t>
  </si>
  <si>
    <t xml:space="preserve">CN-SCREED-VIB-10</t>
  </si>
  <si>
    <t xml:space="preserve">Vibratory</t>
  </si>
  <si>
    <t xml:space="preserve">10 ft vibratory screed</t>
  </si>
  <si>
    <t xml:space="preserve">Length</t>
  </si>
  <si>
    <t xml:space="preserve">CN-SCREED-TRUSS-20</t>
  </si>
  <si>
    <t xml:space="preserve">Gas truss screed w/ winches</t>
  </si>
  <si>
    <t xml:space="preserve">20 ft base truss screed</t>
  </si>
  <si>
    <t xml:space="preserve">wk/4wk</t>
  </si>
  <si>
    <t xml:space="preserve">Rent: Nu-Way only: $520/wk, $1,260/mo, 1-week minimum; +$5.75/day per extra foot. No day rate.</t>
  </si>
  <si>
    <t xml:space="preserve">CN-LASER-SCREED</t>
  </si>
  <si>
    <t xml:space="preserve">Laser screed</t>
  </si>
  <si>
    <t xml:space="preserve">Ride-on/boom</t>
  </si>
  <si>
    <t xml:space="preserve">boom</t>
  </si>
  <si>
    <t xml:space="preserve">Somero</t>
  </si>
  <si>
    <t xml:space="preserve">CN-PLACE-LASER</t>
  </si>
  <si>
    <t xml:space="preserve">No rate or SF/day source (marketing only).</t>
  </si>
  <si>
    <t xml:space="preserve">CN-SAW-WB-14</t>
  </si>
  <si>
    <t xml:space="preserve">Concrete saw</t>
  </si>
  <si>
    <t xml:space="preserve">Walk-behind (gas)</t>
  </si>
  <si>
    <t xml:space="preserve">14-20 in blade</t>
  </si>
  <si>
    <t xml:space="preserve">Blade</t>
  </si>
  <si>
    <t xml:space="preserve">13-20 hp walk-behind; FEMA 8510 (14 in)</t>
  </si>
  <si>
    <t xml:space="preserve">8510</t>
  </si>
  <si>
    <t xml:space="preserve">CN-SAWCUT</t>
  </si>
  <si>
    <t xml:space="preserve">Rounded half-up (Excel rule) in revision; may differ by 1 from the notes table, which used banker's rounding. Rent: Median (=mean) of 2 sources: W 14 in 146/424/1229; N 13/20 hp avg 72/262/660. FEMA 8510: Rate not captured.</t>
  </si>
  <si>
    <t xml:space="preserve">CN-SAW-26</t>
  </si>
  <si>
    <t xml:space="preserve">Walk-behind diesel</t>
  </si>
  <si>
    <t xml:space="preserve">26 in blade (35/48 hp)</t>
  </si>
  <si>
    <t xml:space="preserve">FEMA 8511 (14-42 in diesel)</t>
  </si>
  <si>
    <t xml:space="preserve">8511</t>
  </si>
  <si>
    <t xml:space="preserve">Rent: Nu-Way only. FEMA 8511: Rate not captured. Fuel gal/hr derived (C): Net_HP x USACE fuel factor x load factor (Settings B11-B15).</t>
  </si>
  <si>
    <t xml:space="preserve">Needs rate (owned; FEMA code exists)</t>
  </si>
  <si>
    <t xml:space="preserve">CN-SAW-36</t>
  </si>
  <si>
    <t xml:space="preserve">36 in blade (66/70 hp)</t>
  </si>
  <si>
    <t xml:space="preserve">Rent: Nu-Way only. Fuel gal/hr derived (C): Net_HP x USACE fuel factor x load factor (Settings B11-B15).</t>
  </si>
  <si>
    <t xml:space="preserve">CN-SAW-DEEP-60</t>
  </si>
  <si>
    <t xml:space="preserve">Deep-cut</t>
  </si>
  <si>
    <t xml:space="preserve">60 in blade</t>
  </si>
  <si>
    <t xml:space="preserve">FEMA 8512</t>
  </si>
  <si>
    <t xml:space="preserve">8512</t>
  </si>
  <si>
    <t xml:space="preserve">FEMA 8512: Rate not captured.</t>
  </si>
  <si>
    <t xml:space="preserve">CN-SAW-EARLY</t>
  </si>
  <si>
    <t xml:space="preserve">Early-entry</t>
  </si>
  <si>
    <t xml:space="preserve">Early-entry 13.5 in</t>
  </si>
  <si>
    <t xml:space="preserve">N25;W25</t>
  </si>
  <si>
    <t xml:space="preserve">Rent: Mean of 2 sources: N early-entry 225/800/1995; W green-concrete saw 108/313/908 (half-up; day corrected from 165 to 167).</t>
  </si>
  <si>
    <t xml:space="preserve">CN-BUGGY</t>
  </si>
  <si>
    <t xml:space="preserve">Power buggy</t>
  </si>
  <si>
    <t xml:space="preserve">Walk/ride buggy</t>
  </si>
  <si>
    <t xml:space="preserve">buggy</t>
  </si>
  <si>
    <t xml:space="preserve">CN-PLACE-BUGGY</t>
  </si>
  <si>
    <t xml:space="preserve">Rent: Day = midpoint of Wheeler $114-184/day; week/4-week derived. Rent_week = day x Settings week/day multiplier (3.0); Rent_4wk = week x 4wk/week multiplier (2.9) - method C.</t>
  </si>
  <si>
    <t xml:space="preserve">CN-BUGGY-TRACK-16</t>
  </si>
  <si>
    <t xml:space="preserve">Tracked</t>
  </si>
  <si>
    <t xml:space="preserve">Tracked mud buggy 16 cf</t>
  </si>
  <si>
    <t xml:space="preserve">Rent: RTL only.</t>
  </si>
  <si>
    <t xml:space="preserve">CN-SLIPFORM-PAVER</t>
  </si>
  <si>
    <t xml:space="preserve">Slipform paver</t>
  </si>
  <si>
    <t xml:space="preserve">Concrete pavement</t>
  </si>
  <si>
    <t xml:space="preserve">Slipform paver (by width)</t>
  </si>
  <si>
    <t xml:space="preserve">CN-SLIPFORM-PAVE</t>
  </si>
  <si>
    <t xml:space="preserve">Caltrans CONSF width bands garbled in extraction.</t>
  </si>
  <si>
    <t xml:space="preserve">CN-CURB-MACHINE</t>
  </si>
  <si>
    <t xml:space="preserve">Curb machine</t>
  </si>
  <si>
    <t xml:space="preserve">Curb/gutter slipform</t>
  </si>
  <si>
    <t xml:space="preserve">Curb &amp; gutter slipform</t>
  </si>
  <si>
    <t xml:space="preserve">Max width</t>
  </si>
  <si>
    <t xml:space="preserve">CN-CURB</t>
  </si>
  <si>
    <t xml:space="preserve">Caltrans CRBEX (width bands not extracted).</t>
  </si>
  <si>
    <t xml:space="preserve">CN-LASER-LEVEL</t>
  </si>
  <si>
    <t xml:space="preserve">Laser level</t>
  </si>
  <si>
    <t xml:space="preserve">Rotary laser</t>
  </si>
  <si>
    <t xml:space="preserve">Rotary laser level</t>
  </si>
  <si>
    <t xml:space="preserve">laser</t>
  </si>
  <si>
    <t xml:space="preserve">Trade using it (self-operated; no dedicated operator)</t>
  </si>
  <si>
    <t xml:space="preserve">Rent: Wheeler $79/day; week/4-week derived. Rent_week = day x Settings week/day multiplier (3.0); Rent_4wk = week x 4wk/week multiplier (2.9) - method C.</t>
  </si>
  <si>
    <t xml:space="preserve">AW-SC-EL-10</t>
  </si>
  <si>
    <t xml:space="preserve">Aerial work platforms</t>
  </si>
  <si>
    <t xml:space="preserve">Scissor lift, electric slab</t>
  </si>
  <si>
    <t xml:space="preserve">Electric slab (Group A, Type 3)</t>
  </si>
  <si>
    <t xml:space="preserve">10 ft platform</t>
  </si>
  <si>
    <t xml:space="preserve">Platform height</t>
  </si>
  <si>
    <t xml:space="preserve">Lightweight 10 ft (COSTARS class)</t>
  </si>
  <si>
    <t xml:space="preserve">COSTARS</t>
  </si>
  <si>
    <t xml:space="preserve">3/2023-3/2024</t>
  </si>
  <si>
    <t xml:space="preserve">Owned: USACE standby = 0.5 x DEPR + FCCM, max 40 hr/wk [USACE-EP]; with only an all-in rate use Caltrans delay factor x rate, max 8 hr/day &amp; 40 hr/wk [CALT-2627]: HYLFT factor 0.21. Rental: accrues by calendar period (no idle discount). FEMA: not eligible unless intermittent use [FEMA-PG].</t>
  </si>
  <si>
    <t xml:space="preserve">LF-AWP-DUR</t>
  </si>
  <si>
    <t xml:space="preserve">Working height = platform + ~6 ft. FEMA has no scissor codes; no owned proxy applied. Rent: Single source (COSTARS 200/442/514). COSTARS = Sunbelt PA not-to-exceed contract caps (day rates are ceilings).</t>
  </si>
  <si>
    <t xml:space="preserve">Non-monotonic vs AW-SC-EL-13 - source data; Needs rate (owned)</t>
  </si>
  <si>
    <t xml:space="preserve">AW-LLA-5</t>
  </si>
  <si>
    <t xml:space="preserve">Low-level access lift</t>
  </si>
  <si>
    <t xml:space="preserve">Low-level access (Group A)</t>
  </si>
  <si>
    <t xml:space="preserve">Low-level access 1-5 ft</t>
  </si>
  <si>
    <t xml:space="preserve">Platform height (max of bin)</t>
  </si>
  <si>
    <t xml:space="preserve">Sunbelt LLA bins</t>
  </si>
  <si>
    <t xml:space="preserve">Class from Sunbelt electric scissor size bins [SUNBELT-LLA]; no rates in notes.</t>
  </si>
  <si>
    <t xml:space="preserve">AW-LLA-10</t>
  </si>
  <si>
    <t xml:space="preserve">Low-level access 6-10 ft</t>
  </si>
  <si>
    <t xml:space="preserve">AW-LLA-15</t>
  </si>
  <si>
    <t xml:space="preserve">Low-level access 11-15 ft</t>
  </si>
  <si>
    <t xml:space="preserve">AW-SC-EL-13</t>
  </si>
  <si>
    <t xml:space="preserve">13 ft platform (30.5 in wide)</t>
  </si>
  <si>
    <t xml:space="preserve">Genie GS-1330m (18'10" working); COSTARS 14-15' lightweight</t>
  </si>
  <si>
    <t xml:space="preserve">500 lb platform</t>
  </si>
  <si>
    <t xml:space="preserve">Working height = platform + ~6 ft. FEMA has no scissor codes; no owned proxy applied. Mapped to COSTARS 14-15 ft lightweight class. Rent: Single source (COSTARS 201/342/494). COSTARS = Sunbelt PA not-to-exceed contract caps (day rates are ceilings).</t>
  </si>
  <si>
    <t xml:space="preserve">AW-SC-EL-15</t>
  </si>
  <si>
    <t xml:space="preserve">15 ft platform (30 in wide)</t>
  </si>
  <si>
    <t xml:space="preserve">Genie GS-1530 (21 ft working)</t>
  </si>
  <si>
    <t xml:space="preserve">600 lb platform</t>
  </si>
  <si>
    <t xml:space="preserve">Working height = platform + ~6 ft. FEMA has no scissor codes; no owned proxy applied. Same COSTARS 14-15 ft class as AW-SC-EL-13. Rent: Single source (COSTARS 201/342/494). COSTARS = Sunbelt PA not-to-exceed contract caps (day rates are ceilings).</t>
  </si>
  <si>
    <t xml:space="preserve">Non-monotonic vs AW-SC-EL-19 - source data; Needs rate (owned)</t>
  </si>
  <si>
    <t xml:space="preserve">AW-SC-EL-19</t>
  </si>
  <si>
    <t xml:space="preserve">19 ft platform (30 in wide)</t>
  </si>
  <si>
    <t xml:space="preserve">Genie GS-1930 / GS-1932 (25 ft working)</t>
  </si>
  <si>
    <t xml:space="preserve">COSTARS;BIGR-SC;DOZR-SC;SCAFEX</t>
  </si>
  <si>
    <t xml:space="preserve">mixed: 3/2023-3/2024, Dec 2022, Mar 2026, Sep 2026</t>
  </si>
  <si>
    <t xml:space="preserve">Working height = platform + ~6 ft. FEMA has no scissor codes; no owned proxy applied. Notes cross-check suggested ~$600-650/4wk (mean $629). Rent: Median of 4 source points (COSTARS 174/341/500; BIGR 142/306/592; DOZRS 125/287.5/575; SCAF 125/375/850). DOZR/ScaffoldExchange values are range midpoints. COSTARS = Sunbelt PA not-to-exceed contract caps (day rates are ceilings). BigRentz = 23-city mean, Dec 2022 data, 'monthly' column.</t>
  </si>
  <si>
    <t xml:space="preserve">AW-SC-EL-20</t>
  </si>
  <si>
    <t xml:space="preserve">20 ft platform (32 in wide)</t>
  </si>
  <si>
    <t xml:space="preserve">Genie GS-2032 (800 lb) / GS-2046 (46 in, 1,200 lb)</t>
  </si>
  <si>
    <t xml:space="preserve">800 lb platform</t>
  </si>
  <si>
    <t xml:space="preserve">Working height = platform + ~6 ft. FEMA has no scissor codes; no owned proxy applied. Rent: Single source (COSTARS 194/381/630). COSTARS = Sunbelt PA not-to-exceed contract caps (day rates are ceilings).</t>
  </si>
  <si>
    <t xml:space="preserve">AW-SC-EL-26N</t>
  </si>
  <si>
    <t xml:space="preserve">26 ft platform (32 in wide)</t>
  </si>
  <si>
    <t xml:space="preserve">Genie GS-2632 (32 ft working)</t>
  </si>
  <si>
    <t xml:space="preserve">Working height = platform + ~6 ft. FEMA has no scissor codes; no owned proxy applied. Narrow (fits standard doors). Rent: Median of 4 source points (COSTARS 238/459/795; BIGR 179/390/806; DOZRS 200/475/950; SCAF 175/475/1100). DOZR/ScaffoldExchange values are range midpoints. COSTARS = Sunbelt PA not-to-exceed contract caps (day rates are ceilings). BigRentz = 23-city mean, Dec 2022 data, 'monthly' column.</t>
  </si>
  <si>
    <t xml:space="preserve">AW-SC-EL-26W</t>
  </si>
  <si>
    <t xml:space="preserve">26 ft platform (46 in wide)</t>
  </si>
  <si>
    <t xml:space="preserve">Genie GS-2646</t>
  </si>
  <si>
    <t xml:space="preserve">1000 lb platform</t>
  </si>
  <si>
    <t xml:space="preserve">Working height = platform + ~6 ft. FEMA has no scissor codes; no owned proxy applied. Wide 46 in deck. Rent: Single source (COSTARS 252/463/836). COSTARS = Sunbelt PA not-to-exceed contract caps (day rates are ceilings).</t>
  </si>
  <si>
    <t xml:space="preserve">AW-SC-EL-32N</t>
  </si>
  <si>
    <t xml:space="preserve">32 ft platform (32 in wide)</t>
  </si>
  <si>
    <t xml:space="preserve">Genie GS-3232 (37'8" working)</t>
  </si>
  <si>
    <t xml:space="preserve">COSTARS;DOZR-SC;SCAFEX</t>
  </si>
  <si>
    <t xml:space="preserve">mixed: 3/2023-3/2024, Mar 2026, Sep 2026</t>
  </si>
  <si>
    <t xml:space="preserve">Working height = platform + ~6 ft. FEMA has no scissor codes; no owned proxy applied. BigRentz 32 ft given only as city ranges (not used). Rent: Median of 3 source points (COSTARS 315/621/1215; DOZRS 250/587.5/1175; SCAF 250/675/1500). DOZR/ScaffoldExchange values are range midpoints. COSTARS = Sunbelt PA not-to-exceed contract caps (day rates are ceilings).</t>
  </si>
  <si>
    <t xml:space="preserve">AW-SC-EL-32W</t>
  </si>
  <si>
    <t xml:space="preserve">32 ft platform (46 in wide)</t>
  </si>
  <si>
    <t xml:space="preserve">Genie GS-3246</t>
  </si>
  <si>
    <t xml:space="preserve">700 lb platform</t>
  </si>
  <si>
    <t xml:space="preserve">Working height = platform + ~6 ft. FEMA has no scissor codes; no owned proxy applied. COSTARS 30-33 ft (non-narrow) class. Rent: Single source (COSTARS 294/566/1175). COSTARS = Sunbelt PA not-to-exceed contract caps (day rates are ceilings).</t>
  </si>
  <si>
    <t xml:space="preserve">AW-SC-EL-40</t>
  </si>
  <si>
    <t xml:space="preserve">40 ft platform (46 in wide)</t>
  </si>
  <si>
    <t xml:space="preserve">Genie GS-4046 (45'2" working)</t>
  </si>
  <si>
    <t xml:space="preserve">770 lb platform</t>
  </si>
  <si>
    <t xml:space="preserve">Working height = platform + ~6 ft. FEMA has no scissor codes; no owned proxy applied. COSTARS calls this class 40-44 ft narrow; BigRentz MSP/SLC outliers $2,733/mo excluded by using the mean as published. Rent: Median of 4 source points (COSTARS 334/753/1477; BIGR 347/774/1715; DOZRS 325/737.5/1450; SCAF 300/850/1850). DOZR/ScaffoldExchange values are range midpoints. COSTARS = Sunbelt PA not-to-exceed contract caps (day rates are ceilings). BigRentz = 23-city mean, Dec 2022 data, 'monthly' column.</t>
  </si>
  <si>
    <t xml:space="preserve">AW-SC-EL-46</t>
  </si>
  <si>
    <t xml:space="preserve">46 ft platform (55 in wide)</t>
  </si>
  <si>
    <t xml:space="preserve">Genie GS-4655 (52 ft working)</t>
  </si>
  <si>
    <t xml:space="preserve">Working height = platform + ~6 ft. FEMA has no scissor codes; no owned proxy applied. COSTARS 45-49 ft class. Rent: Single source (COSTARS 371/857/1942). COSTARS = Sunbelt PA not-to-exceed contract caps (day rates are ceilings).</t>
  </si>
  <si>
    <t xml:space="preserve">AW-SC-RT-26</t>
  </si>
  <si>
    <t xml:space="preserve">Scissor lift, rough terrain</t>
  </si>
  <si>
    <t xml:space="preserve">Rough terrain (Group A, Type 3)</t>
  </si>
  <si>
    <t xml:space="preserve">26 ft platform (69 in wide)</t>
  </si>
  <si>
    <t xml:space="preserve">Genie GS-2669 DC/RT</t>
  </si>
  <si>
    <t xml:space="preserve">1500 lb platform</t>
  </si>
  <si>
    <t xml:space="preserve">dual</t>
  </si>
  <si>
    <t xml:space="preserve">COSTARS;SCAFEX</t>
  </si>
  <si>
    <t xml:space="preserve">mixed: 3/2023-3/2024, Sep 2026</t>
  </si>
  <si>
    <t xml:space="preserve">DC = electric drive RT, RT = engine. FEMA has no scissor codes. ScaffoldExchange 26-33 ft RT range applied to 26 and 33 ft rows. Large spread between sources. Rent: Median of 2 source points (COSTARS 295/615/1177; SCAF 325/1000/2500). Graded B: ScaffoldExchange cites Sunbelt/URI/BigRentz, so it is not independent of COSTARS/BigRentz. DOZR/ScaffoldExchange values are range midpoints. COSTARS = Sunbelt PA not-to-exceed contract caps (day rates are ceilings).</t>
  </si>
  <si>
    <t xml:space="preserve">AW-SC-RT-33</t>
  </si>
  <si>
    <t xml:space="preserve">33 ft platform (69 in wide)</t>
  </si>
  <si>
    <t xml:space="preserve">Genie GS-3369 DC/RT</t>
  </si>
  <si>
    <t xml:space="preserve">DC = electric drive RT, RT = engine. FEMA has no scissor codes. COSTARS 30-35 ft RT. Rent: Median of 2 source points (COSTARS 324/702/1362; SCAF 325/1000/2500). Graded B: ScaffoldExchange cites Sunbelt/URI/BigRentz, so it is not independent of COSTARS/BigRentz. DOZR/ScaffoldExchange values are range midpoints. COSTARS = Sunbelt PA not-to-exceed contract caps (day rates are ceilings).</t>
  </si>
  <si>
    <t xml:space="preserve">AW-SC-RT-33BD</t>
  </si>
  <si>
    <t xml:space="preserve">33 ft platform (92 in wide)</t>
  </si>
  <si>
    <t xml:space="preserve">Genie GS-3384 / GS-3390 big deck (2,500 lb)</t>
  </si>
  <si>
    <t xml:space="preserve">2500 lb platform</t>
  </si>
  <si>
    <t xml:space="preserve">DC = electric drive RT, RT = engine. FEMA has no scissor codes. No separate rate for big-deck 2,500 lb units.</t>
  </si>
  <si>
    <t xml:space="preserve">AW-SC-RT-40</t>
  </si>
  <si>
    <t xml:space="preserve">40 ft platform (69 in wide)</t>
  </si>
  <si>
    <t xml:space="preserve">Genie GS-4069 DC/RT</t>
  </si>
  <si>
    <t xml:space="preserve">COSTARS;DOZR-SC</t>
  </si>
  <si>
    <t xml:space="preserve">mixed: 3/2023-3/2024, Mar 2026</t>
  </si>
  <si>
    <t xml:space="preserve">DC = electric drive RT, RT = engine. FEMA has no scissor codes. DOZR 40-60 ft RT range midpoint. Rent: Median of 2 source points (COSTARS 373/872/1850; DOZRS 550/1250/2500). DOZR/ScaffoldExchange values are range midpoints. COSTARS = Sunbelt PA not-to-exceed contract caps (day rates are ceilings).</t>
  </si>
  <si>
    <t xml:space="preserve">Needs fuel gal/hr; Non-monotonic vs AW-SC-RT-40OR - source data; Needs rate (owned)</t>
  </si>
  <si>
    <t xml:space="preserve">AW-SC-RT-40OR</t>
  </si>
  <si>
    <t xml:space="preserve">40 ft platform (92 in wide)</t>
  </si>
  <si>
    <t xml:space="preserve">40 ft RT with outriggers</t>
  </si>
  <si>
    <t xml:space="preserve">DC = electric drive RT, RT = engine. FEMA has no scissor codes. Rent: Single source (COSTARS 416/886/1950). COSTARS = Sunbelt PA not-to-exceed contract caps (day rates are ceilings).</t>
  </si>
  <si>
    <t xml:space="preserve">AW-SC-RT-43</t>
  </si>
  <si>
    <t xml:space="preserve">43 ft platform (92 in wide)</t>
  </si>
  <si>
    <t xml:space="preserve">Genie GS-4390</t>
  </si>
  <si>
    <t xml:space="preserve">SCAFEX;DOZR-SC</t>
  </si>
  <si>
    <t xml:space="preserve">mixed: Mar 2026, Sep 2026</t>
  </si>
  <si>
    <t xml:space="preserve">DC = electric drive RT, RT = engine. FEMA has no scissor codes. Rent: Median of 2 source points (SCAF 500/1500/3750; DOZRS 550/1250/2500). DOZR/ScaffoldExchange values are range midpoints.</t>
  </si>
  <si>
    <t xml:space="preserve">Needs fuel gal/hr; Non-monotonic vs AW-SC-RT-50 - source data; Needs rate (owned)</t>
  </si>
  <si>
    <t xml:space="preserve">AW-SC-RT-50</t>
  </si>
  <si>
    <t xml:space="preserve">50 ft platform (92 in wide)</t>
  </si>
  <si>
    <t xml:space="preserve">Genie GS-5390 (53 ft); 50 ft RT w/ outriggers</t>
  </si>
  <si>
    <t xml:space="preserve">COSTARS;SCAFEX;DOZR-SC</t>
  </si>
  <si>
    <t xml:space="preserve">DC = electric drive RT, RT = engine. FEMA has no scissor codes. Covers 50-53 ft RT. Rent: Median of 3 source points (COSTARS 523/1073/2255; SCAF 500/1500/3750; DOZRS 550/1250/2500). DOZR/ScaffoldExchange values are range midpoints. COSTARS = Sunbelt PA not-to-exceed contract caps (day rates are ceilings).</t>
  </si>
  <si>
    <t xml:space="preserve">AW-AB-EL-20</t>
  </si>
  <si>
    <t xml:space="preserve">Boom lift, articulating</t>
  </si>
  <si>
    <t xml:space="preserve">Articulating (Group B, Type 3)</t>
  </si>
  <si>
    <t xml:space="preserve">20 ft electric articulating</t>
  </si>
  <si>
    <t xml:space="preserve">Class listed only on the 2018 Kansas rate list ($146.11/$393.99/$1,087.27), excluded as outdated per notes. [KS18]</t>
  </si>
  <si>
    <t xml:space="preserve">AW-AB-EL-30</t>
  </si>
  <si>
    <t xml:space="preserve">30 ft electric narrow (jib/rotajib)</t>
  </si>
  <si>
    <t xml:space="preserve">jib/rotajib</t>
  </si>
  <si>
    <t xml:space="preserve">500 lb std; 1,000 lb restricted on HC3/XC models</t>
  </si>
  <si>
    <t xml:space="preserve">COSTARS;DOZR-BM;SCAFEX</t>
  </si>
  <si>
    <t xml:space="preserve">Working height = platform + ~6 ft. COSTARS jib + rotajib averaged within source (384/983/2191; 413/927/1961). Rent: Median of 3 source points (COSTARS 398.5/955/2076; DOZRB 300/825/1850; SCAF 300/850/2200). DOZR/ScaffoldExchange values are range midpoints. COSTARS = Sunbelt PA not-to-exceed contract caps (day rates are ceilings).</t>
  </si>
  <si>
    <t xml:space="preserve">AW-AB-EL-34</t>
  </si>
  <si>
    <t xml:space="preserve">34-35 ft electric</t>
  </si>
  <si>
    <t xml:space="preserve">Working height = platform + ~6 ft. Rent: Median of 3 source points (COSTARS 472/841/2777; DOZRB 300/825/1850; SCAF 300/850/2200). DOZR/ScaffoldExchange values are range midpoints. COSTARS = Sunbelt PA not-to-exceed contract caps (day rates are ceilings).</t>
  </si>
  <si>
    <t xml:space="preserve">AW-AB-RT-34</t>
  </si>
  <si>
    <t xml:space="preserve">34 ft engine (JLG 340AJ, 500 lb)</t>
  </si>
  <si>
    <t xml:space="preserve">JLG 340AJ, 500 lb</t>
  </si>
  <si>
    <t xml:space="preserve">COSTARS;DOZR-BM</t>
  </si>
  <si>
    <t xml:space="preserve">8490</t>
  </si>
  <si>
    <t xml:space="preserve">HP from FEMA extraction (unlabeled column, verify). Working height = platform + ~6 ft. Rent: Median of 2 source points (COSTARS 413/1036/2096; DOZRB 300/825/1850). DOZR/ScaffoldExchange values are range midpoints. COSTARS = Sunbelt PA not-to-exceed contract caps (day rates are ceilings). FEMA: JLG 340AJ 33 ft, 25 hp as extracted. Fuel gal/hr derived (C): Net_HP x USACE fuel factor x load factor (Settings B11-B15). Ex-fuel (C) = FEMA incl-fuel rate - Fuel_gal_hr_med x diesel back-out price (Settings B5).</t>
  </si>
  <si>
    <t xml:space="preserve">AW-AB-EL-40</t>
  </si>
  <si>
    <t xml:space="preserve">40 ft electric narrow (Genie Z-40/23N)</t>
  </si>
  <si>
    <t xml:space="preserve">Genie Z-40/23N</t>
  </si>
  <si>
    <t xml:space="preserve">COSTARS;BIGR-BM;DOZR-BM</t>
  </si>
  <si>
    <t xml:space="preserve">mixed: 3/2023-3/2024, Dec 2022, Mar 2026</t>
  </si>
  <si>
    <t xml:space="preserve">Working height = platform + ~6 ft. COSTARS narrow + narrow jib averaged within source. BigRentz boom tables do not split articulating vs telescopic. Rent: Median of 3 source points (COSTARS 425.5/1049/2172; BIGRB 402/943/2111; DOZRB 300/825/1850). DOZR/ScaffoldExchange values are range midpoints. COSTARS = Sunbelt PA not-to-exceed contract caps (day rates are ceilings). BigRentz = 23-city mean, Dec 2022 data, 'monthly' column.</t>
  </si>
  <si>
    <t xml:space="preserve">AW-AB-EL-45</t>
  </si>
  <si>
    <t xml:space="preserve">45 ft electric jib (Genie Z-45 DC)</t>
  </si>
  <si>
    <t xml:space="preserve">Genie Z-45 DC</t>
  </si>
  <si>
    <t xml:space="preserve">COSTARS;BIGR-BM;SCAFEX;DOZR-BM</t>
  </si>
  <si>
    <t xml:space="preserve">Working height = platform + ~6 ft. Rent: Median of 4 source points (COSTARS 433/1037/2159; BIGRB 404/1007/2198; SCAF 375/1000/2500; DOZRB 525/1350/2900). DOZR/ScaffoldExchange values are range midpoints. COSTARS = Sunbelt PA not-to-exceed contract caps (day rates are ceilings). BigRentz = 23-city mean, Dec 2022 data, 'monthly' column.</t>
  </si>
  <si>
    <t xml:space="preserve">AW-AB-RT-45</t>
  </si>
  <si>
    <t xml:space="preserve">45 ft engine w/ jib (Genie Z-45/25J RT; JLG 450AJ)</t>
  </si>
  <si>
    <t xml:space="preserve">Genie Z-45/25J RT; JLG 450AJ</t>
  </si>
  <si>
    <t xml:space="preserve">8491</t>
  </si>
  <si>
    <t xml:space="preserve">HP from FEMA extraction (unlabeled column, verify). Working height = platform + ~6 ft. Rent: Median of 4 source points (COSTARS 455/1048/2062; BIGRB 404/1007/2198; SCAF 375/1000/2500; DOZRB 525/1350/2900). DOZR/ScaffoldExchange values are range midpoints. COSTARS = Sunbelt PA not-to-exceed contract caps (day rates are ceilings). BigRentz = 23-city mean, Dec 2022 data, 'monthly' column. FEMA: JLG 450AJ HC3, 60 hp. Fuel gal/hr derived (C): Net_HP x USACE fuel factor x load factor (Settings B11-B15). Ex-fuel (C) = FEMA incl-fuel rate - Fuel_gal_hr_med x diesel back-out price (Settings B5).</t>
  </si>
  <si>
    <t xml:space="preserve">AW-AB-EL-60</t>
  </si>
  <si>
    <t xml:space="preserve">60 ft electric/hybrid jib (Genie Z-60 DC/FE)</t>
  </si>
  <si>
    <t xml:space="preserve">Genie Z-60 DC/FE</t>
  </si>
  <si>
    <t xml:space="preserve">Working height = platform + ~6 ft. Rent: Median of 2 source points (COSTARS 511/1395/2602; DOZRB 525/1350/2900). DOZR/ScaffoldExchange values are range midpoints. COSTARS = Sunbelt PA not-to-exceed contract caps (day rates are ceilings).</t>
  </si>
  <si>
    <t xml:space="preserve">AW-AB-RT-60</t>
  </si>
  <si>
    <t xml:space="preserve">60 ft engine w/ jib (Genie Z-62/40; JLG 600AJ)</t>
  </si>
  <si>
    <t xml:space="preserve">Genie Z-62/40; JLG 600AJ</t>
  </si>
  <si>
    <t xml:space="preserve">8492</t>
  </si>
  <si>
    <t xml:space="preserve">HP from FEMA extraction (unlabeled column, verify). Working height = platform + ~6 ft. Rent: Median of 2 source points (COSTARS 601/1390/2632; DOZRB 525/1350/2900). DOZR/ScaffoldExchange values are range midpoints. COSTARS = Sunbelt PA not-to-exceed contract caps (day rates are ceilings). FEMA: JLG 600AJ HC3, 84 hp. Fuel gal/hr derived (C): Net_HP x USACE fuel factor x load factor (Settings B11-B15). Ex-fuel (C) = FEMA incl-fuel rate - Fuel_gal_hr_med x diesel back-out price (Settings B5).</t>
  </si>
  <si>
    <t xml:space="preserve">AW-AB-RT-80</t>
  </si>
  <si>
    <t xml:space="preserve">80 ft w/ jib (Genie Z-80/60; JLG 800AJ)</t>
  </si>
  <si>
    <t xml:space="preserve">Genie Z-80/60; JLG 800AJ</t>
  </si>
  <si>
    <t xml:space="preserve">8493</t>
  </si>
  <si>
    <t xml:space="preserve">HP from FEMA extraction (unlabeled column, verify). Working height = platform + ~6 ft. Rent: Single source (COSTARS 961/2206/4262). COSTARS = Sunbelt PA not-to-exceed contract caps (day rates are ceilings). FEMA: JLG 800AJ HC3, 84 hp. Fuel gal/hr derived (C): Net_HP x USACE fuel factor x load factor (Settings B11-B15). Ex-fuel (C) = FEMA incl-fuel rate - Fuel_gal_hr_med x diesel back-out price (Settings B5).</t>
  </si>
  <si>
    <t xml:space="preserve">AW-AB-RT-86</t>
  </si>
  <si>
    <t xml:space="preserve">86 ft articulating</t>
  </si>
  <si>
    <t xml:space="preserve">Known gap class: no specs or rates in notes.</t>
  </si>
  <si>
    <t xml:space="preserve">AW-AB-RT-125</t>
  </si>
  <si>
    <t xml:space="preserve">125 ft (JLG 1250AJP)</t>
  </si>
  <si>
    <t xml:space="preserve">JLG 1250AJP</t>
  </si>
  <si>
    <t xml:space="preserve">8494</t>
  </si>
  <si>
    <t xml:space="preserve">HP from FEMA extraction (unlabeled column, verify). Working height = platform + ~6 ft. Rental: only a 2018 Kansas list (excluded as outdated). FEMA: 125 ft rate barely above 80 ft (65.19) and far below 150 ft (104.55). Fuel gal/hr derived (C): Net_HP x USACE fuel factor x load factor (Settings B11-B15). Ex-fuel (C) = FEMA incl-fuel rate - Fuel_gal_hr_med x diesel back-out price (Settings B5).</t>
  </si>
  <si>
    <t xml:space="preserve">FEMA value flagged; Needs rate (rental); FEMA ⚠ value kept as published; verify vs PDF</t>
  </si>
  <si>
    <t xml:space="preserve">AW-AB-RT-135</t>
  </si>
  <si>
    <t xml:space="preserve">135 ft (Genie ZX-135/70)</t>
  </si>
  <si>
    <t xml:space="preserve">Genie ZX-135/70</t>
  </si>
  <si>
    <t xml:space="preserve">Working height = platform + ~6 ft. DOZR 120-180 ft band not used (60 ft wide band; not a class source). Rent: Single source (COSTARS 2032/4780/11755). COSTARS = Sunbelt PA not-to-exceed contract caps (day rates are ceilings).</t>
  </si>
  <si>
    <t xml:space="preserve">AW-AB-RT-150</t>
  </si>
  <si>
    <t xml:space="preserve">150 ft w/ jib (JLG 1500AJP)</t>
  </si>
  <si>
    <t xml:space="preserve">JLG 1500AJP</t>
  </si>
  <si>
    <t xml:space="preserve">8495</t>
  </si>
  <si>
    <t xml:space="preserve">HP from FEMA extraction (unlabeled column, verify). Working height = platform + ~6 ft. COSTARS single source (notes). DOZR 120-180 ft band not used as a class source. Rent: Single source (COSTARS 4598/11489/28435). COSTARS = Sunbelt PA not-to-exceed contract caps (day rates are ceilings). FEMA: JLG 1500AJP, 100 hp. Fuel gal/hr derived (C): Net_HP x USACE fuel factor x load factor (Settings B11-B15). Ex-fuel (C) = FEMA incl-fuel rate - Fuel_gal_hr_med x diesel back-out price (Settings B5).</t>
  </si>
  <si>
    <t xml:space="preserve">AW-TB-40</t>
  </si>
  <si>
    <t xml:space="preserve">Boom lift, telescopic (straight)</t>
  </si>
  <si>
    <t xml:space="preserve">Telescopic (Group B, Type 3)</t>
  </si>
  <si>
    <t xml:space="preserve">40 ft w/ jib (JLG 400S/460SJ)</t>
  </si>
  <si>
    <t xml:space="preserve">JLG 400S/460SJ</t>
  </si>
  <si>
    <t xml:space="preserve">500-600 lb unrestricted; 1,000 lb restricted options</t>
  </si>
  <si>
    <t xml:space="preserve">No FEMA telescopic codes (no owned proxy applied). DOZR: articulating ~10-20% dearer than telescopic at same height. Rent: Median of 2 source points (COSTARS 424/985/2009; DOZRB 300/825/1850). DOZR/ScaffoldExchange values are range midpoints. COSTARS = Sunbelt PA not-to-exceed contract caps (day rates are ceilings).</t>
  </si>
  <si>
    <t xml:space="preserve">AW-TB-60</t>
  </si>
  <si>
    <t xml:space="preserve">60 ft w/ jib (JLG 600S: 59'8", 22,900 lb)</t>
  </si>
  <si>
    <t xml:space="preserve">JLG 600S: 59'8", 22,900 lb</t>
  </si>
  <si>
    <t xml:space="preserve">COSTARS;SCAFEX;DOZR-BM</t>
  </si>
  <si>
    <t xml:space="preserve">No FEMA telescopic codes (no owned proxy applied). DOZR: articulating ~10-20% dearer than telescopic at same height. JLG 600S 600 lb unrestricted / 1,000 lb restricted, 50'2" outreach. Rent: Median of 3 source points (COSTARS 558/1277/2447; SCAF 500/1350/3500; DOZRB 525/1350/2900). DOZR/ScaffoldExchange values are range midpoints. COSTARS = Sunbelt PA not-to-exceed contract caps (day rates are ceilings).</t>
  </si>
  <si>
    <t xml:space="preserve">Needs fuel gal/hr; Non-monotonic vs AW-TB-60E - source data; Needs rate (owned)</t>
  </si>
  <si>
    <t xml:space="preserve">AW-TB-60E</t>
  </si>
  <si>
    <t xml:space="preserve">60 ft electric</t>
  </si>
  <si>
    <t xml:space="preserve">No FEMA telescopic codes (no owned proxy applied). DOZR: articulating ~10-20% dearer than telescopic at same height. Rent: Single source (COSTARS 666/1568/2541). COSTARS = Sunbelt PA not-to-exceed contract caps (day rates are ceilings).</t>
  </si>
  <si>
    <t xml:space="preserve">AW-TB-66</t>
  </si>
  <si>
    <t xml:space="preserve">66 ft (JLG 660SJ: 65'8", 25,341 lb)</t>
  </si>
  <si>
    <t xml:space="preserve">JLG 660SJ: 65'8", 25,341 lb</t>
  </si>
  <si>
    <t xml:space="preserve">No FEMA telescopic codes (no owned proxy applied). DOZR: articulating ~10-20% dearer than telescopic at same height. No 66 ft specific rate (gap); 60-65 ft ScaffoldExchange band not reused.</t>
  </si>
  <si>
    <t xml:space="preserve">AW-TB-80</t>
  </si>
  <si>
    <t xml:space="preserve">80 ft w/ jib (JLG 800S class)</t>
  </si>
  <si>
    <t xml:space="preserve">JLG 800S class</t>
  </si>
  <si>
    <t xml:space="preserve">No FEMA telescopic codes (no owned proxy applied). DOZR: articulating ~10-20% dearer than telescopic at same height. Rent: Median of 2 source points (COSTARS 892/2108/4139; SCAF 750/2150/5500). Graded B: ScaffoldExchange cites Sunbelt/URI/BigRentz, so it is not independent of COSTARS/BigRentz. DOZR/ScaffoldExchange values are range midpoints. COSTARS = Sunbelt PA not-to-exceed contract caps (day rates are ceilings).</t>
  </si>
  <si>
    <t xml:space="preserve">AW-TB-85</t>
  </si>
  <si>
    <t xml:space="preserve">85-86 ft</t>
  </si>
  <si>
    <t xml:space="preserve">No FEMA telescopic codes (no owned proxy applied). DOZR: articulating ~10-20% dearer than telescopic at same height. No 85/86 ft specific rate (gap).</t>
  </si>
  <si>
    <t xml:space="preserve">AW-TB-120</t>
  </si>
  <si>
    <t xml:space="preserve">120 ft w/ jib (JLG 1200SJP)</t>
  </si>
  <si>
    <t xml:space="preserve">JLG 1200SJP</t>
  </si>
  <si>
    <t xml:space="preserve">No FEMA telescopic codes (no owned proxy applied). DOZR: articulating ~10-20% dearer than telescopic at same height. Rent: Median of 2 source points (COSTARS 1966/5596/10285; SCAF 1250/3750/10000). Graded B: ScaffoldExchange cites Sunbelt/URI/BigRentz, so it is not independent of COSTARS/BigRentz. DOZR/ScaffoldExchange values are range midpoints. COSTARS = Sunbelt PA not-to-exceed contract caps (day rates are ceilings).</t>
  </si>
  <si>
    <t xml:space="preserve">AW-TB-125</t>
  </si>
  <si>
    <t xml:space="preserve">125 ft telescopic</t>
  </si>
  <si>
    <t xml:space="preserve">No FEMA telescopic codes (no owned proxy applied). DOZR: articulating ~10-20% dearer than telescopic at same height. No separate 125 ft telescopic rate (gap).</t>
  </si>
  <si>
    <t xml:space="preserve">AW-TB-135</t>
  </si>
  <si>
    <t xml:space="preserve">135 ft (JLG 1350SJP)</t>
  </si>
  <si>
    <t xml:space="preserve">JLG 1350SJP</t>
  </si>
  <si>
    <t xml:space="preserve">SCAFEX</t>
  </si>
  <si>
    <t xml:space="preserve">Sep 2026</t>
  </si>
  <si>
    <t xml:space="preserve">No FEMA telescopic codes (no owned proxy applied). DOZR: articulating ~10-20% dearer than telescopic at same height. 2018 Kansas 135 ft straight excluded (outdated). DOZR 120-180 ft band not used. Rent: Single source (SCAF 1250/3750/10000). DOZR/ScaffoldExchange values are range midpoints.</t>
  </si>
  <si>
    <t xml:space="preserve">AW-TB-150</t>
  </si>
  <si>
    <t xml:space="preserve">150 ft (JLG 1500SJ)</t>
  </si>
  <si>
    <t xml:space="preserve">JLG 1500SJ</t>
  </si>
  <si>
    <t xml:space="preserve">No FEMA telescopic codes (no owned proxy applied). DOZR: articulating ~10-20% dearer than telescopic at same height. Rent: Single source (COSTARS 2721/8190/15057). COSTARS = Sunbelt PA not-to-exceed contract caps (day rates are ceilings).</t>
  </si>
  <si>
    <t xml:space="preserve">AW-TB-185</t>
  </si>
  <si>
    <t xml:space="preserve">180-185 ft ultra (JLG 1850SJ)</t>
  </si>
  <si>
    <t xml:space="preserve">JLG 1850SJ</t>
  </si>
  <si>
    <t xml:space="preserve">No FEMA telescopic codes (no owned proxy applied). DOZR: articulating ~10-20% dearer than telescopic at same height. Rent: Single source (COSTARS 4477/9499/20328). COSTARS = Sunbelt PA not-to-exceed contract caps (day rates are ceilings).</t>
  </si>
  <si>
    <t xml:space="preserve">AW-TOW-34</t>
  </si>
  <si>
    <t xml:space="preserve">Boom lift, towable (trailer)</t>
  </si>
  <si>
    <t xml:space="preserve">Towable (Group B, Type 1)</t>
  </si>
  <si>
    <t xml:space="preserve">34 ft towable (Genie TZ-34)</t>
  </si>
  <si>
    <t xml:space="preserve">DOZR towable range is 30-55 ft (applied to both). Rent: Median of 3 source points (COSTARS 328/975/2403; SCAF 250/750/1850; DOZRB 250/650/1600). DOZR/ScaffoldExchange values are range midpoints. COSTARS = Sunbelt PA not-to-exceed contract caps (day rates are ceilings).</t>
  </si>
  <si>
    <t xml:space="preserve">AW-TOW-50</t>
  </si>
  <si>
    <t xml:space="preserve">50 ft towable (Genie TZ-50)</t>
  </si>
  <si>
    <t xml:space="preserve">DOZR towable range is 30-55 ft (applied to both). Rent: Median of 3 source points (COSTARS 386/1148/2412; SCAF 350/950/2500; DOZRB 250/650/1600). DOZR/ScaffoldExchange values are range midpoints. COSTARS = Sunbelt PA not-to-exceed contract caps (day rates are ceilings).</t>
  </si>
  <si>
    <t xml:space="preserve">AW-SPIDER-34</t>
  </si>
  <si>
    <t xml:space="preserve">Spider / atrium (tracked) lift</t>
  </si>
  <si>
    <t xml:space="preserve">Atrium/spider (Group B)</t>
  </si>
  <si>
    <t xml:space="preserve">34 ft atrium/spider</t>
  </si>
  <si>
    <t xml:space="preserve">Working/platform height (COSTARS class)</t>
  </si>
  <si>
    <t xml:space="preserve">Atrium/spider lift (COSTARS class)</t>
  </si>
  <si>
    <t xml:space="preserve">Notes list spider/track lifts as having no rate data; COSTARS 'atrium' classes used as the spider/atrium row (single source). Rent: Single source (COSTARS 744/1845/4114). COSTARS = Sunbelt PA not-to-exceed contract caps (day rates are ceilings).</t>
  </si>
  <si>
    <t xml:space="preserve">AW-SPIDER-51</t>
  </si>
  <si>
    <t xml:space="preserve">51 ft atrium/spider</t>
  </si>
  <si>
    <t xml:space="preserve">Notes list spider/track lifts as having no rate data; COSTARS 'atrium' classes used as the spider/atrium row (single source). Rent: Single source (COSTARS 1673/3086/6470). COSTARS = Sunbelt PA not-to-exceed contract caps (day rates are ceilings).</t>
  </si>
  <si>
    <t xml:space="preserve">AW-SPIDER-60</t>
  </si>
  <si>
    <t xml:space="preserve">60 ft atrium/spider</t>
  </si>
  <si>
    <t xml:space="preserve">Notes list spider/track lifts as having no rate data; COSTARS 'atrium' classes used as the spider/atrium row (single source). Rent: Single source (COSTARS 2284/4285/7722). COSTARS = Sunbelt PA not-to-exceed contract caps (day rates are ceilings).</t>
  </si>
  <si>
    <t xml:space="preserve">AW-SPIDER-69</t>
  </si>
  <si>
    <t xml:space="preserve">69 ft atrium/spider</t>
  </si>
  <si>
    <t xml:space="preserve">Notes list spider/track lifts as having no rate data; COSTARS 'atrium' classes used as the spider/atrium row (single source). Rent: Single source (COSTARS 3031/5228/9272). COSTARS = Sunbelt PA not-to-exceed contract caps (day rates are ceilings).</t>
  </si>
  <si>
    <t xml:space="preserve">AW-SPIDER-77</t>
  </si>
  <si>
    <t xml:space="preserve">77 ft atrium/spider</t>
  </si>
  <si>
    <t xml:space="preserve">Notes list spider/track lifts as having no rate data; COSTARS 'atrium' classes used as the spider/atrium row (single source). Rent: Single source (COSTARS 3079/5369/11583). COSTARS = Sunbelt PA not-to-exceed contract caps (day rates are ceilings).</t>
  </si>
  <si>
    <t xml:space="preserve">AW-MAST-20</t>
  </si>
  <si>
    <t xml:space="preserve">Vertical mast / personnel lift</t>
  </si>
  <si>
    <t xml:space="preserve">Vertical mast, self-propelled (Group A)</t>
  </si>
  <si>
    <t xml:space="preserve">18-20 ft mast-style (self-propelled)</t>
  </si>
  <si>
    <t xml:space="preserve">Platform/working height (COSTARS class)</t>
  </si>
  <si>
    <t xml:space="preserve">Genie GR/QS, JLG Toucan type (unverified)</t>
  </si>
  <si>
    <t xml:space="preserve">COSTARS single source; some COSTARS day/week/4-week ratios are irregular (contract structuring). Rent: Single source (COSTARS 303/841/1367). COSTARS = Sunbelt PA not-to-exceed contract caps (day rates are ceilings).</t>
  </si>
  <si>
    <t xml:space="preserve">AW-MAST-26</t>
  </si>
  <si>
    <t xml:space="preserve">26 ft mast-style</t>
  </si>
  <si>
    <t xml:space="preserve">COSTARS single source; some COSTARS day/week/4-week ratios are irregular (contract structuring). Rent: Single source (COSTARS 306/753/1664). COSTARS = Sunbelt PA not-to-exceed contract caps (day rates are ceilings).</t>
  </si>
  <si>
    <t xml:space="preserve">AW-MAST-33</t>
  </si>
  <si>
    <t xml:space="preserve">33 ft mast-style</t>
  </si>
  <si>
    <t xml:space="preserve">COSTARS single source; some COSTARS day/week/4-week ratios are irregular (contract structuring). Rent: Single source (COSTARS 376/952/2529). COSTARS = Sunbelt PA not-to-exceed contract caps (day rates are ceilings).</t>
  </si>
  <si>
    <t xml:space="preserve">AW-1MAN-12</t>
  </si>
  <si>
    <t xml:space="preserve">One-man drivable (Group A, Type 3)</t>
  </si>
  <si>
    <t xml:space="preserve">12 ft one-man drivable</t>
  </si>
  <si>
    <t xml:space="preserve">COSTARS single source; some COSTARS day/week/4-week ratios are irregular (contract structuring). Rent: Single source (COSTARS 206/329/466). COSTARS = Sunbelt PA not-to-exceed contract caps (day rates are ceilings).</t>
  </si>
  <si>
    <t xml:space="preserve">AW-1MAN-15</t>
  </si>
  <si>
    <t xml:space="preserve">15 ft one-man drivable</t>
  </si>
  <si>
    <t xml:space="preserve">COSTARS single source; some COSTARS day/week/4-week ratios are irregular (contract structuring). Rent: Single source (COSTARS 162/381/1024). COSTARS = Sunbelt PA not-to-exceed contract caps (day rates are ceilings).</t>
  </si>
  <si>
    <t xml:space="preserve">AW-1MAN-20</t>
  </si>
  <si>
    <t xml:space="preserve">20 ft one-man drivable</t>
  </si>
  <si>
    <t xml:space="preserve">COSTARS single source; some COSTARS day/week/4-week ratios are irregular (contract structuring). Rent: Single source (COSTARS 215/424/684). COSTARS = Sunbelt PA not-to-exceed contract caps (day rates are ceilings).</t>
  </si>
  <si>
    <t xml:space="preserve">AW-PUSH-25</t>
  </si>
  <si>
    <t xml:space="preserve">Push-around vertical (Group A, Type 1)</t>
  </si>
  <si>
    <t xml:space="preserve">24-25 ft push-around</t>
  </si>
  <si>
    <t xml:space="preserve">COSTARS single source; some COSTARS day/week/4-week ratios are irregular (contract structuring). Rent: Single source (COSTARS 220/456/924). COSTARS = Sunbelt PA not-to-exceed contract caps (day rates are ceilings).</t>
  </si>
  <si>
    <t xml:space="preserve">AW-PUSH-30</t>
  </si>
  <si>
    <t xml:space="preserve">30 ft push-around</t>
  </si>
  <si>
    <t xml:space="preserve">COSTARS single source; some COSTARS day/week/4-week ratios are irregular (contract structuring). Rent: Single source (COSTARS 227/506/1221). COSTARS = Sunbelt PA not-to-exceed contract caps (day rates are ceilings).</t>
  </si>
  <si>
    <t xml:space="preserve">AW-PUSH-36</t>
  </si>
  <si>
    <t xml:space="preserve">36 ft push-around</t>
  </si>
  <si>
    <t xml:space="preserve">COSTARS single source; some COSTARS day/week/4-week ratios are irregular (contract structuring). Rent: Single source (COSTARS 270/636/1810). COSTARS = Sunbelt PA not-to-exceed contract caps (day rates are ceilings).</t>
  </si>
  <si>
    <t xml:space="preserve">AW-PUSH-40</t>
  </si>
  <si>
    <t xml:space="preserve">40 ft push-around</t>
  </si>
  <si>
    <t xml:space="preserve">COSTARS single source; some COSTARS day/week/4-week ratios are irregular (contract structuring). Rent: Single source (COSTARS 289/807/1780). COSTARS = Sunbelt PA not-to-exceed contract caps (day rates are ceilings).</t>
  </si>
  <si>
    <t xml:space="preserve">AW-BUCKET-55</t>
  </si>
  <si>
    <t xml:space="preserve">Truck-mounted aerial (bucket truck)</t>
  </si>
  <si>
    <t xml:space="preserve">Truck-mounted (Group B, Type 1)</t>
  </si>
  <si>
    <t xml:space="preserve">55 ft bucket truck</t>
  </si>
  <si>
    <t xml:space="preserve">Working height</t>
  </si>
  <si>
    <t xml:space="preserve">Altec AA55 (incl. truck)</t>
  </si>
  <si>
    <t xml:space="preserve">Truck Driver (per WD class/axles) / lineman (per WD)</t>
  </si>
  <si>
    <t xml:space="preserve">8486</t>
  </si>
  <si>
    <t xml:space="preserve">No bucket-truck rental rates found. FEMA: Includes truck. Ex-fuel (C) = FEMA incl-fuel rate - Fuel_gal_hr_med x diesel back-out price (Settings B5).</t>
  </si>
  <si>
    <t xml:space="preserve">AW-BUCKET-80</t>
  </si>
  <si>
    <t xml:space="preserve">80 ft bucket truck</t>
  </si>
  <si>
    <t xml:space="preserve">Altec AH85B (incl. truck)</t>
  </si>
  <si>
    <t xml:space="preserve">8487</t>
  </si>
  <si>
    <t xml:space="preserve">AW-BUCKET-100</t>
  </si>
  <si>
    <t xml:space="preserve">100 ft bucket truck</t>
  </si>
  <si>
    <t xml:space="preserve">Altec AN67-E100 (incl. truck)</t>
  </si>
  <si>
    <t xml:space="preserve">8488</t>
  </si>
  <si>
    <t xml:space="preserve">AW-BUCKET-120</t>
  </si>
  <si>
    <t xml:space="preserve">120 ft bucket truck</t>
  </si>
  <si>
    <t xml:space="preserve">Altec AH125 (incl. truck)</t>
  </si>
  <si>
    <t xml:space="preserve">8489</t>
  </si>
  <si>
    <t xml:space="preserve">AW-MCWP</t>
  </si>
  <si>
    <t xml:space="preserve">Mast-climbing work platform</t>
  </si>
  <si>
    <t xml:space="preserve">MCWP</t>
  </si>
  <si>
    <t xml:space="preserve">Category named in notes; no specs or rates.</t>
  </si>
  <si>
    <t xml:space="preserve">TH-3K-13</t>
  </si>
  <si>
    <t xml:space="preserve">Lifting &amp; material handling</t>
  </si>
  <si>
    <t xml:space="preserve">Telehandler</t>
  </si>
  <si>
    <t xml:space="preserve">3,000 lb x 13 ft</t>
  </si>
  <si>
    <t xml:space="preserve">Rated capacity</t>
  </si>
  <si>
    <t xml:space="preserve">3,000 lb</t>
  </si>
  <si>
    <t xml:space="preserve">Owned: USACE standby = 0.5 x DEPR + FCCM, max 40 hr/wk [USACE-EP]; with only an all-in rate use Caltrans delay factor x rate, max 8 hr/day &amp; 40 hr/wk [CALT-2627]: FKLFT factor 0.22. Rental: accrues by calendar period (no idle discount). FEMA: not eligible unless intermittent use [FEMA-PG].</t>
  </si>
  <si>
    <t xml:space="preserve">LF-TH-DUR</t>
  </si>
  <si>
    <t xml:space="preserve">Class from United Rentals capacity x height list. Attachments extra (Burris $105/315/945 each; DOZR truss $75-150/day).</t>
  </si>
  <si>
    <t xml:space="preserve">TH-5K-19</t>
  </si>
  <si>
    <t xml:space="preserve">Compact / variable reach</t>
  </si>
  <si>
    <t xml:space="preserve">5,000 lb x 19 ft</t>
  </si>
  <si>
    <t xml:space="preserve">Cat TH255; JCB/Cat TH627 (5,500 lb/18.8 ft); 5,000 lb/16.4 ft</t>
  </si>
  <si>
    <t xml:space="preserve">5,000 lb</t>
  </si>
  <si>
    <t xml:space="preserve">W25;B25;A26;DOZR-TH</t>
  </si>
  <si>
    <t xml:space="preserve">Cat VisionLink Dec 2022, model TH255C [CATFUEL22]</t>
  </si>
  <si>
    <t xml:space="preserve">Class from United Rentals capacity x height list. Attachments extra (Burris $105/315/945 each; DOZR truss $75-150/day). Rounded half-up (Excel rule) in revision; may differ by 1 from the notes table, which used banker's rounding. Rent: Median of 4 sources (W 446/1292/3748; B 345/1035/3105; A 450/1200/2500; D 400/1150/2600).</t>
  </si>
  <si>
    <t xml:space="preserve">TH-5K-20E</t>
  </si>
  <si>
    <t xml:space="preserve">Electric</t>
  </si>
  <si>
    <t xml:space="preserve">5,000 lb x 20 ft</t>
  </si>
  <si>
    <t xml:space="preserve">UR electric class</t>
  </si>
  <si>
    <t xml:space="preserve">TH-6K-42</t>
  </si>
  <si>
    <t xml:space="preserve">Variable reach</t>
  </si>
  <si>
    <t xml:space="preserve">6,000 lb x 42 ft</t>
  </si>
  <si>
    <t xml:space="preserve">Cat TL642 (6,500 lb/42 ft); SkyTrak 6034/6036</t>
  </si>
  <si>
    <t xml:space="preserve">6,000 lb</t>
  </si>
  <si>
    <t xml:space="preserve">W25;B25;DOZR-TH</t>
  </si>
  <si>
    <t xml:space="preserve">8306</t>
  </si>
  <si>
    <t xml:space="preserve">Cat VisionLink Dec 2022, model TL642D [CATFUEL22]</t>
  </si>
  <si>
    <t xml:space="preserve">Class from United Rentals capacity x height list. Attachments extra (Burris $105/315/945 each; DOZR truss $75-150/day). Rent: Median of 3 sources (W 665/1928/5590; B 395/1185/2370; D 550/1500/3300). Burris 6k 4-week $2,370 is below its 8k rate - possible sheet error. FEMA: Cat TL642, 74 hp. Ex-fuel (C) = FEMA incl-fuel rate - Fuel_gal_hr_med x diesel back-out price (Settings B5).</t>
  </si>
  <si>
    <t xml:space="preserve">TH-7K-44</t>
  </si>
  <si>
    <t xml:space="preserve">7,000 lb x 44 ft</t>
  </si>
  <si>
    <t xml:space="preserve">7,000 lb</t>
  </si>
  <si>
    <t xml:space="preserve">TH-9K-43</t>
  </si>
  <si>
    <t xml:space="preserve">9,000 lb x 43 ft</t>
  </si>
  <si>
    <t xml:space="preserve">Cat TL943 (9,000 lb/43 ft); Cat TH0842; SkyTrak 8042</t>
  </si>
  <si>
    <t xml:space="preserve">9,000 lb</t>
  </si>
  <si>
    <t xml:space="preserve">8307</t>
  </si>
  <si>
    <t xml:space="preserve">Cat VisionLink Dec 2022, model TL943D [CATFUEL22]</t>
  </si>
  <si>
    <t xml:space="preserve">Class from United Rentals capacity x height list. Attachments extra (Burris $105/315/945 each; DOZR truss $75-150/day). Rounded half-up (Excel rule) in revision; may differ by 1 from the notes table, which used banker's rounding. Rent: Median of 3 sources (W TH0842/TL943 avg 694/2016/5844; B 420/1260/3780; D 675/1500/3300). Class 8,000-9,000 lb. FEMA: Cat TL943, 111 hp. Ex-fuel (C) = FEMA incl-fuel rate - Fuel_gal_hr_med x diesel back-out price (Settings B5).</t>
  </si>
  <si>
    <t xml:space="preserve">TH-10K-55</t>
  </si>
  <si>
    <t xml:space="preserve">10,000 lb x 55 ft</t>
  </si>
  <si>
    <t xml:space="preserve">Cat TL1055; SkyTrak 10054; 10,000 lb/56 ft</t>
  </si>
  <si>
    <t xml:space="preserve">10,000 lb</t>
  </si>
  <si>
    <t xml:space="preserve">Cat VisionLink Dec 2022, model TL1055D [CATFUEL22]</t>
  </si>
  <si>
    <t xml:space="preserve">Class from United Rentals capacity x height list. Attachments extra (Burris $105/315/945 each; DOZR truss $75-150/day). Rent: Median of 4 sources (W 952/2760/8004; B 500/1500/4500; A 750/2100/4500; D 900/2100/4250).</t>
  </si>
  <si>
    <t xml:space="preserve">Non-monotonic vs TH-10K-62 - source data; Needs rate (owned)</t>
  </si>
  <si>
    <t xml:space="preserve">TH-10K-62</t>
  </si>
  <si>
    <t xml:space="preserve">Variable reach, high lift</t>
  </si>
  <si>
    <t xml:space="preserve">10,000 lb x 62 ft</t>
  </si>
  <si>
    <t xml:space="preserve">Merlo TH 4,5.19 (62 ft)</t>
  </si>
  <si>
    <t xml:space="preserve">Class from United Rentals capacity x height list. Attachments extra (Burris $105/315/945 each; DOZR truss $75-150/day). Rent: Columbus only.</t>
  </si>
  <si>
    <t xml:space="preserve">TH-12K-55</t>
  </si>
  <si>
    <t xml:space="preserve">12,000 lb x 55 ft</t>
  </si>
  <si>
    <t xml:space="preserve">Cat TL1255 (12,000 lb); Skyjack SJ1256; 12,000 lb/56 ft</t>
  </si>
  <si>
    <t xml:space="preserve">12,000 lb</t>
  </si>
  <si>
    <t xml:space="preserve">W25;A26;R25;DOZR-TH</t>
  </si>
  <si>
    <t xml:space="preserve">8308</t>
  </si>
  <si>
    <t xml:space="preserve">Cat VisionLink Dec 2022, model TL1255D [CATFUEL22]</t>
  </si>
  <si>
    <t xml:space="preserve">Class from United Rentals capacity x height list. Attachments extra (Burris $105/315/945 each; DOZR truss $75-150/day). Cat TL1255D fuel (1.89 med) is far below TL642D (4.93) as published. Rent: Median of 4 sources (W 1027/2979/8639; A 800/2000/5000; R 600/1500/3850; D 1000/2100/4250). FEMA: Cat TL1255, 134 hp. Ex-fuel (C) = FEMA incl-fuel rate - Fuel_gal_hr_med x diesel back-out price (Settings B5).</t>
  </si>
  <si>
    <t xml:space="preserve">TH-12K-61</t>
  </si>
  <si>
    <t xml:space="preserve">12,100 lb x 61 ft</t>
  </si>
  <si>
    <t xml:space="preserve">Merlo TH 5,5.19 (61 ft)</t>
  </si>
  <si>
    <t xml:space="preserve">12,100 lb</t>
  </si>
  <si>
    <t xml:space="preserve">TH-14K-55</t>
  </si>
  <si>
    <t xml:space="preserve">14,000 lb x 55 ft</t>
  </si>
  <si>
    <t xml:space="preserve">14,000 lb</t>
  </si>
  <si>
    <t xml:space="preserve">TH-16K-44</t>
  </si>
  <si>
    <t xml:space="preserve">16,000 lb x 44 ft</t>
  </si>
  <si>
    <t xml:space="preserve">Cat TL1644</t>
  </si>
  <si>
    <t xml:space="preserve">16,000 lb</t>
  </si>
  <si>
    <t xml:space="preserve">Class from United Rentals capacity x height list. Attachments extra (Burris $105/315/945 each; DOZR truss $75-150/day). Rent: Wheeler only (same price as TL1255).</t>
  </si>
  <si>
    <t xml:space="preserve">TH-20K-43</t>
  </si>
  <si>
    <t xml:space="preserve">20,000 lb x 43 ft</t>
  </si>
  <si>
    <t xml:space="preserve">20,000 lb</t>
  </si>
  <si>
    <t xml:space="preserve">TH-GE-12K-78</t>
  </si>
  <si>
    <t xml:space="preserve">Ground-engaging (stabilizers)</t>
  </si>
  <si>
    <t xml:space="preserve">12,000 lb x 78 ft</t>
  </si>
  <si>
    <t xml:space="preserve">TH-HC-27K</t>
  </si>
  <si>
    <t xml:space="preserve">High-capacity</t>
  </si>
  <si>
    <t xml:space="preserve">27,000 lb x 33 ft</t>
  </si>
  <si>
    <t xml:space="preserve">Cat TL2733</t>
  </si>
  <si>
    <t xml:space="preserve">27,000 lb</t>
  </si>
  <si>
    <t xml:space="preserve">Class from United Rentals capacity x height list. Attachments extra (Burris $105/315/945 each; DOZR truss $75-150/day). Rent: Wheeler only.</t>
  </si>
  <si>
    <t xml:space="preserve">Needs fuel gal/hr; Non-monotonic vs TH-HC-35K - source data; Needs rate (owned)</t>
  </si>
  <si>
    <t xml:space="preserve">TH-HC-35K</t>
  </si>
  <si>
    <t xml:space="preserve">35,200 lb x 33 ft</t>
  </si>
  <si>
    <t xml:space="preserve">Merlo HTH 16.10</t>
  </si>
  <si>
    <t xml:space="preserve">35,200 lb</t>
  </si>
  <si>
    <t xml:space="preserve">Class from United Rentals capacity x height list. Attachments extra (Burris $105/315/945 each; DOZR truss $75-150/day). Rent: Columbus only. Lift height not stated; UR class 35,000 lb/31-33 ft used.</t>
  </si>
  <si>
    <t xml:space="preserve">TH-ROT-13K-82</t>
  </si>
  <si>
    <t xml:space="preserve">Rotating</t>
  </si>
  <si>
    <t xml:space="preserve">13,200 lb x 82 ft</t>
  </si>
  <si>
    <t xml:space="preserve">Merlo RTH 6.25</t>
  </si>
  <si>
    <t xml:space="preserve">TH-ROT-13K-96</t>
  </si>
  <si>
    <t xml:space="preserve">13,200 lb x 96 ft</t>
  </si>
  <si>
    <t xml:space="preserve">TH-ROT-127</t>
  </si>
  <si>
    <t xml:space="preserve">13,200 lb x 127 ft</t>
  </si>
  <si>
    <t xml:space="preserve">Merlo RTH 6.39</t>
  </si>
  <si>
    <t xml:space="preserve">Class from United Rentals capacity x height list. Attachments extra (Burris $105/315/945 each; DOZR truss $75-150/day). Capacity unverified Rent: Columbus only. Capacity of RTH 6.39 not stated; 13,200 lb assumed from RTH series label (verify).</t>
  </si>
  <si>
    <t xml:space="preserve">Needs fuel gal/hr; Capacity unverified; Needs rate (owned)</t>
  </si>
  <si>
    <t xml:space="preserve">FK-IND-5K</t>
  </si>
  <si>
    <t xml:space="preserve">Forklift</t>
  </si>
  <si>
    <t xml:space="preserve">Warehouse/industrial (cushion/pneumatic)</t>
  </si>
  <si>
    <t xml:space="preserve">Komatsu FG25; dual-fuel/propane 5,000 lb</t>
  </si>
  <si>
    <t xml:space="preserve">propane</t>
  </si>
  <si>
    <t xml:space="preserve">LF-FK-DUR</t>
  </si>
  <si>
    <t xml:space="preserve">Rent: Median of 3 sources (W 407/895/1969; B 235/705/2115; N 225/715/1775).</t>
  </si>
  <si>
    <t xml:space="preserve">FK-6K</t>
  </si>
  <si>
    <t xml:space="preserve">Industrial / yard</t>
  </si>
  <si>
    <t xml:space="preserve">Toyota 8FGU30 (FEMA); 6,000 lb propane</t>
  </si>
  <si>
    <t xml:space="preserve">8300</t>
  </si>
  <si>
    <t xml:space="preserve">LPG unit: FEMA fuel back-out not possible (no propane basis or gal/hr). Rent: Nu-Way only. FEMA: Toyota 8FGU30 (LPG/gas).</t>
  </si>
  <si>
    <t xml:space="preserve">FK-11K</t>
  </si>
  <si>
    <t xml:space="preserve">11,000 lb</t>
  </si>
  <si>
    <t xml:space="preserve">Toyota 8FG50U</t>
  </si>
  <si>
    <t xml:space="preserve">8301</t>
  </si>
  <si>
    <t xml:space="preserve">Caltrans FKLFT bands 1,000-75,000 lb. Fuel type for Toyota 8FG = LPG/gas (inferred from model code).</t>
  </si>
  <si>
    <t xml:space="preserve">FK-17K</t>
  </si>
  <si>
    <t xml:space="preserve">17,500 lb</t>
  </si>
  <si>
    <t xml:space="preserve">Toyota 8FG80U</t>
  </si>
  <si>
    <t xml:space="preserve">8302</t>
  </si>
  <si>
    <t xml:space="preserve">FK-45K</t>
  </si>
  <si>
    <t xml:space="preserve">45,000 lb</t>
  </si>
  <si>
    <t xml:space="preserve">Taylor TE-450M (45,000-50,000 lb)</t>
  </si>
  <si>
    <t xml:space="preserve">8303</t>
  </si>
  <si>
    <t xml:space="preserve">Caltrans FKLFT bands 1,000-75,000 lb. Fuel type for Toyota 8FG = LPG/gas (inferred from model code). Ex-fuel (C) = FEMA incl-fuel rate - Fuel_gal_hr_med x diesel back-out price (Settings B5).</t>
  </si>
  <si>
    <t xml:space="preserve">CR-CARRY-15T</t>
  </si>
  <si>
    <t xml:space="preserve">Carry-deck crane</t>
  </si>
  <si>
    <t xml:space="preserve">Carry deck (8-18 t)</t>
  </si>
  <si>
    <t xml:space="preserve">8-15 t carry deck</t>
  </si>
  <si>
    <t xml:space="preserve">Broderson/Shuttlelift type</t>
  </si>
  <si>
    <t xml:space="preserve">15 ton</t>
  </si>
  <si>
    <t xml:space="preserve">Operating Engineer - crane group (per WD); oiler if required</t>
  </si>
  <si>
    <t xml:space="preserve">Owned: USACE standby = 0.5 x DEPR + FCCM, max 40 hr/wk [USACE-EP]; with only an all-in rate use Caltrans delay factor x rate, max 8 hr/day &amp; 40 hr/wk [CALT-2627]: HCETD/HCECL factor 0.12 truck / 0.17 crawler. Rental: accrues by calendar period (no idle discount). FEMA: not eligible unless intermittent use [FEMA-PG].</t>
  </si>
  <si>
    <t xml:space="preserve">LF-CRANE-DUR</t>
  </si>
  <si>
    <t xml:space="preserve">URI/Sunstate prices behind login (gap).</t>
  </si>
  <si>
    <t xml:space="preserve">CR-CARRY-20T</t>
  </si>
  <si>
    <t xml:space="preserve">Yard / carry deck</t>
  </si>
  <si>
    <t xml:space="preserve">20 t yard crane</t>
  </si>
  <si>
    <t xml:space="preserve">Shuttlelift CD5520</t>
  </si>
  <si>
    <t xml:space="preserve">20 ton</t>
  </si>
  <si>
    <t xml:space="preserve">8500</t>
  </si>
  <si>
    <t xml:space="preserve">CR-RT-15T</t>
  </si>
  <si>
    <t xml:space="preserve">Rough-terrain crane</t>
  </si>
  <si>
    <t xml:space="preserve">RT (small)</t>
  </si>
  <si>
    <t xml:space="preserve">15 t RT</t>
  </si>
  <si>
    <t xml:space="preserve">Broderson RT-300-2C</t>
  </si>
  <si>
    <t xml:space="preserve">8501</t>
  </si>
  <si>
    <t xml:space="preserve">CR-RT-50T-BARE</t>
  </si>
  <si>
    <t xml:space="preserve">RT, bare rental</t>
  </si>
  <si>
    <t xml:space="preserve">50 t RT (bare)</t>
  </si>
  <si>
    <t xml:space="preserve">Link-Belt RTC-8050/8065 class (Columbus)</t>
  </si>
  <si>
    <t xml:space="preserve">50 ton</t>
  </si>
  <si>
    <t xml:space="preserve">LF-CRANE-DUR,LF-GIRDER-PRECAST,LF-STEEL-BEAM</t>
  </si>
  <si>
    <t xml:space="preserve">Weight not in notes; RT cranes assumed permitted moves (verify). Rent: Columbus only; sheet does not mention operator (treated as bare). ~$150-220/hr if spread over 160 hr.</t>
  </si>
  <si>
    <t xml:space="preserve">CR-RT-65T-BARE</t>
  </si>
  <si>
    <t xml:space="preserve">65 t RT (bare)</t>
  </si>
  <si>
    <t xml:space="preserve">65 ton</t>
  </si>
  <si>
    <t xml:space="preserve">CR-RT-85T-BARE</t>
  </si>
  <si>
    <t xml:space="preserve">85 t RT (bare)</t>
  </si>
  <si>
    <t xml:space="preserve">85 ton</t>
  </si>
  <si>
    <t xml:space="preserve">CR-RT-100T-BARE</t>
  </si>
  <si>
    <t xml:space="preserve">100 t RT (bare)</t>
  </si>
  <si>
    <t xml:space="preserve">100 ton</t>
  </si>
  <si>
    <t xml:space="preserve">CR-BOOMTRK-9T</t>
  </si>
  <si>
    <t xml:space="preserve">Boom truck (truck-mounted telescopic)</t>
  </si>
  <si>
    <t xml:space="preserve">Boom truck</t>
  </si>
  <si>
    <t xml:space="preserve">19,000 lb (9.5 t) boom truck</t>
  </si>
  <si>
    <t xml:space="preserve">Manitex (FEMA 8496)</t>
  </si>
  <si>
    <t xml:space="preserve">19,000 lb</t>
  </si>
  <si>
    <t xml:space="preserve">hr (operated) / hr owned</t>
  </si>
  <si>
    <t xml:space="preserve">8496</t>
  </si>
  <si>
    <t xml:space="preserve">No rental rate for this size. HP from FEMA (as extracted). Fuel gal/hr derived (C): Net_HP x USACE fuel factor x load factor (Settings B11-B15). Ex-fuel (C) = FEMA incl-fuel rate - Fuel_gal_hr_med x diesel back-out price (Settings B5).</t>
  </si>
  <si>
    <t xml:space="preserve">CR-BOOMTRK-23T</t>
  </si>
  <si>
    <t xml:space="preserve">46,000 lb (23 t) boom truck</t>
  </si>
  <si>
    <t xml:space="preserve">Manitex (FEMA 8497)</t>
  </si>
  <si>
    <t xml:space="preserve">46,000 lb</t>
  </si>
  <si>
    <t xml:space="preserve">NTXC;DEPC</t>
  </si>
  <si>
    <t xml:space="preserve">8497</t>
  </si>
  <si>
    <t xml:space="preserve">Operated hourly rate INCLUDES operator; add portal-to-portal travel, 7-10% fuel surcharge, OT +$50-85/hr/man (NTX) or +$74/hr (CFCS), riggers $88-160/hr (4 hr min). Do NOT add operator labor on top. HP from FEMA (as extracted). Rent (operated, incl. operator): Median (=mean) of NTX 23 t boom truck $155 (3 hr min) and Dependable 22 t $265 (1 hr min). Fuel gal/hr derived (C): Net_HP x USACE fuel factor x load factor (Settings B11-B15). Ex-fuel (C) = FEMA incl-fuel rate - Fuel_gal_hr_med x diesel back-out price (Settings B5).</t>
  </si>
  <si>
    <t xml:space="preserve">CR-BOOMTRK-30T</t>
  </si>
  <si>
    <t xml:space="preserve">60,000 lb (30 t) boom truck</t>
  </si>
  <si>
    <t xml:space="preserve">Manitex (FEMA 8498)</t>
  </si>
  <si>
    <t xml:space="preserve">60,000 lb</t>
  </si>
  <si>
    <t xml:space="preserve">NTXC</t>
  </si>
  <si>
    <t xml:space="preserve">8498</t>
  </si>
  <si>
    <t xml:space="preserve">Operated hourly rate INCLUDES operator; add portal-to-portal travel, 7-10% fuel surcharge, OT +$50-85/hr/man (NTX) or +$74/hr (CFCS), riggers $88-160/hr (4 hr min). Do NOT add operator labor on top. HP from FEMA (as extracted). Rent (operated, incl. operator): NTX 30 t boom truck $175 (4 hr min). Fuel gal/hr derived (C): Net_HP x USACE fuel factor x load factor (Settings B11-B15). Ex-fuel (C) = FEMA incl-fuel rate - Fuel_gal_hr_med x diesel back-out price (Settings B5).</t>
  </si>
  <si>
    <t xml:space="preserve">CR-HYD-40T-OP</t>
  </si>
  <si>
    <t xml:space="preserve">Hydraulic truck / all-terrain crane</t>
  </si>
  <si>
    <t xml:space="preserve">Operated hourly</t>
  </si>
  <si>
    <t xml:space="preserve">40 t hydraulic (operated)</t>
  </si>
  <si>
    <t xml:space="preserve">Hydraulic truck/AT crane (rate-card class)</t>
  </si>
  <si>
    <t xml:space="preserve">40 ton</t>
  </si>
  <si>
    <t xml:space="preserve">Operating Engineer - crane group (per WD); oiler if required - included in operated rate</t>
  </si>
  <si>
    <t xml:space="preserve">Operated hourly rate INCLUDES operator; add portal-to-portal travel, 7-10% fuel surcharge, OT +$50-85/hr/man (NTX) or +$74/hr (CFCS), riggers $88-160/hr (4 hr min). Do NOT add operator labor on top. CFCS FL bands (Jun 2026): &lt;50 t $245-315/hr; 50-100 t $320-460/hr; large AT 1-operator $415-475/hr. Rate cards do not state carrier type. Rent (operated, incl. operator): Median (=mean) of NTX $205 (4 hr min) and Dependable $285 (2 hr min).</t>
  </si>
  <si>
    <t xml:space="preserve">CR-HYD-50T-OP</t>
  </si>
  <si>
    <t xml:space="preserve">50 t hydraulic (operated)</t>
  </si>
  <si>
    <t xml:space="preserve">Operated hourly rate INCLUDES operator; add portal-to-portal travel, 7-10% fuel surcharge, OT +$50-85/hr/man (NTX) or +$74/hr (CFCS), riggers $88-160/hr (4 hr min). Do NOT add operator labor on top. CFCS FL bands (Jun 2026): &lt;50 t $245-315/hr; 50-100 t $320-460/hr; large AT 1-operator $415-475/hr. Rate cards do not state carrier type. Rent (operated, incl. operator): NTX only.</t>
  </si>
  <si>
    <t xml:space="preserve">CR-HYD-60T-OP</t>
  </si>
  <si>
    <t xml:space="preserve">60 t hydraulic (operated)</t>
  </si>
  <si>
    <t xml:space="preserve">60 ton</t>
  </si>
  <si>
    <t xml:space="preserve">CR-HYD-75T-OP</t>
  </si>
  <si>
    <t xml:space="preserve">75 t hydraulic (operated)</t>
  </si>
  <si>
    <t xml:space="preserve">75 ton</t>
  </si>
  <si>
    <t xml:space="preserve">Operated hourly rate INCLUDES operator; add portal-to-portal travel, 7-10% fuel surcharge, OT +$50-85/hr/man (NTX) or +$74/hr (CFCS), riggers $88-160/hr (4 hr min). Do NOT add operator labor on top. CFCS FL bands (Jun 2026): &lt;50 t $245-315/hr; 50-100 t $320-460/hr; large AT 1-operator $415-475/hr. Rate cards do not state carrier type. Rent (operated, incl. operator): Median (=mean) of NTX $310 and Dependable $350 (4 hr min both).</t>
  </si>
  <si>
    <t xml:space="preserve">CR-HYD-80T-OP</t>
  </si>
  <si>
    <t xml:space="preserve">80 t hydraulic (operated)</t>
  </si>
  <si>
    <t xml:space="preserve">80 ton</t>
  </si>
  <si>
    <t xml:space="preserve">CR-HYD-100T-OP</t>
  </si>
  <si>
    <t xml:space="preserve">100 t hydraulic (operated)</t>
  </si>
  <si>
    <t xml:space="preserve">CR-HYD-110T-OP</t>
  </si>
  <si>
    <t xml:space="preserve">110 t hydraulic (operated)</t>
  </si>
  <si>
    <t xml:space="preserve">110 ton</t>
  </si>
  <si>
    <t xml:space="preserve">CR-HYD-120T-OP</t>
  </si>
  <si>
    <t xml:space="preserve">120 t hydraulic (operated)</t>
  </si>
  <si>
    <t xml:space="preserve">120 ton</t>
  </si>
  <si>
    <t xml:space="preserve">Operated hourly rate INCLUDES operator; add portal-to-portal travel, 7-10% fuel surcharge, OT +$50-85/hr/man (NTX) or +$74/hr (CFCS), riggers $88-160/hr (4 hr min). Do NOT add operator labor on top. CFCS FL bands (Jun 2026): &lt;50 t $245-315/hr; 50-100 t $320-460/hr; large AT 1-operator $415-475/hr. Rate cards do not state carrier type. Rent (operated, incl. operator): Median (=mean) of NTX 120 t $440 (4 hr) and Dependable 115 t $450 (8 hr min).</t>
  </si>
  <si>
    <t xml:space="preserve">CR-HYD-165T-OP</t>
  </si>
  <si>
    <t xml:space="preserve">165 t hydraulic (operated)</t>
  </si>
  <si>
    <t xml:space="preserve">165 ton</t>
  </si>
  <si>
    <t xml:space="preserve">crane-assembled</t>
  </si>
  <si>
    <t xml:space="preserve">CR-HYD-210T-OP</t>
  </si>
  <si>
    <t xml:space="preserve">210 t hydraulic (operated)</t>
  </si>
  <si>
    <t xml:space="preserve">210 ton</t>
  </si>
  <si>
    <t xml:space="preserve">CR-HYD-240T-OP</t>
  </si>
  <si>
    <t xml:space="preserve">240 t hydraulic (operated)</t>
  </si>
  <si>
    <t xml:space="preserve">240 ton</t>
  </si>
  <si>
    <t xml:space="preserve">CR-HYD-275T-OP</t>
  </si>
  <si>
    <t xml:space="preserve">275 t hydraulic (operated)</t>
  </si>
  <si>
    <t xml:space="preserve">275 ton</t>
  </si>
  <si>
    <t xml:space="preserve">CR-AT-35T</t>
  </si>
  <si>
    <t xml:space="preserve">All-terrain crane</t>
  </si>
  <si>
    <t xml:space="preserve">AT (owned basis)</t>
  </si>
  <si>
    <t xml:space="preserve">35 t all-terrain</t>
  </si>
  <si>
    <t xml:space="preserve">Grove GMK2035E (34.9 t)</t>
  </si>
  <si>
    <t xml:space="preserve">35 ton</t>
  </si>
  <si>
    <t xml:space="preserve">8502</t>
  </si>
  <si>
    <t xml:space="preserve">For operated rental use CR-HYD-*-OP rows. Ex-fuel (C) = FEMA incl-fuel rate - Fuel_gal_hr_med x diesel back-out price (Settings B5).</t>
  </si>
  <si>
    <t xml:space="preserve">CR-AT-60T</t>
  </si>
  <si>
    <t xml:space="preserve">60 t all-terrain</t>
  </si>
  <si>
    <t xml:space="preserve">Grove GMK3055</t>
  </si>
  <si>
    <t xml:space="preserve">8503</t>
  </si>
  <si>
    <t xml:space="preserve">CR-AT-HEAVY</t>
  </si>
  <si>
    <t xml:space="preserve">Heavy-lift AT (operated)</t>
  </si>
  <si>
    <t xml:space="preserve">Heavy-lift AT (size not stated)</t>
  </si>
  <si>
    <t xml:space="preserve">Operating Engineer - crane group (per WD); oiler if required - included</t>
  </si>
  <si>
    <t xml:space="preserve">CFCS</t>
  </si>
  <si>
    <t xml:space="preserve">Jun 4 2026</t>
  </si>
  <si>
    <t xml:space="preserve">LF-CRANE-DUR,LF-GIRDER-PRECAST</t>
  </si>
  <si>
    <t xml:space="preserve">Operated hourly rate INCLUDES operator; add portal-to-portal travel, 7-10% fuel surcharge, OT +$50-85/hr/man (NTX) or +$74/hr (CFCS), riggers $88-160/hr (4 hr min). Do NOT add operator labor on top. Rent (operated, incl. operator): CFCS ~$1,350/hr (emergency $1,685); 8 hr minimum for heavy-lift.</t>
  </si>
  <si>
    <t xml:space="preserve">CR-CRAWL-125T</t>
  </si>
  <si>
    <t xml:space="preserve">Crawler crane</t>
  </si>
  <si>
    <t xml:space="preserve">Lattice boom</t>
  </si>
  <si>
    <t xml:space="preserve">125 t lattice crawler</t>
  </si>
  <si>
    <t xml:space="preserve">American HC-125</t>
  </si>
  <si>
    <t xml:space="preserve">125 ton</t>
  </si>
  <si>
    <t xml:space="preserve">8504</t>
  </si>
  <si>
    <t xml:space="preserve">Owned: USACE standby = 0.5 x DEPR + FCCM, max 40 hr/wk [USACE-EP]; with only an all-in rate use Caltrans delay factor x rate, max 8 hr/day &amp; 40 hr/wk [CALT-2627]: HCECL factor 0.17 / 0.16. Rental: accrues by calendar period (no idle discount). FEMA: not eligible unless intermittent use [FEMA-PG].</t>
  </si>
  <si>
    <t xml:space="preserve">LF-CRANE-DUR,LF-GIRDER-PRECAST,FD-PILE-DRIVE</t>
  </si>
  <si>
    <t xml:space="preserve">Mob = multiple lowbeds + counterweight + boom + assist crane (counts not sourced). Ex-fuel (C) = FEMA incl-fuel rate - Fuel_gal_hr_med x diesel back-out price (Settings B5).</t>
  </si>
  <si>
    <t xml:space="preserve">CR-CRAWL-CLAM-70T</t>
  </si>
  <si>
    <t xml:space="preserve">Clamshell/dragline duty</t>
  </si>
  <si>
    <t xml:space="preserve">70 t crawler (clam/dragline)</t>
  </si>
  <si>
    <t xml:space="preserve">70 ton</t>
  </si>
  <si>
    <t xml:space="preserve">8210</t>
  </si>
  <si>
    <t xml:space="preserve">Owned: USACE standby = 0.5 x DEPR + FCCM, max 40 hr/wk [USACE-EP]; with only an all-in rate use Caltrans delay factor x rate, max 8 hr/day &amp; 40 hr/wk [CALT-2627]: HCECL factor 0.17. Rental: accrues by calendar period (no idle discount). FEMA: not eligible unless intermittent use [FEMA-PG].</t>
  </si>
  <si>
    <t xml:space="preserve">FEMA 8210: Rate not captured.</t>
  </si>
  <si>
    <t xml:space="preserve">CR-CRAWL-CLAM-120T</t>
  </si>
  <si>
    <t xml:space="preserve">120 t crawler (clam/dragline)</t>
  </si>
  <si>
    <t xml:space="preserve">8211</t>
  </si>
  <si>
    <t xml:space="preserve">FEMA 8211: Rate not captured.</t>
  </si>
  <si>
    <t xml:space="preserve">CR-TRK-CLAM</t>
  </si>
  <si>
    <t xml:space="preserve">Truck crane</t>
  </si>
  <si>
    <t xml:space="preserve">Truck-mounted clamshell</t>
  </si>
  <si>
    <t xml:space="preserve">clamshell</t>
  </si>
  <si>
    <t xml:space="preserve">FEMA 8212</t>
  </si>
  <si>
    <t xml:space="preserve">8212</t>
  </si>
  <si>
    <t xml:space="preserve">FEMA 8212: Rate not captured.</t>
  </si>
  <si>
    <t xml:space="preserve">CR-TOWER</t>
  </si>
  <si>
    <t xml:space="preserve">Tower crane</t>
  </si>
  <si>
    <t xml:space="preserve">Hammerhead/luffing/self-erecting</t>
  </si>
  <si>
    <t xml:space="preserve">Tower crane (class not specified)</t>
  </si>
  <si>
    <t xml:space="preserve">tower</t>
  </si>
  <si>
    <t xml:space="preserve">4wk</t>
  </si>
  <si>
    <t xml:space="preserve">unspecified (bare/operated not stated)</t>
  </si>
  <si>
    <t xml:space="preserve">BIGR-CR</t>
  </si>
  <si>
    <t xml:space="preserve">Apr 27 2026</t>
  </si>
  <si>
    <t xml:space="preserve">LF-TOWER-LIFTS</t>
  </si>
  <si>
    <t xml:space="preserve">Erection/dismantle, foundation, operator, climbing not included. Rent: BigRentz $15,000-60,000/month; midpoint used as 4-week; bare/operated not stated; page FAQ contradicts its tables.</t>
  </si>
  <si>
    <t xml:space="preserve">Rate basis unclear; Rent basis unspecified (bare/operated not stated); verify before use; Needs rate (owned)</t>
  </si>
  <si>
    <t xml:space="preserve">CR-SPIDER</t>
  </si>
  <si>
    <t xml:space="preserve">Mini / spider crane</t>
  </si>
  <si>
    <t xml:space="preserve">No capacity classes or rates in notes.</t>
  </si>
  <si>
    <t xml:space="preserve">CR-KNUCKLE</t>
  </si>
  <si>
    <t xml:space="preserve">Knuckle-boom (articulating) truck crane</t>
  </si>
  <si>
    <t xml:space="preserve">CR-KNUCKLE-LDR</t>
  </si>
  <si>
    <t xml:space="preserve">Knuckleboom loader</t>
  </si>
  <si>
    <t xml:space="preserve">Forestry knuckleboom</t>
  </si>
  <si>
    <t xml:space="preserve">595ML</t>
  </si>
  <si>
    <t xml:space="preserve">Barko 595ML (FEMA 8208)</t>
  </si>
  <si>
    <t xml:space="preserve">8208</t>
  </si>
  <si>
    <t xml:space="preserve">FEMA 8208: Rate not captured.</t>
  </si>
  <si>
    <t xml:space="preserve">HOIST-PERS</t>
  </si>
  <si>
    <t xml:space="preserve">Personnel / material hoist</t>
  </si>
  <si>
    <t xml:space="preserve">Rack &amp; pinion hoist</t>
  </si>
  <si>
    <t xml:space="preserve">Personnel/material hoist</t>
  </si>
  <si>
    <t xml:space="preserve">Hoist operator (Operating Engineer, per WD)</t>
  </si>
  <si>
    <t xml:space="preserve">No classes or rates in notes.</t>
  </si>
  <si>
    <t xml:space="preserve">TR-WB-6x36</t>
  </si>
  <si>
    <t xml:space="preserve">Utilities &amp; trenching</t>
  </si>
  <si>
    <t xml:space="preserve">Trencher</t>
  </si>
  <si>
    <t xml:space="preserve">Walk-behind (tracked)</t>
  </si>
  <si>
    <t xml:space="preserve">~6 in x 36 in walk-behind</t>
  </si>
  <si>
    <t xml:space="preserve">Max depth</t>
  </si>
  <si>
    <t xml:space="preserve">Toro TRX; tracked walk-behind</t>
  </si>
  <si>
    <t xml:space="preserve">6 in wide x 36 in deep</t>
  </si>
  <si>
    <t xml:space="preserve">UT-TRENCH-SMALL</t>
  </si>
  <si>
    <t xml:space="preserve">Rent: Median of 3 sources (W 271/786/2279; B 250/750/2250; N 175/625/1575).</t>
  </si>
  <si>
    <t xml:space="preserve">TR-SSL-4FT</t>
  </si>
  <si>
    <t xml:space="preserve">4 ft SSL trencher</t>
  </si>
  <si>
    <t xml:space="preserve">SSL/CTL trencher attachment</t>
  </si>
  <si>
    <t xml:space="preserve">TR-RIDE-V120</t>
  </si>
  <si>
    <t xml:space="preserve">Ride-on wheel-mounted chain</t>
  </si>
  <si>
    <t xml:space="preserve">60 in depth (~116 hp)</t>
  </si>
  <si>
    <t xml:space="preserve">Vermeer V120</t>
  </si>
  <si>
    <t xml:space="preserve">8514</t>
  </si>
  <si>
    <t xml:space="preserve">UT-TRENCH-CHAIN</t>
  </si>
  <si>
    <t xml:space="preserve">FEMA: Very high for a 116 hp trencher (above a D8 dozer); possible code/rate misalignment in extraction. Fuel gal/hr derived (C): Net_HP x USACE fuel factor x load factor (Settings B11-B15). Ex-fuel (C) = FEMA incl-fuel rate - Fuel_gal_hr_med x diesel back-out price (Settings B5).</t>
  </si>
  <si>
    <t xml:space="preserve">FEMA value flagged: implausibly high for 116 hp; verify; Needs rate (rental); FEMA ⚠ value kept as published; verify vs PDF</t>
  </si>
  <si>
    <t xml:space="preserve">TR-FEMA-8650</t>
  </si>
  <si>
    <t xml:space="preserve">Ride-on (FEMA)</t>
  </si>
  <si>
    <t xml:space="preserve">Seaman-Parsons trencher (FEMA 8650)</t>
  </si>
  <si>
    <t xml:space="preserve">8650</t>
  </si>
  <si>
    <t xml:space="preserve">Seaman-Parsons trencher</t>
  </si>
  <si>
    <t xml:space="preserve">FEMA 8650: FEMA rate not reliably extracted.</t>
  </si>
  <si>
    <t xml:space="preserve">TR-FEMA-8651</t>
  </si>
  <si>
    <t xml:space="preserve">Seaman-Parsons trencher (FEMA 8651)</t>
  </si>
  <si>
    <t xml:space="preserve">8651</t>
  </si>
  <si>
    <t xml:space="preserve">FEMA 8651: FEMA rate not reliably extracted.</t>
  </si>
  <si>
    <t xml:space="preserve">TR-FEMA-8652</t>
  </si>
  <si>
    <t xml:space="preserve">Trencher/ditcher (FEMA 8652)</t>
  </si>
  <si>
    <t xml:space="preserve">8652</t>
  </si>
  <si>
    <t xml:space="preserve">Trencher/ditcher</t>
  </si>
  <si>
    <t xml:space="preserve">FEMA 8652: FEMA rate not reliably extracted.</t>
  </si>
  <si>
    <t xml:space="preserve">TR-FEMA-8653</t>
  </si>
  <si>
    <t xml:space="preserve">Trencher/ditcher (FEMA 8653)</t>
  </si>
  <si>
    <t xml:space="preserve">8653</t>
  </si>
  <si>
    <t xml:space="preserve">FEMA 8653: FEMA rate not reliably extracted.</t>
  </si>
  <si>
    <t xml:space="preserve">TR-PLOW-8661</t>
  </si>
  <si>
    <t xml:space="preserve">Cable plow</t>
  </si>
  <si>
    <t xml:space="preserve">Vibratory plow</t>
  </si>
  <si>
    <t xml:space="preserve">DP-60 (18 in, 82 hp)</t>
  </si>
  <si>
    <t xml:space="preserve">Plow depth</t>
  </si>
  <si>
    <t xml:space="preserve">DP-60</t>
  </si>
  <si>
    <t xml:space="preserve">8661</t>
  </si>
  <si>
    <t xml:space="preserve">UT-PLOW</t>
  </si>
  <si>
    <t xml:space="preserve">FEMA 8661: Rate not captured. Fuel gal/hr derived (C): Net_HP x USACE fuel factor x load factor (Settings B11-B15).</t>
  </si>
  <si>
    <t xml:space="preserve">TR-PLOW-8662</t>
  </si>
  <si>
    <t xml:space="preserve">DP-100 (42 in, 110 hp)</t>
  </si>
  <si>
    <t xml:space="preserve">DP-100</t>
  </si>
  <si>
    <t xml:space="preserve">8662</t>
  </si>
  <si>
    <t xml:space="preserve">FEMA 8662: Rate not captured. Fuel gal/hr derived (C): Net_HP x USACE fuel factor x load factor (Settings B11-B15).</t>
  </si>
  <si>
    <t xml:space="preserve">TR-PLOW-8660</t>
  </si>
  <si>
    <t xml:space="preserve">Case Maxi-Sneaker (24 in, 210 hp)</t>
  </si>
  <si>
    <t xml:space="preserve">Case Maxi-Sneaker</t>
  </si>
  <si>
    <t xml:space="preserve">8660</t>
  </si>
  <si>
    <t xml:space="preserve">FEMA 8660: Rate not captured. Fuel gal/hr derived (C): Net_HP x USACE fuel factor x load factor (Settings B11-B15).</t>
  </si>
  <si>
    <t xml:space="preserve">HDD-COMPACT</t>
  </si>
  <si>
    <t xml:space="preserve">Horizontal directional drill (HDD)</t>
  </si>
  <si>
    <t xml:space="preserve">Compact/mini (&lt;20,000 lb pullback)</t>
  </si>
  <si>
    <t xml:space="preserve">7,000 lb pullback (~25 hp)</t>
  </si>
  <si>
    <t xml:space="preserve">Thrust/pullback</t>
  </si>
  <si>
    <t xml:space="preserve">FEMA 8067 7,000 lb directional drill</t>
  </si>
  <si>
    <t xml:space="preserve">8067</t>
  </si>
  <si>
    <t xml:space="preserve">UT-HDD</t>
  </si>
  <si>
    <t xml:space="preserve">FEMA 8067: Rate not captured. Fuel gal/hr derived (C): Net_HP x USACE fuel factor x load factor (Settings B11-B15).</t>
  </si>
  <si>
    <t xml:space="preserve">HDD-SMALL</t>
  </si>
  <si>
    <t xml:space="preserve">Small (20,000-40,000 lb pullback)</t>
  </si>
  <si>
    <t xml:space="preserve">24,000 lb class (Vermeer D24x40)</t>
  </si>
  <si>
    <t xml:space="preserve">Vermeer D24x40A (4,000 ft-lb, 125 hp)</t>
  </si>
  <si>
    <t xml:space="preserve">4,000 ft-lb</t>
  </si>
  <si>
    <t xml:space="preserve">8067.1</t>
  </si>
  <si>
    <t xml:space="preserve">FEMA 8067.1: Rate not captured. Fuel gal/hr derived (C): Net_HP x USACE fuel factor x load factor (Settings B11-B15).</t>
  </si>
  <si>
    <t xml:space="preserve">HDD-MED</t>
  </si>
  <si>
    <t xml:space="preserve">Medium/midi (40,000-100,000 lb)</t>
  </si>
  <si>
    <t xml:space="preserve">40,000-100,000 lb pullback</t>
  </si>
  <si>
    <t xml:space="preserve">4,000-20,000 ft-lb; 50-200 gpm; up to 16 in, ~2,000 ft</t>
  </si>
  <si>
    <t xml:space="preserve">Spec value = mid of band.</t>
  </si>
  <si>
    <t xml:space="preserve">HDD-LARGE</t>
  </si>
  <si>
    <t xml:space="preserve">Large/maxi (&gt;100,000 lb)</t>
  </si>
  <si>
    <t xml:space="preserve">100,000 lb pullback (Vermeer D-140B 250x100 class)</t>
  </si>
  <si>
    <t xml:space="preserve">Vermeer D-140B (to 300 hp); &gt;20,000 ft-lb; &gt;200 gpm; 16-48 in, to ~6,500 ft</t>
  </si>
  <si>
    <t xml:space="preserve">8065</t>
  </si>
  <si>
    <t xml:space="preserve">FEMA 8065: Rate not captured. Fuel gal/hr derived (C): Net_HP x USACE fuel factor x load factor (Settings B11-B15).</t>
  </si>
  <si>
    <t xml:space="preserve">AUGER-BORE</t>
  </si>
  <si>
    <t xml:space="preserve">Auger boring machine</t>
  </si>
  <si>
    <t xml:space="preserve">Horizontal auger (jack &amp; bore)</t>
  </si>
  <si>
    <t xml:space="preserve">To 30 ft flight</t>
  </si>
  <si>
    <t xml:space="preserve">Flight length</t>
  </si>
  <si>
    <t xml:space="preserve">Caltrans AUGHZ</t>
  </si>
  <si>
    <t xml:space="preserve">UT-JACKBORE</t>
  </si>
  <si>
    <t xml:space="preserve">PIPEBURST-50T</t>
  </si>
  <si>
    <t xml:space="preserve">Pipe bursting rig</t>
  </si>
  <si>
    <t xml:space="preserve">Static</t>
  </si>
  <si>
    <t xml:space="preserve">50-ton rig (4-8 in pipe)</t>
  </si>
  <si>
    <t xml:space="preserve">Pull force</t>
  </si>
  <si>
    <t xml:space="preserve">UT-BURST-50</t>
  </si>
  <si>
    <t xml:space="preserve">PIPEBURST-100T</t>
  </si>
  <si>
    <t xml:space="preserve">100-ton rig (8-12 in, to 16 in)</t>
  </si>
  <si>
    <t xml:space="preserve">UT-BURST-100</t>
  </si>
  <si>
    <t xml:space="preserve">PIPELAYER</t>
  </si>
  <si>
    <t xml:space="preserve">Pipelayer / sideboom</t>
  </si>
  <si>
    <t xml:space="preserve">Sideboom</t>
  </si>
  <si>
    <t xml:space="preserve">Sideboom (class not sourced)</t>
  </si>
  <si>
    <t xml:space="preserve">Lift capacity</t>
  </si>
  <si>
    <t xml:space="preserve">Cat PL-series</t>
  </si>
  <si>
    <t xml:space="preserve">No lift classes sourced.</t>
  </si>
  <si>
    <t xml:space="preserve">VAC-TRAILER</t>
  </si>
  <si>
    <t xml:space="preserve">Vacuum / sewer</t>
  </si>
  <si>
    <t xml:space="preserve">Vacuum excavator trailer</t>
  </si>
  <si>
    <t xml:space="preserve">Vac-ex trailer</t>
  </si>
  <si>
    <t xml:space="preserve">UT-VACEX</t>
  </si>
  <si>
    <t xml:space="preserve">Tank/CFM classes not sourced.</t>
  </si>
  <si>
    <t xml:space="preserve">VAC-HYDROVAC</t>
  </si>
  <si>
    <t xml:space="preserve">Hydro-vac truck</t>
  </si>
  <si>
    <t xml:space="preserve">500 gal debris tank</t>
  </si>
  <si>
    <t xml:space="preserve">Debris tank</t>
  </si>
  <si>
    <t xml:space="preserve">FEMA 8715</t>
  </si>
  <si>
    <t xml:space="preserve">8715</t>
  </si>
  <si>
    <t xml:space="preserve">FEMA 8715: Rate not captured.</t>
  </si>
  <si>
    <t xml:space="preserve">VAC-COMBO-VACTOR</t>
  </si>
  <si>
    <t xml:space="preserve">Combination sewer cleaner</t>
  </si>
  <si>
    <t xml:space="preserve">Vactor 2100 Plus (12-13 CY, 310 hp)</t>
  </si>
  <si>
    <t xml:space="preserve">Debris body</t>
  </si>
  <si>
    <t xml:space="preserve">Vactor 2100 Plus</t>
  </si>
  <si>
    <t xml:space="preserve">12-13 CY</t>
  </si>
  <si>
    <t xml:space="preserve">8714.1</t>
  </si>
  <si>
    <t xml:space="preserve">UT-VACEX,UT-SEWERCLEAN</t>
  </si>
  <si>
    <t xml:space="preserve">FEMA 8714.1: Rate not captured. Fuel gal/hr derived (C): Net_HP x USACE fuel factor x load factor (Settings B11-B15).</t>
  </si>
  <si>
    <t xml:space="preserve">VAC-COMBO-8714</t>
  </si>
  <si>
    <t xml:space="preserve">Combination sewer cleaner 800 gal spoils / 400 gal water</t>
  </si>
  <si>
    <t xml:space="preserve">8714</t>
  </si>
  <si>
    <t xml:space="preserve">UT-SEWERCLEAN</t>
  </si>
  <si>
    <t xml:space="preserve">FEMA 8714: Rate not captured.</t>
  </si>
  <si>
    <t xml:space="preserve">VAC-COMBO-8714-2</t>
  </si>
  <si>
    <t xml:space="preserve">Combination unit 500-1,500 gal water</t>
  </si>
  <si>
    <t xml:space="preserve">8714.2</t>
  </si>
  <si>
    <t xml:space="preserve">FEMA 8714.2: Rate not captured.</t>
  </si>
  <si>
    <t xml:space="preserve">VAC-COMBO-8714-3</t>
  </si>
  <si>
    <t xml:space="preserve">8714.3</t>
  </si>
  <si>
    <t xml:space="preserve">FEMA 8714.3: Rate not captured.</t>
  </si>
  <si>
    <t xml:space="preserve">VAC-JET-8712</t>
  </si>
  <si>
    <t xml:space="preserve">Sewer jetter (trailer)</t>
  </si>
  <si>
    <t xml:space="preserve">Jetter 12 GPM @ 3,000 psi, 150 gal</t>
  </si>
  <si>
    <t xml:space="preserve">Flow</t>
  </si>
  <si>
    <t xml:space="preserve">gpm</t>
  </si>
  <si>
    <t xml:space="preserve">8712</t>
  </si>
  <si>
    <t xml:space="preserve">FEMA 8712: Rate not captured. Fuel gal/hr derived (C): Net_HP x USACE fuel factor x load factor (Settings B11-B15).</t>
  </si>
  <si>
    <t xml:space="preserve">VAC-JET-8713</t>
  </si>
  <si>
    <t xml:space="preserve">Jetter 25 GPM @ 4,000 psi, 300-600 gal</t>
  </si>
  <si>
    <t xml:space="preserve">8713</t>
  </si>
  <si>
    <t xml:space="preserve">FEMA 8713: Rate not captured. Fuel gal/hr derived (C): Net_HP x USACE fuel factor x load factor (Settings B11-B15).</t>
  </si>
  <si>
    <t xml:space="preserve">SEWERCAM-1</t>
  </si>
  <si>
    <t xml:space="preserve">Sewer inspection</t>
  </si>
  <si>
    <t xml:space="preserve">Sewer camera truck</t>
  </si>
  <si>
    <t xml:space="preserve">8711.1</t>
  </si>
  <si>
    <t xml:space="preserve">FEMA 8711.1: Rate not captured.</t>
  </si>
  <si>
    <t xml:space="preserve">SEWERCAM-2</t>
  </si>
  <si>
    <t xml:space="preserve">Sewer camera (Aries Pathfinder)</t>
  </si>
  <si>
    <t xml:space="preserve">8711.2</t>
  </si>
  <si>
    <t xml:space="preserve">FEMA 8711.2: Rate not captured.</t>
  </si>
  <si>
    <t xml:space="preserve">WIRE-8943</t>
  </si>
  <si>
    <t xml:space="preserve">Wire / cable placement</t>
  </si>
  <si>
    <t xml:space="preserve">Puller/tensioner</t>
  </si>
  <si>
    <t xml:space="preserve">Underground wire puller 5,000 lb</t>
  </si>
  <si>
    <t xml:space="preserve">Tension/reel</t>
  </si>
  <si>
    <t xml:space="preserve">Lineman / Operator (per WD)</t>
  </si>
  <si>
    <t xml:space="preserve">8943</t>
  </si>
  <si>
    <t xml:space="preserve">FEMA 8943: Rate not captured.</t>
  </si>
  <si>
    <t xml:space="preserve">WIRE-8944</t>
  </si>
  <si>
    <t xml:space="preserve">Wire tensioner 8,000 lb reel</t>
  </si>
  <si>
    <t xml:space="preserve">8944</t>
  </si>
  <si>
    <t xml:space="preserve">FEMA 8944: Rate not captured.</t>
  </si>
  <si>
    <t xml:space="preserve">DERRICK-8670</t>
  </si>
  <si>
    <t xml:space="preserve">Digger derrick</t>
  </si>
  <si>
    <t xml:space="preserve">Hydraulic digger derrick</t>
  </si>
  <si>
    <t xml:space="preserve">Digger derrick (FEMA 8670)</t>
  </si>
  <si>
    <t xml:space="preserve">8670</t>
  </si>
  <si>
    <t xml:space="preserve">FEMA 8670: Rate not captured.</t>
  </si>
  <si>
    <t xml:space="preserve">DERRICK-8671</t>
  </si>
  <si>
    <t xml:space="preserve">Digger derrick (FEMA 8671)</t>
  </si>
  <si>
    <t xml:space="preserve">8671</t>
  </si>
  <si>
    <t xml:space="preserve">FEMA 8671: Rate not captured.</t>
  </si>
  <si>
    <t xml:space="preserve">TB-STL-8x12</t>
  </si>
  <si>
    <t xml:space="preserve">Trench box / shield</t>
  </si>
  <si>
    <t xml:space="preserve">Steel</t>
  </si>
  <si>
    <t xml:space="preserve">Steel trench box 8x12</t>
  </si>
  <si>
    <t xml:space="preserve">Height x length</t>
  </si>
  <si>
    <t xml:space="preserve">8x12</t>
  </si>
  <si>
    <t xml:space="preserve">UT-SHORING-DUR</t>
  </si>
  <si>
    <t xml:space="preserve">Depth rating not sourced. Required at 5 ft+ depth, 18 in above grade (URI page). Rent: Wheeler only.</t>
  </si>
  <si>
    <t xml:space="preserve">TB-STL-8x16</t>
  </si>
  <si>
    <t xml:space="preserve">Steel trench box 8x16</t>
  </si>
  <si>
    <t xml:space="preserve">8x16</t>
  </si>
  <si>
    <t xml:space="preserve">TB-STL-8x20</t>
  </si>
  <si>
    <t xml:space="preserve">Steel trench box 8x20</t>
  </si>
  <si>
    <t xml:space="preserve">8x20</t>
  </si>
  <si>
    <t xml:space="preserve">TB-STL-8x24</t>
  </si>
  <si>
    <t xml:space="preserve">Steel trench box 8x24</t>
  </si>
  <si>
    <t xml:space="preserve">8x24</t>
  </si>
  <si>
    <t xml:space="preserve">TB-STACK-4x12</t>
  </si>
  <si>
    <t xml:space="preserve">4 ft stacker 4x12</t>
  </si>
  <si>
    <t xml:space="preserve">4x12</t>
  </si>
  <si>
    <t xml:space="preserve">TB-STACK-4x24</t>
  </si>
  <si>
    <t xml:space="preserve">4 ft stacker 4x24</t>
  </si>
  <si>
    <t xml:space="preserve">4x24</t>
  </si>
  <si>
    <t xml:space="preserve">TB-MH-8x8</t>
  </si>
  <si>
    <t xml:space="preserve">Manhole box</t>
  </si>
  <si>
    <t xml:space="preserve">Manhole box 8x8</t>
  </si>
  <si>
    <t xml:space="preserve">8x8</t>
  </si>
  <si>
    <t xml:space="preserve">TB-MH-10x10</t>
  </si>
  <si>
    <t xml:space="preserve">Manhole box 10x10</t>
  </si>
  <si>
    <t xml:space="preserve">10x10</t>
  </si>
  <si>
    <t xml:space="preserve">TB-ALU-6x6</t>
  </si>
  <si>
    <t xml:space="preserve">Aluminum</t>
  </si>
  <si>
    <t xml:space="preserve">Aluminum trench shield 6x6</t>
  </si>
  <si>
    <t xml:space="preserve">6x6</t>
  </si>
  <si>
    <t xml:space="preserve">TB-ALU-8x12</t>
  </si>
  <si>
    <t xml:space="preserve">Aluminum trench shield 8x12</t>
  </si>
  <si>
    <t xml:space="preserve">TB-ALU-4x7</t>
  </si>
  <si>
    <t xml:space="preserve">Aluminum trench box 4x7</t>
  </si>
  <si>
    <t xml:space="preserve">4x7</t>
  </si>
  <si>
    <t xml:space="preserve">Rent: Burris only.</t>
  </si>
  <si>
    <t xml:space="preserve">PLATE-5x10</t>
  </si>
  <si>
    <t xml:space="preserve">Road plate / trench cover</t>
  </si>
  <si>
    <t xml:space="preserve">Steel trench plate 5x10</t>
  </si>
  <si>
    <t xml:space="preserve">5x10</t>
  </si>
  <si>
    <t xml:space="preserve">Rent: Wheeler only; thickness not stated.</t>
  </si>
  <si>
    <t xml:space="preserve">PLATE-8x12</t>
  </si>
  <si>
    <t xml:space="preserve">Steel trench plate 8x12</t>
  </si>
  <si>
    <t xml:space="preserve">PLATE-8x20</t>
  </si>
  <si>
    <t xml:space="preserve">Steel trench plate 8x20</t>
  </si>
  <si>
    <t xml:space="preserve">SHORE-HYD</t>
  </si>
  <si>
    <t xml:space="preserve">Shoring</t>
  </si>
  <si>
    <t xml:space="preserve">Hydraulic vertical shores / manhole braces</t>
  </si>
  <si>
    <t xml:space="preserve">Category from URI; no rates or size classes.</t>
  </si>
  <si>
    <t xml:space="preserve">SHORE-SLIDERAIL</t>
  </si>
  <si>
    <t xml:space="preserve">Slide-rail system</t>
  </si>
  <si>
    <t xml:space="preserve">SHORE-ARCH</t>
  </si>
  <si>
    <t xml:space="preserve">Arch spreaders</t>
  </si>
  <si>
    <t xml:space="preserve">Arch spreaders (22-120 in)</t>
  </si>
  <si>
    <t xml:space="preserve">FD-VIBRO-EXC</t>
  </si>
  <si>
    <t xml:space="preserve">Foundations &amp; piling</t>
  </si>
  <si>
    <t xml:space="preserve">Vibratory hammer</t>
  </si>
  <si>
    <t xml:space="preserve">Excavator-mounted</t>
  </si>
  <si>
    <t xml:space="preserve">Movax SP-60 sheet pile driver (28-32 t head, 178 hp)</t>
  </si>
  <si>
    <t xml:space="preserve">Head class</t>
  </si>
  <si>
    <t xml:space="preserve">Movax SP-60</t>
  </si>
  <si>
    <t xml:space="preserve">8672</t>
  </si>
  <si>
    <t xml:space="preserve">Owned: USACE standby = 0.5 x DEPR + FCCM, max 40 hr/wk [USACE-EP]; with only an all-in rate use Caltrans delay factor x rate, max 8 hr/day &amp; 40 hr/wk [CALT-2627]: HAMMR factor 0.21. Rental: accrues by calendar period (no idle discount). FEMA: not eligible unless intermittent use [FEMA-PG].</t>
  </si>
  <si>
    <t xml:space="preserve">FD-SHEET</t>
  </si>
  <si>
    <t xml:space="preserve">Carrier excavator priced separately. FEMA 8672: Rate not captured. Fuel gal/hr derived (C): Net_HP x USACE fuel factor x load factor (Settings B11-B15).</t>
  </si>
  <si>
    <t xml:space="preserve">FD-VIBRO-NF-S</t>
  </si>
  <si>
    <t xml:space="preserve">Crane-suspended</t>
  </si>
  <si>
    <t xml:space="preserve">Normal-frequency vibro, small (ICE 55NF class)</t>
  </si>
  <si>
    <t xml:space="preserve">Eccentric moment</t>
  </si>
  <si>
    <t xml:space="preserve">kg-m</t>
  </si>
  <si>
    <t xml:space="preserve">ICE 55NF class</t>
  </si>
  <si>
    <t xml:space="preserve">FD-SHEET,FD-PILE-DRIVE</t>
  </si>
  <si>
    <t xml:space="preserve">Dieseko range 14-500 kgm, 1,400-1,700 rpm. Power pack and crane priced separately.</t>
  </si>
  <si>
    <t xml:space="preserve">FD-VIBRO-NF-M</t>
  </si>
  <si>
    <t xml:space="preserve">Normal-frequency vibro, medium (ICE 170NF / PVE 150M class)</t>
  </si>
  <si>
    <t xml:space="preserve">ICE 170NF / PVE 150M class</t>
  </si>
  <si>
    <t xml:space="preserve">FD-VIBRO-NF-L</t>
  </si>
  <si>
    <t xml:space="preserve">Normal-frequency vibro, large (PVE 500MU class)</t>
  </si>
  <si>
    <t xml:space="preserve">PVE 500MU class</t>
  </si>
  <si>
    <t xml:space="preserve">FD-HAMMER-DIESEL</t>
  </si>
  <si>
    <t xml:space="preserve">Impact pile hammer</t>
  </si>
  <si>
    <t xml:space="preserve">Diesel impact hammer</t>
  </si>
  <si>
    <t xml:space="preserve">Rated energy</t>
  </si>
  <si>
    <t xml:space="preserve">ft-lb</t>
  </si>
  <si>
    <t xml:space="preserve">FD-PILE-DRIVE</t>
  </si>
  <si>
    <t xml:space="preserve">No energy-class breakpoints sourced.</t>
  </si>
  <si>
    <t xml:space="preserve">FD-HAMMER-HYD</t>
  </si>
  <si>
    <t xml:space="preserve">Hydraulic impact hammer</t>
  </si>
  <si>
    <t xml:space="preserve">FD-HAMMER-AIR</t>
  </si>
  <si>
    <t xml:space="preserve">Air/steam</t>
  </si>
  <si>
    <t xml:space="preserve">Air/steam (drop) hammer (ram 500-50,000 lb)</t>
  </si>
  <si>
    <t xml:space="preserve">FD-LEADS-FIX-24</t>
  </si>
  <si>
    <t xml:space="preserve">Pile leads</t>
  </si>
  <si>
    <t xml:space="preserve">Fixed</t>
  </si>
  <si>
    <t xml:space="preserve">Fixed leads 0-24 ft</t>
  </si>
  <si>
    <t xml:space="preserve">Lead height (max)</t>
  </si>
  <si>
    <t xml:space="preserve">Caltrans LEADS band</t>
  </si>
  <si>
    <t xml:space="preserve">Owned: USACE standby = 0.5 x DEPR + FCCM, max 40 hr/wk [USACE-EP]; with only an all-in rate use Caltrans delay factor x rate, max 8 hr/day &amp; 40 hr/wk [CALT-2627]: LEADS factor 0.45. Rental: accrues by calendar period (no idle discount). FEMA: not eligible unless intermittent use [FEMA-PG].</t>
  </si>
  <si>
    <t xml:space="preserve">FD-LEADS-FIX-49</t>
  </si>
  <si>
    <t xml:space="preserve">Fixed leads 25-49 ft</t>
  </si>
  <si>
    <t xml:space="preserve">FD-LEADS-FIX-74</t>
  </si>
  <si>
    <t xml:space="preserve">Fixed leads 50-74 ft</t>
  </si>
  <si>
    <t xml:space="preserve">FD-LEADS-SW-20</t>
  </si>
  <si>
    <t xml:space="preserve">Swinging</t>
  </si>
  <si>
    <t xml:space="preserve">Swinging leads 0-20 ft</t>
  </si>
  <si>
    <t xml:space="preserve">FD-LEADS-SW-30</t>
  </si>
  <si>
    <t xml:space="preserve">Swinging leads 21-30 ft</t>
  </si>
  <si>
    <t xml:space="preserve">FD-LEADS-SW-50</t>
  </si>
  <si>
    <t xml:space="preserve">Swinging leads 31-50 ft</t>
  </si>
  <si>
    <t xml:space="preserve">FD-DRILL-KELLY</t>
  </si>
  <si>
    <t xml:space="preserve">Drill rig (drilled shaft)</t>
  </si>
  <si>
    <t xml:space="preserve">Kelly / caisson rig</t>
  </si>
  <si>
    <t xml:space="preserve">Drilled shaft rig (class not sourced)</t>
  </si>
  <si>
    <t xml:space="preserve">Torque</t>
  </si>
  <si>
    <t xml:space="preserve">FD-SHAFT-SOIL,FD-SHAFT-ROCK</t>
  </si>
  <si>
    <t xml:space="preserve">FD-AUGER-TRK-24</t>
  </si>
  <si>
    <t xml:space="preserve">Auger (truck-mounted)</t>
  </si>
  <si>
    <t xml:space="preserve">Truck-mounted auger</t>
  </si>
  <si>
    <t xml:space="preserve">24 in truck-mounted auger (with drop hammer)</t>
  </si>
  <si>
    <t xml:space="preserve">Auger diameter</t>
  </si>
  <si>
    <t xml:space="preserve">FEMA 8063</t>
  </si>
  <si>
    <t xml:space="preserve">8063</t>
  </si>
  <si>
    <t xml:space="preserve">FEMA 8063: Rate not captured.</t>
  </si>
  <si>
    <t xml:space="preserve">FD-POSTDRIVER</t>
  </si>
  <si>
    <t xml:space="preserve">Post driver</t>
  </si>
  <si>
    <t xml:space="preserve">Hydraulic</t>
  </si>
  <si>
    <t xml:space="preserve">Hydraulic post driver</t>
  </si>
  <si>
    <t xml:space="preserve">post</t>
  </si>
  <si>
    <t xml:space="preserve">FEMA 8064</t>
  </si>
  <si>
    <t xml:space="preserve">8064</t>
  </si>
  <si>
    <t xml:space="preserve">FEMA 8064: Rate not captured.</t>
  </si>
  <si>
    <t xml:space="preserve">AUG-8060</t>
  </si>
  <si>
    <t xml:space="preserve">Earth auger</t>
  </si>
  <si>
    <t xml:space="preserve">One-man wheel-mount</t>
  </si>
  <si>
    <t xml:space="preserve">One-man wheel-mount auger 16 in</t>
  </si>
  <si>
    <t xml:space="preserve">8060</t>
  </si>
  <si>
    <t xml:space="preserve">FEMA 8060: Rate not captured.</t>
  </si>
  <si>
    <t xml:space="preserve">AUG-8061</t>
  </si>
  <si>
    <t xml:space="preserve">Portable earth</t>
  </si>
  <si>
    <t xml:space="preserve">Portable earth auger 18 in</t>
  </si>
  <si>
    <t xml:space="preserve">8061</t>
  </si>
  <si>
    <t xml:space="preserve">FEMA 8061: Rate not captured.</t>
  </si>
  <si>
    <t xml:space="preserve">AUG-8062</t>
  </si>
  <si>
    <t xml:space="preserve">Tractor-mounted TLB</t>
  </si>
  <si>
    <t xml:space="preserve">Tractor-mounted TLB auger 36 in</t>
  </si>
  <si>
    <t xml:space="preserve">8062</t>
  </si>
  <si>
    <t xml:space="preserve">FEMA 8062: Rate not captured.</t>
  </si>
  <si>
    <t xml:space="preserve">DM-UHD-330</t>
  </si>
  <si>
    <t xml:space="preserve">Demolition &amp; attachments</t>
  </si>
  <si>
    <t xml:space="preserve">High-reach demolition excavator (UHD)</t>
  </si>
  <si>
    <t xml:space="preserve">Ultra-high demolition</t>
  </si>
  <si>
    <t xml:space="preserve">330 UHD (66.8 ft pin)</t>
  </si>
  <si>
    <t xml:space="preserve">Max pin height</t>
  </si>
  <si>
    <t xml:space="preserve">Cat 330 UHD</t>
  </si>
  <si>
    <t xml:space="preserve">DM-BLDG</t>
  </si>
  <si>
    <t xml:space="preserve">DM-UHD-340</t>
  </si>
  <si>
    <t xml:space="preserve">340 UHD (72.2 ft pin)</t>
  </si>
  <si>
    <t xml:space="preserve">Cat 340 UHD</t>
  </si>
  <si>
    <t xml:space="preserve">DM-UHD-352</t>
  </si>
  <si>
    <t xml:space="preserve">352 UHD (90.8 ft pin)</t>
  </si>
  <si>
    <t xml:space="preserve">Cat 352 UHD</t>
  </si>
  <si>
    <t xml:space="preserve">DM-SB-340</t>
  </si>
  <si>
    <t xml:space="preserve">Demolition excavator, straight boom</t>
  </si>
  <si>
    <t xml:space="preserve">Straight boom</t>
  </si>
  <si>
    <t xml:space="preserve">340 Straight Boom (39.4 ft)</t>
  </si>
  <si>
    <t xml:space="preserve">Cat 340 Straight Boom</t>
  </si>
  <si>
    <t xml:space="preserve">DM-SB-352</t>
  </si>
  <si>
    <t xml:space="preserve">352 Straight Boom (42.2 ft)</t>
  </si>
  <si>
    <t xml:space="preserve">Cat 352 Straight Boom</t>
  </si>
  <si>
    <t xml:space="preserve">DM-ROBOT</t>
  </si>
  <si>
    <t xml:space="preserve">Demolition robot</t>
  </si>
  <si>
    <t xml:space="preserve">Remote</t>
  </si>
  <si>
    <t xml:space="preserve">Demolition robot (Brokk/Husqvarna type)</t>
  </si>
  <si>
    <t xml:space="preserve">Unsourced category.</t>
  </si>
  <si>
    <t xml:space="preserve">AT-BRK-MINI</t>
  </si>
  <si>
    <t xml:space="preserve">Hydraulic breaker</t>
  </si>
  <si>
    <t xml:space="preserve">Hydraulic breaker, mini-ex/SSL (~500-1,000 ft-lb)</t>
  </si>
  <si>
    <t xml:space="preserve">W25;B25;C25;A26;N25;R25</t>
  </si>
  <si>
    <t xml:space="preserve">DM-PAVE-CONC</t>
  </si>
  <si>
    <t xml:space="preserve">Attachments are generally rented only with the vendor's carrier; carrier priced separately. Rounded half-up (Excel rule) in revision; may differ by 1 from the notes table, which used banker's rounding. Rent: Median of 6 sources (W 393/1139/3303; B 280/840/2520; C 325/775/1900; A 338/1025/2375; N 190/665/1665; R 205/825/2375).</t>
  </si>
  <si>
    <t xml:space="preserve">AT-BRK-BH</t>
  </si>
  <si>
    <t xml:space="preserve">Hydraulic breaker, backhoe</t>
  </si>
  <si>
    <t xml:space="preserve">Attachments are generally rented only with the vendor's carrier; carrier priced separately. Rent: Wheeler only.</t>
  </si>
  <si>
    <t xml:space="preserve">AT-BRK-13T</t>
  </si>
  <si>
    <t xml:space="preserve">Hydraulic breaker for 13-17 t excavator</t>
  </si>
  <si>
    <t xml:space="preserve">Hydraulic breaker for 13-17 t excavator (MB-1000)</t>
  </si>
  <si>
    <t xml:space="preserve">Attachments are generally rented only with the vendor's carrier; carrier priced separately. Rent: Columbus MB-1000 (PC138/170) only.</t>
  </si>
  <si>
    <t xml:space="preserve">AT-BRK-20T</t>
  </si>
  <si>
    <t xml:space="preserve">Hydraulic breaker for 20-30 t excavator</t>
  </si>
  <si>
    <t xml:space="preserve">Attachments are generally rented only with the vendor's carrier; carrier priced separately. Rent: Median of 3 sources (W 1241/3600/10440; C 1050/2575/6400; A 5-6K lb 800/2000/5500). Carrier priced separately.</t>
  </si>
  <si>
    <t xml:space="preserve">AT-BRK-36T</t>
  </si>
  <si>
    <t xml:space="preserve">Hydraulic breaker for ~36 t excavator</t>
  </si>
  <si>
    <t xml:space="preserve">Hydraulic breaker for ~36 t excavator (HB-3100)</t>
  </si>
  <si>
    <t xml:space="preserve">Attachments are generally rented only with the vendor's carrier; carrier priced separately. Rent: Columbus HB-3100 (PC360) only.</t>
  </si>
  <si>
    <t xml:space="preserve">AT-BRK-10KLB</t>
  </si>
  <si>
    <t xml:space="preserve">Hydraulic breaker ~10</t>
  </si>
  <si>
    <t xml:space="preserve">Hydraulic breaker ~10,000 lb hammer</t>
  </si>
  <si>
    <t xml:space="preserve">Attachments are generally rented only with the vendor's carrier; carrier priced separately. Rent: Ahearn only.</t>
  </si>
  <si>
    <t xml:space="preserve">AT-BRK-15KLB</t>
  </si>
  <si>
    <t xml:space="preserve">Hydraulic breaker ~15</t>
  </si>
  <si>
    <t xml:space="preserve">Hydraulic breaker ~15,000 lb hammer</t>
  </si>
  <si>
    <t xml:space="preserve">AT-AUGER-SSL</t>
  </si>
  <si>
    <t xml:space="preserve">Skid-steer auger drive</t>
  </si>
  <si>
    <t xml:space="preserve">Skid-steer auger drive (bits extra)</t>
  </si>
  <si>
    <t xml:space="preserve">W25;R25;A26;N25</t>
  </si>
  <si>
    <t xml:space="preserve">Attachments are generally rented only with the vendor's carrier; carrier priced separately. Rounded half-up (Excel rule) in revision; may differ by 1 from the notes table, which used banker's rounding. Rent: Median of 4 sources (W 98/285/826; R 175/625/1825; A 250/500/1000; N 80/280/745). RTL bit $50/225/975 each.</t>
  </si>
  <si>
    <t xml:space="preserve">AT-AUGER-MINI</t>
  </si>
  <si>
    <t xml:space="preserve">Mini-ex auger with 1 bit</t>
  </si>
  <si>
    <t xml:space="preserve">AT-GRAPPLE-SSL</t>
  </si>
  <si>
    <t xml:space="preserve">Skid-steer grapple bucket</t>
  </si>
  <si>
    <t xml:space="preserve">Attachments are generally rented only with the vendor's carrier; carrier priced separately. Rounded half-up (Excel rule) in revision; may differ by 1 from the notes table, which used banker's rounding. Rent: Median of 4 sources (W 131/381/1105; R 195/700/1995; A 200/500/1000; N 85/295/750).</t>
  </si>
  <si>
    <t xml:space="preserve">AT-GRAPPLE-20T</t>
  </si>
  <si>
    <t xml:space="preserve">Box grapple</t>
  </si>
  <si>
    <t xml:space="preserve">Box grapple, 20-24 t excavator</t>
  </si>
  <si>
    <t xml:space="preserve">Attachments are generally rented only with the vendor's carrier; carrier priced separately. Rent: Columbus PC210/238 only.</t>
  </si>
  <si>
    <t xml:space="preserve">AT-GRAPPLE-36T</t>
  </si>
  <si>
    <t xml:space="preserve">Box grapple, ~36 t excavator</t>
  </si>
  <si>
    <t xml:space="preserve">Attachments are generally rented only with the vendor's carrier; carrier priced separately. Rent: Columbus PC360 only.</t>
  </si>
  <si>
    <t xml:space="preserve">AT-THUMB-MINI</t>
  </si>
  <si>
    <t xml:space="preserve">Mini-ex thumb</t>
  </si>
  <si>
    <t xml:space="preserve">Attachments are generally rented only with the vendor's carrier; carrier priced separately. Rent: Burris only.</t>
  </si>
  <si>
    <t xml:space="preserve">AT-THUMB-30T</t>
  </si>
  <si>
    <t xml:space="preserve">Excavator thumb</t>
  </si>
  <si>
    <t xml:space="preserve">Excavator thumb (320-340)</t>
  </si>
  <si>
    <t xml:space="preserve">AT-COMPWHEEL-24</t>
  </si>
  <si>
    <t xml:space="preserve">24 in compaction wheel</t>
  </si>
  <si>
    <t xml:space="preserve">24 in compaction wheel (13-24 t carrier)</t>
  </si>
  <si>
    <t xml:space="preserve">Attachments are generally rented only with the vendor's carrier; carrier priced separately. Rent: Columbus only.</t>
  </si>
  <si>
    <t xml:space="preserve">AT-PLATECOMP-EXC</t>
  </si>
  <si>
    <t xml:space="preserve">Excavator hydraulic plate compactor</t>
  </si>
  <si>
    <t xml:space="preserve">C25;W25</t>
  </si>
  <si>
    <t xml:space="preserve">Attachments are generally rented only with the vendor's carrier; carrier priced separately. Rent: Mean of 2 sources: C HC-350/HC-850 avg 287.5/700/1750 (HC-350 250/600/1500; HC-850 325/800/2000); W 570/1653/4796. Half-up rounding.</t>
  </si>
  <si>
    <t xml:space="preserve">AT-DRUMCUTTER</t>
  </si>
  <si>
    <t xml:space="preserve">Drum cutter</t>
  </si>
  <si>
    <t xml:space="preserve">Drum cutter (ER-650)</t>
  </si>
  <si>
    <t xml:space="preserve">AT-TILTBUCKET-10K</t>
  </si>
  <si>
    <t xml:space="preserve">Tilt grade bucket</t>
  </si>
  <si>
    <t xml:space="preserve">Tilt grade bucket, 8-10K class</t>
  </si>
  <si>
    <t xml:space="preserve">AT-TILTBUCKET-20K</t>
  </si>
  <si>
    <t xml:space="preserve">Tilt grade bucket, 20K+ class</t>
  </si>
  <si>
    <t xml:space="preserve">AT-FORKS-WL</t>
  </si>
  <si>
    <t xml:space="preserve">Wheel-loader forks</t>
  </si>
  <si>
    <t xml:space="preserve">AT-FORKS-SSL</t>
  </si>
  <si>
    <t xml:space="preserve">SSL pallet forks</t>
  </si>
  <si>
    <t xml:space="preserve">Attachments are generally rented only with the vendor's carrier; carrier priced separately. Rent: RTL only.</t>
  </si>
  <si>
    <t xml:space="preserve">AT-GPS-DOZER</t>
  </si>
  <si>
    <t xml:space="preserve">GPS/machine-control kit for dozer</t>
  </si>
  <si>
    <t xml:space="preserve">BRK-HAND-8419</t>
  </si>
  <si>
    <t xml:space="preserve">Pneumatic hand breaker</t>
  </si>
  <si>
    <t xml:space="preserve">Hand-held</t>
  </si>
  <si>
    <t xml:space="preserve">Hand-held pavement breaker 25-30 lb</t>
  </si>
  <si>
    <t xml:space="preserve">Tool weight</t>
  </si>
  <si>
    <t xml:space="preserve">25-30</t>
  </si>
  <si>
    <t xml:space="preserve">none (air)</t>
  </si>
  <si>
    <t xml:space="preserve">8419</t>
  </si>
  <si>
    <t xml:space="preserve">Needs compressor (AIR rows). FEMA 8419: Rate not captured.</t>
  </si>
  <si>
    <t xml:space="preserve">BRK-HAND-8420</t>
  </si>
  <si>
    <t xml:space="preserve">Hand-held pavement breaker 80-90 lb</t>
  </si>
  <si>
    <t xml:space="preserve">80-90</t>
  </si>
  <si>
    <t xml:space="preserve">8420</t>
  </si>
  <si>
    <t xml:space="preserve">Needs compressor (AIR rows). FEMA 8420: Rate not captured.</t>
  </si>
  <si>
    <t xml:space="preserve">BRK-HAND-8517</t>
  </si>
  <si>
    <t xml:space="preserve">Jackhammer dry 25 lb</t>
  </si>
  <si>
    <t xml:space="preserve">25</t>
  </si>
  <si>
    <t xml:space="preserve">8517</t>
  </si>
  <si>
    <t xml:space="preserve">Needs compressor (AIR rows). FEMA 8517: Rate not captured.</t>
  </si>
  <si>
    <t xml:space="preserve">BRK-HAND-8518</t>
  </si>
  <si>
    <t xml:space="preserve">Jackhammer wet 30 lb</t>
  </si>
  <si>
    <t xml:space="preserve">8518</t>
  </si>
  <si>
    <t xml:space="preserve">Needs compressor (AIR rows). FEMA 8518: Rate not captured.</t>
  </si>
  <si>
    <t xml:space="preserve">LC-CHIP-8201</t>
  </si>
  <si>
    <t xml:space="preserve">Land clearing &amp; forestry</t>
  </si>
  <si>
    <t xml:space="preserve">Brush chipper</t>
  </si>
  <si>
    <t xml:space="preserve">Towed drum chipper</t>
  </si>
  <si>
    <t xml:space="preserve">Brush chipper 12 in (Vermeer BC1000XL)</t>
  </si>
  <si>
    <t xml:space="preserve">Vermeer BC1000XL</t>
  </si>
  <si>
    <t xml:space="preserve">8201</t>
  </si>
  <si>
    <t xml:space="preserve">EW-CLR-CHIP</t>
  </si>
  <si>
    <t xml:space="preserve">LC-CHIP-8202</t>
  </si>
  <si>
    <t xml:space="preserve">Brush chipper 15 in (Vermeer BC1500)</t>
  </si>
  <si>
    <t xml:space="preserve">Vermeer BC1500</t>
  </si>
  <si>
    <t xml:space="preserve">8202</t>
  </si>
  <si>
    <t xml:space="preserve">LC-CHIP-8203</t>
  </si>
  <si>
    <t xml:space="preserve">Brush chipper 19 in (Vermeer BC1800XL)</t>
  </si>
  <si>
    <t xml:space="preserve">Vermeer BC1800XL</t>
  </si>
  <si>
    <t xml:space="preserve">8203</t>
  </si>
  <si>
    <t xml:space="preserve">FEMA: 19 in rate below the 15 in rate. Ex-fuel (C) = FEMA incl-fuel rate - Fuel_gal_hr_med x diesel back-out price (Settings B5).</t>
  </si>
  <si>
    <t xml:space="preserve">FEMA value flagged: 19 in below 15 in; verify; Needs fuel gal/hr; Needs rate (rental); FEMA ⚠ value kept as published; verify vs PDF</t>
  </si>
  <si>
    <t xml:space="preserve">LC-CHIP-8200</t>
  </si>
  <si>
    <t xml:space="preserve">Vermeer BC900XL (~9 in)</t>
  </si>
  <si>
    <t xml:space="preserve">Vermeer BC900XL</t>
  </si>
  <si>
    <t xml:space="preserve">8200</t>
  </si>
  <si>
    <t xml:space="preserve">FEMA 8200: Rate not captured.</t>
  </si>
  <si>
    <t xml:space="preserve">LC-RECYCLER-2460</t>
  </si>
  <si>
    <t xml:space="preserve">Whole-tree chipper / recycler</t>
  </si>
  <si>
    <t xml:space="preserve">Track</t>
  </si>
  <si>
    <t xml:space="preserve">Bandit 2460T (560 hp)</t>
  </si>
  <si>
    <t xml:space="preserve">Bandit 2460T</t>
  </si>
  <si>
    <t xml:space="preserve">8823</t>
  </si>
  <si>
    <t xml:space="preserve">LC-GRIND-8621</t>
  </si>
  <si>
    <t xml:space="preserve">Grinder</t>
  </si>
  <si>
    <t xml:space="preserve">Tub/horizontal</t>
  </si>
  <si>
    <t xml:space="preserve">Tub grinder up to 40 t/hr (Morbark 1000)</t>
  </si>
  <si>
    <t xml:space="preserve">Throughput</t>
  </si>
  <si>
    <t xml:space="preserve">40</t>
  </si>
  <si>
    <t xml:space="preserve">t/hr</t>
  </si>
  <si>
    <t xml:space="preserve">Morbark 1000</t>
  </si>
  <si>
    <t xml:space="preserve">8621</t>
  </si>
  <si>
    <t xml:space="preserve">FEMA 8621: Rate not captured.</t>
  </si>
  <si>
    <t xml:space="preserve">LC-GRIND-8622</t>
  </si>
  <si>
    <t xml:space="preserve">Tub grinder up to 80 t/hr (Morbark 1300)</t>
  </si>
  <si>
    <t xml:space="preserve">80</t>
  </si>
  <si>
    <t xml:space="preserve">Morbark 1300</t>
  </si>
  <si>
    <t xml:space="preserve">8622</t>
  </si>
  <si>
    <t xml:space="preserve">FEMA 8622: Rate not captured.</t>
  </si>
  <si>
    <t xml:space="preserve">LC-GRIND-8623</t>
  </si>
  <si>
    <t xml:space="preserve">Tub grinder up to 190 t/hr (Morbark 1600)</t>
  </si>
  <si>
    <t xml:space="preserve">190</t>
  </si>
  <si>
    <t xml:space="preserve">Morbark 1600</t>
  </si>
  <si>
    <t xml:space="preserve">8623</t>
  </si>
  <si>
    <t xml:space="preserve">FEMA 8623: Rate not captured.</t>
  </si>
  <si>
    <t xml:space="preserve">LC-GRIND-8627</t>
  </si>
  <si>
    <t xml:space="preserve">Horizontal grinder (Vermeer HG6000)</t>
  </si>
  <si>
    <t xml:space="preserve">HG6000</t>
  </si>
  <si>
    <t xml:space="preserve">Vermeer HG6000</t>
  </si>
  <si>
    <t xml:space="preserve">8627</t>
  </si>
  <si>
    <t xml:space="preserve">FEMA 8627: Rate not captured.</t>
  </si>
  <si>
    <t xml:space="preserve">LC-STUMP-23</t>
  </si>
  <si>
    <t xml:space="preserve">Stump grinder</t>
  </si>
  <si>
    <t xml:space="preserve">Self-propelled</t>
  </si>
  <si>
    <t xml:space="preserve">23 in cutter wheel</t>
  </si>
  <si>
    <t xml:space="preserve">Cutter wheel</t>
  </si>
  <si>
    <t xml:space="preserve">Vermeer SC852</t>
  </si>
  <si>
    <t xml:space="preserve">8628</t>
  </si>
  <si>
    <t xml:space="preserve">FEMA 8628: Rate not captured.</t>
  </si>
  <si>
    <t xml:space="preserve">LC-STUMP-26</t>
  </si>
  <si>
    <t xml:space="preserve">26 in cutter wheel</t>
  </si>
  <si>
    <t xml:space="preserve">Vermeer SC1052</t>
  </si>
  <si>
    <t xml:space="preserve">8629</t>
  </si>
  <si>
    <t xml:space="preserve">FEMA 8629: Rate not captured.</t>
  </si>
  <si>
    <t xml:space="preserve">LC-BUSHHOG-8068</t>
  </si>
  <si>
    <t xml:space="preserve">Rotary cutter (bush hog)</t>
  </si>
  <si>
    <t xml:space="preserve">Tractor-towed</t>
  </si>
  <si>
    <t xml:space="preserve">Bush hog 72 in</t>
  </si>
  <si>
    <t xml:space="preserve">Cut width</t>
  </si>
  <si>
    <t xml:space="preserve">72</t>
  </si>
  <si>
    <t xml:space="preserve">8068</t>
  </si>
  <si>
    <t xml:space="preserve">FEMA 8068: Rate not captured.</t>
  </si>
  <si>
    <t xml:space="preserve">LC-BUSHHOG-8069</t>
  </si>
  <si>
    <t xml:space="preserve">Bush hog 12 ft</t>
  </si>
  <si>
    <t xml:space="preserve">12</t>
  </si>
  <si>
    <t xml:space="preserve">8069</t>
  </si>
  <si>
    <t xml:space="preserve">FEMA 8069: Rate not captured.</t>
  </si>
  <si>
    <t xml:space="preserve">LC-BUSHHOG-8069-1</t>
  </si>
  <si>
    <t xml:space="preserve">Bush hog 85 in</t>
  </si>
  <si>
    <t xml:space="preserve">85</t>
  </si>
  <si>
    <t xml:space="preserve">8069.1</t>
  </si>
  <si>
    <t xml:space="preserve">FEMA 8069.1: Rate not captured.</t>
  </si>
  <si>
    <t xml:space="preserve">LC-MULCH-D1</t>
  </si>
  <si>
    <t xml:space="preserve">Mulching dozer</t>
  </si>
  <si>
    <t xml:space="preserve">Dedicated mulcher</t>
  </si>
  <si>
    <t xml:space="preserve">Cat D1 Mulcher (104 hp)</t>
  </si>
  <si>
    <t xml:space="preserve">Cat D1 Mulcher</t>
  </si>
  <si>
    <t xml:space="preserve">LC-8195</t>
  </si>
  <si>
    <t xml:space="preserve">Wheel mulcher</t>
  </si>
  <si>
    <t xml:space="preserve">Forestry</t>
  </si>
  <si>
    <t xml:space="preserve">Wheel mulcher (Barko 930B)</t>
  </si>
  <si>
    <t xml:space="preserve">8195</t>
  </si>
  <si>
    <t xml:space="preserve">FEMA 8195: Rate not captured.</t>
  </si>
  <si>
    <t xml:space="preserve">LC-8198</t>
  </si>
  <si>
    <t xml:space="preserve">Feller buncher</t>
  </si>
  <si>
    <t xml:space="preserve">Feller buncher (Cat 511)</t>
  </si>
  <si>
    <t xml:space="preserve">8198</t>
  </si>
  <si>
    <t xml:space="preserve">FEMA 8198: Rate not captured.</t>
  </si>
  <si>
    <t xml:space="preserve">LC-8824</t>
  </si>
  <si>
    <t xml:space="preserve">Log skidder</t>
  </si>
  <si>
    <t xml:space="preserve">Log skidder 237 hp</t>
  </si>
  <si>
    <t xml:space="preserve">8824</t>
  </si>
  <si>
    <t xml:space="preserve">FEMA 8824: Rate not captured.</t>
  </si>
  <si>
    <t xml:space="preserve">LC-8825</t>
  </si>
  <si>
    <t xml:space="preserve">Log skidder 300 hp</t>
  </si>
  <si>
    <t xml:space="preserve">8825</t>
  </si>
  <si>
    <t xml:space="preserve">FEMA 8825: Rate not captured.</t>
  </si>
  <si>
    <t xml:space="preserve">LC-8654</t>
  </si>
  <si>
    <t xml:space="preserve">Air curtain destructor / trench burner</t>
  </si>
  <si>
    <t xml:space="preserve">8654</t>
  </si>
  <si>
    <t xml:space="preserve">FEMA 8654: Rate not captured.</t>
  </si>
  <si>
    <t xml:space="preserve">AIR-41</t>
  </si>
  <si>
    <t xml:space="preserve">Air &amp; power</t>
  </si>
  <si>
    <t xml:space="preserve">Air compressor</t>
  </si>
  <si>
    <t xml:space="preserve">Tank-mounted</t>
  </si>
  <si>
    <t xml:space="preserve">41 CFM</t>
  </si>
  <si>
    <t xml:space="preserve">Free air delivery</t>
  </si>
  <si>
    <t xml:space="preserve">CFM @100 psi</t>
  </si>
  <si>
    <t xml:space="preserve">8010</t>
  </si>
  <si>
    <t xml:space="preserve">Owned: USACE standby = 0.5 x DEPR + FCCM, max 40 hr/wk [USACE-EP]; with only an all-in rate use Caltrans delay factor x rate, max 8 hr/day &amp; 40 hr/wk [CALT-2627]: AIRCP factor 0.14 (book) / 0.13 (interim). Rental: accrues by calendar period (no idle discount). FEMA: not eligible unless intermittent use [FEMA-PG].</t>
  </si>
  <si>
    <t xml:space="preserve">SP-AIR-DUR</t>
  </si>
  <si>
    <t xml:space="preserve">Duration-priced (tie to the tool-using activity). No compressor gal/hr in notes; HP not captured so HP method not applicable. FEMA: Tank-mounted. Ex-fuel = incl-fuel rate (no liquid fuel to back out).</t>
  </si>
  <si>
    <t xml:space="preserve">AIR-100</t>
  </si>
  <si>
    <t xml:space="preserve">Towable</t>
  </si>
  <si>
    <t xml:space="preserve">103 CFM</t>
  </si>
  <si>
    <t xml:space="preserve">8011</t>
  </si>
  <si>
    <t xml:space="preserve">Duration-priced (tie to the tool-using activity). No compressor gal/hr in notes; HP not captured so HP method not applicable. FEMA: Multiquip DIS100SSK4F. Ex-fuel (C) = FEMA incl-fuel rate - Fuel_gal_hr_med x diesel back-out price (Settings B5).</t>
  </si>
  <si>
    <t xml:space="preserve">AIR-130</t>
  </si>
  <si>
    <t xml:space="preserve">130 CFM</t>
  </si>
  <si>
    <t xml:space="preserve">8012</t>
  </si>
  <si>
    <t xml:space="preserve">Duration-priced (tie to the tool-using activity). No compressor gal/hr in notes; HP not captured so HP method not applicable. FEMA: 130 CFM ($27.71) above 175 CFM ($26.29). Ex-fuel (C) = FEMA incl-fuel rate - Fuel_gal_hr_med x diesel back-out price (Settings B5).</t>
  </si>
  <si>
    <t xml:space="preserve">Needs fuel gal/hr; FEMA value flagged; Needs rate (rental); FEMA ⚠ value kept as published; verify vs PDF</t>
  </si>
  <si>
    <t xml:space="preserve">AIR-185</t>
  </si>
  <si>
    <t xml:space="preserve">185 CFM</t>
  </si>
  <si>
    <t xml:space="preserve">W25;B25;N25;RENTD</t>
  </si>
  <si>
    <t xml:space="preserve">8013</t>
  </si>
  <si>
    <t xml:space="preserve">Sullair 185 (Cat) 2.8; Kubota 2.7; Doosan P185 ~2.8 derived gal/hr at full load = high; med = 0.60 x full and low = 0.50 x full (assumed 50-70% jobsite load, not published) [COMP-SHEETS]</t>
  </si>
  <si>
    <t xml:space="preserve">Duration-priced (tie to the tool-using activity). No compressor gal/hr in notes; HP not captured so HP method not applicable. Rounded half-up (Excel rule) in revision; may differ by 1 from the notes table, which used banker's rounding. Rent: Median of 4 sources (W 268/778/2255; B 160/480/1440; N 105/365/850; rentd mid 90/308/816). FEMA 8013 is 175 CFM. FEMA: Grimmer-Schmidt 175 CFM mapped to 185 class. Fuel (C): full-load 2.8 gal/hr x Settings B31-B33 load fractions. Ex-fuel (C) = FEMA incl-fuel rate - Fuel_gal_hr_med x diesel back-out price (Settings B5).</t>
  </si>
  <si>
    <t xml:space="preserve">AIR-375</t>
  </si>
  <si>
    <t xml:space="preserve">400 CFM</t>
  </si>
  <si>
    <t xml:space="preserve">8014</t>
  </si>
  <si>
    <t xml:space="preserve">Sullair 375H 5.9 (400HH 7.4; 425H 7.7) gal/hr at full load = high; med = 0.60 x full and low = 0.50 x full (assumed 50-70% jobsite load, not published) [COMP-SHEETS]</t>
  </si>
  <si>
    <t xml:space="preserve">Duration-priced (tie to the tool-using activity). No compressor gal/hr in notes; HP not captured so HP method not applicable. Rent: Median of 4 sources (W 375/1126/3378; B 260/780/2340; N 165/575/1450; rentd mid 194/662/1752). FEMA: Sullivan-Palatek D375 (400 CFM). Fuel (C): full-load 5.9 gal/hr x Settings B31-B33 load fractions. Ex-fuel (C) = FEMA incl-fuel rate - Fuel_gal_hr_med x diesel back-out price (Settings B5).</t>
  </si>
  <si>
    <t xml:space="preserve">AIR-575</t>
  </si>
  <si>
    <t xml:space="preserve">575 CFM</t>
  </si>
  <si>
    <t xml:space="preserve">8015</t>
  </si>
  <si>
    <t xml:space="preserve">Derived (C): linear interpolation by free air delivery between AIR-375 and AIR-750 (spec-sheet endpoints) [GEN-SHEETS; COMP-SHEETS]</t>
  </si>
  <si>
    <t xml:space="preserve">Duration-priced (tie to the tool-using activity). No compressor gal/hr in notes; HP not captured so HP method not applicable. Fuel interpolated between AIR-375 and AIR-750; the 750 CFM datum is a 350 psi high-pressure unit (XHP750), so this likely overstates. FEMA: Grimmer-Schmidt 800 (575 CFM). Fuel gal/hr interpolated (C) between AIR-375 and AIR-750 by Spec_value. Ex-fuel (C) = FEMA incl-fuel rate - Fuel_gal_hr_med x diesel back-out price (Settings B5).</t>
  </si>
  <si>
    <t xml:space="preserve">AIR-750</t>
  </si>
  <si>
    <t xml:space="preserve">750 CFM</t>
  </si>
  <si>
    <t xml:space="preserve">RENTD</t>
  </si>
  <si>
    <t xml:space="preserve">Jul 2026</t>
  </si>
  <si>
    <t xml:space="preserve">Doosan XHP750 (350 psi, high-pressure) 15.6 gal/hr at full load = high; med = 0.60 x full and low = 0.50 x full (assumed 50-70% jobsite load, not published) [COMP-SHEETS]</t>
  </si>
  <si>
    <t xml:space="preserve">Duration-priced (tie to the tool-using activity). No compressor gal/hr in notes; HP not captured so HP method not applicable. Rent: rentd 750 CFM range midpoint only. Dealer 860-900 CFM (AIR-900) is &gt;2x higher; see notes conflict. Fuel (C): full-load 15.6 gal/hr x Settings B31-B33 load fractions.</t>
  </si>
  <si>
    <t xml:space="preserve">AIR-900</t>
  </si>
  <si>
    <t xml:space="preserve">880 CFM</t>
  </si>
  <si>
    <t xml:space="preserve">Sullair 900XHH (500 psi) 24 gal/hr at full load = high; med = 0.60 x full and low = 0.50 x full (assumed 50-70% jobsite load, not published) [COMP-SHEETS]</t>
  </si>
  <si>
    <t xml:space="preserve">Duration-priced (tie to the tool-using activity). No compressor gal/hr in notes; HP not captured so HP method not applicable. Rent: Median (=mean) of 2 dealer sources: W 860 CFM 746/2237/6710; B 900 CFM 700/2100/6300. Notes recommend these over rentd's 750 CFM figure. Fuel (C): full-load 24.0 gal/hr x Settings B31-B33 load fractions.</t>
  </si>
  <si>
    <t xml:space="preserve">AIR-1000</t>
  </si>
  <si>
    <t xml:space="preserve">1,000 CFM</t>
  </si>
  <si>
    <t xml:space="preserve">8016</t>
  </si>
  <si>
    <t xml:space="preserve">mean of Doosan XHP1170 24.3 and Sullair 1150XH 24.5 (1,150-1,170 CFM units mapped to the 1,000-1,100 CFM class) gal/hr at full load = high; med = 0.60 x full and low = 0.50 x full (assumed 50-70% jobsite load, not published) [COMP-SHEETS]</t>
  </si>
  <si>
    <t xml:space="preserve">Duration-priced (tie to the tool-using activity). No compressor gal/hr in notes; HP not captured so HP method not applicable. Rent: Wheeler only. FEMA: Ingersoll Rand XP1200 (1,100 CFM). Fuel (C): full-load 24.4 gal/hr x Settings B31-B33 load fractions. Ex-fuel (C) = FEMA incl-fuel rate - Fuel_gal_hr_med x diesel back-out price (Settings B5).</t>
  </si>
  <si>
    <t xml:space="preserve">AIR-1400</t>
  </si>
  <si>
    <t xml:space="preserve">1,426 CFM</t>
  </si>
  <si>
    <t xml:space="preserve">Derived (C): linear interpolation by free air delivery between AIR-1000 and AIR-1600 (spec-sheet endpoints) [GEN-SHEETS; COMP-SHEETS]</t>
  </si>
  <si>
    <t xml:space="preserve">Duration-priced (tie to the tool-using activity). No compressor gal/hr in notes; HP not captured so HP method not applicable. Rent: Wheeler only. Fuel gal/hr interpolated (C) between AIR-1000 and AIR-1600 by Spec_value.</t>
  </si>
  <si>
    <t xml:space="preserve">Non-monotonic vs AIR-1600 - source data; Needs rate (owned)</t>
  </si>
  <si>
    <t xml:space="preserve">AIR-1600</t>
  </si>
  <si>
    <t xml:space="preserve">1,600 CFM</t>
  </si>
  <si>
    <t xml:space="preserve">8017</t>
  </si>
  <si>
    <t xml:space="preserve">Sullair 1600H 24; Doosan HP1600 ~23-25 derived gal/hr at full load = high; med = 0.60 x full and low = 0.50 x full (assumed 50-70% jobsite load, not published) [COMP-SHEETS]</t>
  </si>
  <si>
    <t xml:space="preserve">Duration-priced (tie to the tool-using activity). No compressor gal/hr in notes; HP not captured so HP method not applicable. Rent: rentd 1,600 CFM range midpoint only (marketplace; likely understates vs dealer). FEMA: Sullair 1600. Fuel (C): full-load 24.0 gal/hr x Settings B31-B33 load fractions. Ex-fuel (C) = FEMA incl-fuel rate - Fuel_gal_hr_med x diesel back-out price (Settings B5).</t>
  </si>
  <si>
    <t xml:space="preserve">GEN-5_5</t>
  </si>
  <si>
    <t xml:space="preserve">Generator</t>
  </si>
  <si>
    <t xml:space="preserve">5.5 kW</t>
  </si>
  <si>
    <t xml:space="preserve">Prime output</t>
  </si>
  <si>
    <t xml:space="preserve">kW</t>
  </si>
  <si>
    <t xml:space="preserve">8310</t>
  </si>
  <si>
    <t xml:space="preserve">Owned: USACE standby = 0.5 x DEPR + FCCM, max 40 hr/wk [USACE-EP]; with only an all-in rate use Caltrans delay factor x rate, max 8 hr/day &amp; 40 hr/wk [CALT-2627]: ELGEN factor 0.13 (book) / 0.12 (interim). Rental: accrues by calendar period (no idle discount). FEMA: not eligible unless intermittent use [FEMA-PG].</t>
  </si>
  <si>
    <t xml:space="preserve">SP-GEN-DUR</t>
  </si>
  <si>
    <t xml:space="preserve">Duration-priced; often 24/7 (3-shift) - check overtime basis. No generator gal/hr in notes (needs mfr load tables). Wheeler single-shift; double/triple shift extra. Ex-fuel (C) = FEMA incl-fuel rate - Fuel_gal_hr_med x gasoline back-out price (Settings B10).</t>
  </si>
  <si>
    <t xml:space="preserve">GEN-17</t>
  </si>
  <si>
    <t xml:space="preserve">17 kW</t>
  </si>
  <si>
    <t xml:space="preserve">8311</t>
  </si>
  <si>
    <t xml:space="preserve">Duration-priced; often 24/7 (3-shift) - check overtime basis. No generator gal/hr in notes (needs mfr load tables). Wheeler single-shift; double/triple shift extra. FEMA: 17-45 kW FEMA rows are not monotonic. Ex-fuel (C) = FEMA incl-fuel rate - Fuel_gal_hr_med x diesel back-out price (Settings B5).</t>
  </si>
  <si>
    <t xml:space="preserve">FEMA value flagged (non-monotonic 17-45 kW); Needs fuel gal/hr; Needs rate (rental); FEMA ⚠ value kept as published; verify vs PDF</t>
  </si>
  <si>
    <t xml:space="preserve">GEN-25</t>
  </si>
  <si>
    <t xml:space="preserve">25 kW</t>
  </si>
  <si>
    <t xml:space="preserve">8312</t>
  </si>
  <si>
    <t xml:space="preserve">Atlas Copco QAS 25 (20 kW): low/med/high = 25/50/75% prime load (med = 50% is a load-factor choice); 100% = 1.6 [GEN-SHEETS]</t>
  </si>
  <si>
    <t xml:space="preserve">Duration-priced; often 24/7 (3-shift) - check overtime basis. No generator gal/hr in notes (needs mfr load tables). Wheeler single-shift; double/triple shift extra. Rent: Median of 3 sources for 20-25 kW (W 20/25 avg 188/554/1634; B 20 kW 185/555/1665; N 115/345/1075). B on 10/50/200 hr basis. FEMA: 17-45 kW FEMA rows are not monotonic. Ex-fuel (C) = FEMA incl-fuel rate - Fuel_gal_hr_med x diesel back-out price (Settings B5).</t>
  </si>
  <si>
    <t xml:space="preserve">FEMA value flagged (non-monotonic 17-45 kW); FEMA ⚠ value kept as published; verify vs PDF</t>
  </si>
  <si>
    <t xml:space="preserve">GEN-40</t>
  </si>
  <si>
    <t xml:space="preserve">40 kW</t>
  </si>
  <si>
    <t xml:space="preserve">8313</t>
  </si>
  <si>
    <t xml:space="preserve">Atlas Copco QAS 45 (36 kW): low/med/high = 25/50/75% prime load (med = 50% is a load-factor choice); 100% = 2.76 [GEN-SHEETS]</t>
  </si>
  <si>
    <t xml:space="preserve">FEMA value flagged (non-monotonic 17-45 kW); Needs rate (rental); FEMA ⚠ value kept as published; verify vs PDF</t>
  </si>
  <si>
    <t xml:space="preserve">GEN-45</t>
  </si>
  <si>
    <t xml:space="preserve">45 kW</t>
  </si>
  <si>
    <t xml:space="preserve">8314</t>
  </si>
  <si>
    <t xml:space="preserve">Derived (C): linear interpolation by prime output between GEN-40 and GEN-80 (spec-sheet endpoints) [GEN-SHEETS; COMP-SHEETS]</t>
  </si>
  <si>
    <t xml:space="preserve">Duration-priced; often 24/7 (3-shift) - check overtime basis. No generator gal/hr in notes (needs mfr load tables). Wheeler single-shift; double/triple shift extra. Rent: Median of 3 sources for 45-70 kW (W 45/56-70 avg 259/752/2179; B 58 kW 290/870/2610; N 64 kW 195/650/1865). FEMA: 17-45 kW FEMA rows are not monotonic. Fuel gal/hr interpolated (C) between GEN-40 and GEN-80 by Spec_value. Ex-fuel (C) = FEMA incl-fuel rate - Fuel_gal_hr_med x diesel back-out price (Settings B5).</t>
  </si>
  <si>
    <t xml:space="preserve">GEN-80</t>
  </si>
  <si>
    <t xml:space="preserve">80 kW</t>
  </si>
  <si>
    <t xml:space="preserve">Generac MDG100DF4 (80 kW): low/med/high = 25/50/75% prime load (med = 50% is a load-factor choice); 100% = 6.01 [GEN-SHEETS]</t>
  </si>
  <si>
    <t xml:space="preserve">Duration-priced; often 24/7 (3-shift) - check overtime basis. No generator gal/hr in notes (needs mfr load tables). Wheeler single-shift; double/triple shift extra. Rent: Burris 80 kW only (10/50/200 hr basis). Fuel low (25% load) not published for this model; left blank.</t>
  </si>
  <si>
    <t xml:space="preserve">GEN-100</t>
  </si>
  <si>
    <t xml:space="preserve">100 kW</t>
  </si>
  <si>
    <t xml:space="preserve">8315</t>
  </si>
  <si>
    <t xml:space="preserve">Derived (C): linear interpolation by prime output between GEN-80 and GEN-125 (spec-sheet endpoints) [GEN-SHEETS; COMP-SHEETS]</t>
  </si>
  <si>
    <t xml:space="preserve">Duration-priced; often 24/7 (3-shift) - check overtime basis. No generator gal/hr in notes (needs mfr load tables). Wheeler single-shift; double/triple shift extra. Rent: Wheeler only. Fuel gal/hr interpolated (C) between GEN-80 and GEN-125 by Spec_value. Ex-fuel (C) = FEMA incl-fuel rate - Fuel_gal_hr_med x diesel back-out price (Settings B5).</t>
  </si>
  <si>
    <t xml:space="preserve">GEN-125</t>
  </si>
  <si>
    <t xml:space="preserve">125 kW</t>
  </si>
  <si>
    <t xml:space="preserve">mean of Generac MDG150DF4 (3.4/5.25/7.1/8.7) and Atlas Copco QAS 150 (3.8/5.2/6.9/8.2), both 120 kW: low/med/high = 25/50/75% prime load (med = 50% is a load-factor choice); 100% = 8.45 [GEN-SHEETS]</t>
  </si>
  <si>
    <t xml:space="preserve">Duration-priced; often 24/7 (3-shift) - check overtime basis. No generator gal/hr in notes (needs mfr load tables). Wheeler single-shift; double/triple shift extra. Rent: Wheeler only.</t>
  </si>
  <si>
    <t xml:space="preserve">GEN-150</t>
  </si>
  <si>
    <t xml:space="preserve">150 kW</t>
  </si>
  <si>
    <t xml:space="preserve">8316</t>
  </si>
  <si>
    <t xml:space="preserve">Atlas Copco QAS 200 (160 kW): low/med/high = 25/50/75% prime load (med = 50% is a load-factor choice); 100% = 10.9 [GEN-SHEETS]</t>
  </si>
  <si>
    <t xml:space="preserve">Duration-priced; often 24/7 (3-shift) - check overtime basis. No generator gal/hr in notes (needs mfr load tables). Wheeler single-shift; double/triple shift extra. Rent day/week/4wk interpolated (C) between GEN-125 and GEN-200 by Spec_value. Wheeler has no 150 kW line (144 kW 623/1954/5863 and 184 kW 727/2182/6546 exist). Ex-fuel (C) = FEMA incl-fuel rate - Fuel_gal_hr_med x diesel back-out price (Settings B5).</t>
  </si>
  <si>
    <t xml:space="preserve">GEN-200</t>
  </si>
  <si>
    <t xml:space="preserve">200 kW</t>
  </si>
  <si>
    <t xml:space="preserve">Generac MDG250DF4 (200 kW): low/med/high = 25/50/75% prime load (med = 50% is a load-factor choice); 100% = 13.9 [GEN-SHEETS]</t>
  </si>
  <si>
    <t xml:space="preserve">GEN-225</t>
  </si>
  <si>
    <t xml:space="preserve">225 kW</t>
  </si>
  <si>
    <t xml:space="preserve">8317</t>
  </si>
  <si>
    <t xml:space="preserve">Derived (C): linear interpolation by prime output between GEN-200 and GEN-300 (spec-sheet endpoints) [GEN-SHEETS; COMP-SHEETS]</t>
  </si>
  <si>
    <t xml:space="preserve">Duration-priced; often 24/7 (3-shift) - check overtime basis. No generator gal/hr in notes (needs mfr load tables). Wheeler single-shift; double/triple shift extra. Fuel gal/hr interpolated (C) between GEN-200 and GEN-300 by Spec_value. Ex-fuel (C) = FEMA incl-fuel rate - Fuel_gal_hr_med x diesel back-out price (Settings B5).</t>
  </si>
  <si>
    <t xml:space="preserve">GEN-300</t>
  </si>
  <si>
    <t xml:space="preserve">300 kW</t>
  </si>
  <si>
    <t xml:space="preserve">8318</t>
  </si>
  <si>
    <t xml:space="preserve">Atlas Copco QAS 330 (264 kW): low/med/high = 25/50/75% prime load (med = 50% is a load-factor choice); 100% = 18.4 [GEN-SHEETS]</t>
  </si>
  <si>
    <t xml:space="preserve">Duration-priced; often 24/7 (3-shift) - check overtime basis. No generator gal/hr in notes (needs mfr load tables). Wheeler single-shift; double/triple shift extra. Rent: Wheeler only. Ex-fuel (C) = FEMA incl-fuel rate - Fuel_gal_hr_med x diesel back-out price (Settings B5).</t>
  </si>
  <si>
    <t xml:space="preserve">GEN-350</t>
  </si>
  <si>
    <t xml:space="preserve">350 kW</t>
  </si>
  <si>
    <t xml:space="preserve">8319</t>
  </si>
  <si>
    <t xml:space="preserve">Derived (C): linear interpolation by prime output between GEN-300 and GEN-500 (spec-sheet endpoints) [GEN-SHEETS; COMP-SHEETS]</t>
  </si>
  <si>
    <t xml:space="preserve">Duration-priced; often 24/7 (3-shift) - check overtime basis. No generator gal/hr in notes (needs mfr load tables). Wheeler single-shift; double/triple shift extra. Fuel gal/hr interpolated (C) between GEN-300 and GEN-500 by Spec_value. Ex-fuel (C) = FEMA incl-fuel rate - Fuel_gal_hr_med x diesel back-out price (Settings B5).</t>
  </si>
  <si>
    <t xml:space="preserve">GEN-400</t>
  </si>
  <si>
    <t xml:space="preserve">400 kW</t>
  </si>
  <si>
    <t xml:space="preserve">8320</t>
  </si>
  <si>
    <t xml:space="preserve">Duration-priced; often 24/7 (3-shift) - check overtime basis. No generator gal/hr in notes (needs mfr load tables). Wheeler single-shift; double/triple shift extra. Rent: Wheeler only. Fuel gal/hr interpolated (C) between GEN-300 and GEN-500 by Spec_value. Ex-fuel (C) = FEMA incl-fuel rate - Fuel_gal_hr_med x diesel back-out price (Settings B5).</t>
  </si>
  <si>
    <t xml:space="preserve">GEN-455</t>
  </si>
  <si>
    <t xml:space="preserve">455 kW</t>
  </si>
  <si>
    <t xml:space="preserve">Duration-priced; often 24/7 (3-shift) - check overtime basis. No generator gal/hr in notes (needs mfr load tables). Wheeler single-shift; double/triple shift extra. Rent: Wheeler only. Fuel gal/hr interpolated (C) between GEN-300 and GEN-500 by Spec_value.</t>
  </si>
  <si>
    <t xml:space="preserve">GEN-500</t>
  </si>
  <si>
    <t xml:space="preserve">500 kW</t>
  </si>
  <si>
    <t xml:space="preserve">8321</t>
  </si>
  <si>
    <t xml:space="preserve">Atlas Copco QAS 625 VD (500 kW): low/med/high = 25/50/75% prime load (med = 50% is a load-factor choice); 100% = 33.54 [GEN-SHEETS]</t>
  </si>
  <si>
    <t xml:space="preserve">Duration-priced; often 24/7 (3-shift) - check overtime basis. No generator gal/hr in notes (needs mfr load tables). Wheeler single-shift; double/triple shift extra. Fuel low (25% load) not published for this model; left blank. Ex-fuel (C) = FEMA incl-fuel rate - Fuel_gal_hr_med x diesel back-out price (Settings B5).</t>
  </si>
  <si>
    <t xml:space="preserve">GEN-700</t>
  </si>
  <si>
    <t xml:space="preserve">Large (containerized/skid)</t>
  </si>
  <si>
    <t xml:space="preserve">700 kW</t>
  </si>
  <si>
    <t xml:space="preserve">8322</t>
  </si>
  <si>
    <t xml:space="preserve">Duration-priced; often 24/7 (3-shift) - check overtime basis. No generator gal/hr in notes (needs mfr load tables). Wheeler single-shift; double/triple shift extra. Ex-fuel (C) = FEMA incl-fuel rate - Fuel_gal_hr_med x diesel back-out price (Settings B5).</t>
  </si>
  <si>
    <t xml:space="preserve">GEN-800</t>
  </si>
  <si>
    <t xml:space="preserve">800 kW</t>
  </si>
  <si>
    <t xml:space="preserve">8323</t>
  </si>
  <si>
    <t xml:space="preserve">GEN-900</t>
  </si>
  <si>
    <t xml:space="preserve">900 kW</t>
  </si>
  <si>
    <t xml:space="preserve">8324</t>
  </si>
  <si>
    <t xml:space="preserve">GEN-1000</t>
  </si>
  <si>
    <t xml:space="preserve">1000 kW</t>
  </si>
  <si>
    <t xml:space="preserve">8325</t>
  </si>
  <si>
    <t xml:space="preserve">GEN-1150</t>
  </si>
  <si>
    <t xml:space="preserve">1150 kW</t>
  </si>
  <si>
    <t xml:space="preserve">Cat XQC1200</t>
  </si>
  <si>
    <t xml:space="preserve">8326</t>
  </si>
  <si>
    <t xml:space="preserve">GEN-1500</t>
  </si>
  <si>
    <t xml:space="preserve">1500 kW</t>
  </si>
  <si>
    <t xml:space="preserve">8327</t>
  </si>
  <si>
    <t xml:space="preserve">GEN-2000</t>
  </si>
  <si>
    <t xml:space="preserve">2000 kW</t>
  </si>
  <si>
    <t xml:space="preserve">GEN-2500</t>
  </si>
  <si>
    <t xml:space="preserve">2500 kW</t>
  </si>
  <si>
    <t xml:space="preserve">8328</t>
  </si>
  <si>
    <t xml:space="preserve">Duration-priced; often 24/7 (3-shift) - check overtime basis. No generator gal/hr in notes (needs mfr load tables). Wheeler single-shift; double/triple shift extra. 8328 fuel type not stated. Ex-fuel (C) = FEMA incl-fuel rate - Fuel_gal_hr_med x diesel back-out price (Settings B5).</t>
  </si>
  <si>
    <t xml:space="preserve">GEN-3000</t>
  </si>
  <si>
    <t xml:space="preserve">3000 kW</t>
  </si>
  <si>
    <t xml:space="preserve">Cummins QSK95</t>
  </si>
  <si>
    <t xml:space="preserve">8329</t>
  </si>
  <si>
    <t xml:space="preserve">LT-4x1000</t>
  </si>
  <si>
    <t xml:space="preserve">Light tower</t>
  </si>
  <si>
    <t xml:space="preserve">Diesel, metal halide/LED</t>
  </si>
  <si>
    <t xml:space="preserve">4 x 1,000-1,250 W, 25-30 ft mast</t>
  </si>
  <si>
    <t xml:space="preserve">Lamps</t>
  </si>
  <si>
    <t xml:space="preserve">lamps</t>
  </si>
  <si>
    <t xml:space="preserve">Generac MLT-type</t>
  </si>
  <si>
    <t xml:space="preserve">Allmand NLV metal halide 4x1,250 W ~0.60-0.62 gal/hr, derived from 45 gal tank / runtime [LT-SHEETS]</t>
  </si>
  <si>
    <t xml:space="preserve">SP-LIGHT-DUR</t>
  </si>
  <si>
    <t xml:space="preserve">Rent: Median of 3 sources (W 151/438/1271; B 105/315/630; N 125/435/1095).</t>
  </si>
  <si>
    <t xml:space="preserve">LT-8KW</t>
  </si>
  <si>
    <t xml:space="preserve">Diesel LED</t>
  </si>
  <si>
    <t xml:space="preserve">8 kW, 25 ft (13 hp)</t>
  </si>
  <si>
    <t xml:space="preserve">Generac MLT4080 LED</t>
  </si>
  <si>
    <t xml:space="preserve">8870</t>
  </si>
  <si>
    <t xml:space="preserve">low = Generac MLT6SMDS lights-only 0.2; med = Allmand NLV LED midpoint 0.29-0.38; high = MLT6SMDS 100% 0.6 [LT-SHEETS]</t>
  </si>
  <si>
    <t xml:space="preserve">Fuel replaced in revision with light-tower spec sheets (was HP-derived). Ex-fuel (C) = FEMA incl-fuel rate - Fuel_gal_hr_med x diesel back-out price (Settings B5).</t>
  </si>
  <si>
    <t xml:space="preserve">LT-20KW</t>
  </si>
  <si>
    <t xml:space="preserve">Diesel</t>
  </si>
  <si>
    <t xml:space="preserve">20 kW, 25 ft (40 hp)</t>
  </si>
  <si>
    <t xml:space="preserve">Generac MLT4200</t>
  </si>
  <si>
    <t xml:space="preserve">8871</t>
  </si>
  <si>
    <t xml:space="preserve">WELD-230</t>
  </si>
  <si>
    <t xml:space="preserve">Welder</t>
  </si>
  <si>
    <t xml:space="preserve">Engine-driven</t>
  </si>
  <si>
    <t xml:space="preserve">230 A (11 kW peak)</t>
  </si>
  <si>
    <t xml:space="preserve">Output</t>
  </si>
  <si>
    <t xml:space="preserve">Welder / trade using it</t>
  </si>
  <si>
    <t xml:space="preserve">8770</t>
  </si>
  <si>
    <t xml:space="preserve">Welders above 300 A: no rental rates (gap). Florida Air Tool 500 A $80/day is 2019 (excluded). FEMA 8770: FEMA welder rates not reliably extracted.</t>
  </si>
  <si>
    <t xml:space="preserve">WELD-250</t>
  </si>
  <si>
    <t xml:space="preserve">250 A gas</t>
  </si>
  <si>
    <t xml:space="preserve">Welders above 300 A: no rental rates (gap). Florida Air Tool 500 A $80/day is 2019 (excluded). Rent: Nu-Way only.</t>
  </si>
  <si>
    <t xml:space="preserve">WELD-300</t>
  </si>
  <si>
    <t xml:space="preserve">300 A diesel welder/generator</t>
  </si>
  <si>
    <t xml:space="preserve">8771</t>
  </si>
  <si>
    <t xml:space="preserve">Welders above 300 A: no rental rates (gap). Florida Air Tool 500 A $80/day is 2019 (excluded). Rent: Nu-Way only. FEMA 8771: FEMA rate not reliably extracted.</t>
  </si>
  <si>
    <t xml:space="preserve">WELD-600</t>
  </si>
  <si>
    <t xml:space="preserve">600 A</t>
  </si>
  <si>
    <t xml:space="preserve">8772</t>
  </si>
  <si>
    <t xml:space="preserve">Welders above 300 A: no rental rates (gap). Florida Air Tool 500 A $80/day is 2019 (excluded). FEMA 8772: FEMA rate not reliably extracted.</t>
  </si>
  <si>
    <t xml:space="preserve">WELD-800</t>
  </si>
  <si>
    <t xml:space="preserve">800 A</t>
  </si>
  <si>
    <t xml:space="preserve">8773</t>
  </si>
  <si>
    <t xml:space="preserve">Welders above 300 A: no rental rates (gap). Florida Air Tool 500 A $80/day is 2019 (excluded). FEMA 8773: FEMA rate not reliably extracted.</t>
  </si>
  <si>
    <t xml:space="preserve">HTR-FA-175K</t>
  </si>
  <si>
    <t xml:space="preserve">Construction heater</t>
  </si>
  <si>
    <t xml:space="preserve">Forced-air</t>
  </si>
  <si>
    <t xml:space="preserve">Forced-air 150-210k BTU (LP/kerosene)</t>
  </si>
  <si>
    <t xml:space="preserve">150-210k</t>
  </si>
  <si>
    <t xml:space="preserve">BTU/hr</t>
  </si>
  <si>
    <t xml:space="preserve">propane/diesel</t>
  </si>
  <si>
    <t xml:space="preserve">SP-HEAT-DUR</t>
  </si>
  <si>
    <t xml:space="preserve">Fuel consumption not in notes (BTU-based burn needed). Rent: Median of 3 sources (W 82/239/693; B 55/220/440; N 30/95/225).</t>
  </si>
  <si>
    <t xml:space="preserve">HTR-DF-400K</t>
  </si>
  <si>
    <t xml:space="preserve">Direct-fired</t>
  </si>
  <si>
    <t xml:space="preserve">Direct-fired 400k BTU</t>
  </si>
  <si>
    <t xml:space="preserve">400k</t>
  </si>
  <si>
    <t xml:space="preserve">Fuel consumption not in notes (BTU-based burn needed). Rent: Wheeler only.</t>
  </si>
  <si>
    <t xml:space="preserve">HTR-IND-400K</t>
  </si>
  <si>
    <t xml:space="preserve">Indirect-fired</t>
  </si>
  <si>
    <t xml:space="preserve">Indirect-fired ~400k BTU diesel</t>
  </si>
  <si>
    <t xml:space="preserve">~400k</t>
  </si>
  <si>
    <t xml:space="preserve">Fuel consumption not in notes (BTU-based burn needed). Rent: Median (=mean) of 2 sources: W 181/525/1523; N 135/325/1095.</t>
  </si>
  <si>
    <t xml:space="preserve">HTR-MUA-1M</t>
  </si>
  <si>
    <t xml:space="preserve">Make-up</t>
  </si>
  <si>
    <t xml:space="preserve">Make-up air 1M BTU</t>
  </si>
  <si>
    <t xml:space="preserve">air</t>
  </si>
  <si>
    <t xml:space="preserve">SANDBLAST</t>
  </si>
  <si>
    <t xml:space="preserve">Sandblaster</t>
  </si>
  <si>
    <t xml:space="preserve">Pot blaster</t>
  </si>
  <si>
    <t xml:space="preserve">Sandblasting equipment (Caltrans SANBL)</t>
  </si>
  <si>
    <t xml:space="preserve">Category only.</t>
  </si>
  <si>
    <t xml:space="preserve">PMP-TRASH-2</t>
  </si>
  <si>
    <t xml:space="preserve">Pumps &amp; dewatering</t>
  </si>
  <si>
    <t xml:space="preserve">Pump</t>
  </si>
  <si>
    <t xml:space="preserve">trash, gas</t>
  </si>
  <si>
    <t xml:space="preserve">2 in trash, gas (~211 GPM)</t>
  </si>
  <si>
    <t xml:space="preserve">Discharge size</t>
  </si>
  <si>
    <t xml:space="preserve">8468</t>
  </si>
  <si>
    <t xml:space="preserve">SP-PUMP-DUR</t>
  </si>
  <si>
    <t xml:space="preserve">Hoses not included (FEMA). Dewatering often runs 24 hr/day: price 3 shifts or 24/7 (inference). FEMA small-pump rates look like hourly fractions of tiny units; treat with care. Rent: Median of 3 sources (W 68/197/572; B 50/200/600; N 40/140/350). FEMA 8468: FEMA diesel trash pump rates not reliably extracted.</t>
  </si>
  <si>
    <t xml:space="preserve">PMP-TRASH-3</t>
  </si>
  <si>
    <t xml:space="preserve">3 in trash, gas (~396 GPM)</t>
  </si>
  <si>
    <t xml:space="preserve">8467</t>
  </si>
  <si>
    <t xml:space="preserve">Hoses not included (FEMA). Dewatering often runs 24 hr/day: price 3 shifts or 24/7 (inference). FEMA small-pump rates look like hourly fractions of tiny units; treat with care. Rent: Median of 3 sources (W 82/239/693; B 65/260/780; N 45/165/425). FEMA 8467: FEMA rate not reliably extracted.</t>
  </si>
  <si>
    <t xml:space="preserve">PMP-TRASH-4</t>
  </si>
  <si>
    <t xml:space="preserve">4 in trash, gas (~555 GPM)</t>
  </si>
  <si>
    <t xml:space="preserve">8466</t>
  </si>
  <si>
    <t xml:space="preserve">Hoses not included (FEMA). Dewatering often runs 24 hr/day: price 3 shifts or 24/7 (inference). FEMA small-pump rates look like hourly fractions of tiny units; treat with care. Rent: Median of 3 sources (W 96/279/809; B 80/320/960; N 75/240/525). FEMA 8466: FEMA rate not reliably extracted.</t>
  </si>
  <si>
    <t xml:space="preserve">PMP-SP-4D</t>
  </si>
  <si>
    <t xml:space="preserve">diesel self-priming trailer</t>
  </si>
  <si>
    <t xml:space="preserve">4 in diesel self-priming trailer (550 GPM)</t>
  </si>
  <si>
    <t xml:space="preserve">Hoses not included (FEMA). Dewatering often runs 24 hr/day: price 3 shifts or 24/7 (inference). FEMA small-pump rates look like hourly fractions of tiny units; treat with care. Rent: Wheeler only.</t>
  </si>
  <si>
    <t xml:space="preserve">PMP-SP-6D</t>
  </si>
  <si>
    <t xml:space="preserve">trash/self-priming, diesel trailer</t>
  </si>
  <si>
    <t xml:space="preserve">6 in trash/self-priming, diesel trailer (~1,425 GPM)</t>
  </si>
  <si>
    <t xml:space="preserve">8465</t>
  </si>
  <si>
    <t xml:space="preserve">AMT/Depco 5588-D6 6 in diesel: 20 gal tank / 12 hr runtime = 1.7 gal/hr, derived (load not stated) [AMT-5588]</t>
  </si>
  <si>
    <t xml:space="preserve">Hoses not included (FEMA). Dewatering often runs 24 hr/day: price 3 shifts or 24/7 (inference). FEMA small-pump rates look like hourly fractions of tiny units; treat with care. Rent: Median (=mean) of 2 sources: W 570/1654/4796; B 190/570/1710. Wide spread. FEMA 8465: FEMA 8465 6 in diesel trash pump: rate not reliably extracted.</t>
  </si>
  <si>
    <t xml:space="preserve">PMP-CENT-4-40M</t>
  </si>
  <si>
    <t xml:space="preserve">centrifugal</t>
  </si>
  <si>
    <t xml:space="preserve">4 in centrifugal (40M)</t>
  </si>
  <si>
    <t xml:space="preserve">FEMA 8476 (to 60 hp)</t>
  </si>
  <si>
    <t xml:space="preserve">8476</t>
  </si>
  <si>
    <t xml:space="preserve">Split from PMP-SP-4D in revision (FEMA centrifugal is not the rented self-priming trash pump). FEMA: 4 in centrifugal at $4.10/hr looks implausibly low. Ex-fuel (C) = FEMA incl-fuel rate - Fuel_gal_hr_med x diesel back-out price (Settings B5).</t>
  </si>
  <si>
    <t xml:space="preserve">FEMA value flagged: implausibly low; verify; Needs fuel gal/hr; Needs rate (rental); FEMA ⚠ value kept as published; verify vs PDF</t>
  </si>
  <si>
    <t xml:space="preserve">PMP-CENT-6-90M</t>
  </si>
  <si>
    <t xml:space="preserve">6 in centrifugal (90M)</t>
  </si>
  <si>
    <t xml:space="preserve">FEMA 8477 (to 95 hp)</t>
  </si>
  <si>
    <t xml:space="preserve">8477</t>
  </si>
  <si>
    <t xml:space="preserve">Split from PMP-SP-6D in revision. FEMA: 6 in centrifugal at $5.35/hr looks implausibly low. Ex-fuel (C) = FEMA incl-fuel rate - Fuel_gal_hr_med x diesel back-out price (Settings B5).</t>
  </si>
  <si>
    <t xml:space="preserve">PMP-12D</t>
  </si>
  <si>
    <t xml:space="preserve">diesel centrifugal</t>
  </si>
  <si>
    <t xml:space="preserve">12 in diesel centrifugal (to 140 hp)</t>
  </si>
  <si>
    <t xml:space="preserve">8478</t>
  </si>
  <si>
    <t xml:space="preserve">Hoses not included (FEMA). Dewatering often runs 24 hr/day: price 3 shifts or 24/7 (inference). FEMA small-pump rates look like hourly fractions of tiny units; treat with care. FEMA: 12 in pump at $4.75/hr implausibly low (notes ⚠). Ex-fuel (C) = FEMA incl-fuel rate - Fuel_gal_hr_med x diesel back-out price (Settings B5).</t>
  </si>
  <si>
    <t xml:space="preserve">PMP-CENT-2-6M</t>
  </si>
  <si>
    <t xml:space="preserve">lightweight centrifugal</t>
  </si>
  <si>
    <t xml:space="preserve">2 in lightweight centrifugal (6M)</t>
  </si>
  <si>
    <t xml:space="preserve">8470</t>
  </si>
  <si>
    <t xml:space="preserve">Hoses not included (FEMA). Dewatering often runs 24 hr/day: price 3 shifts or 24/7 (inference). FEMA small-pump rates look like hourly fractions of tiny units; treat with care. Ex-fuel (C) = FEMA incl-fuel rate - Fuel_gal_hr_med x gasoline back-out price (Settings B10).</t>
  </si>
  <si>
    <t xml:space="preserve">PMP-CENT-2-8M</t>
  </si>
  <si>
    <t xml:space="preserve">2 in lightweight centrifugal (8M)</t>
  </si>
  <si>
    <t xml:space="preserve">8471</t>
  </si>
  <si>
    <t xml:space="preserve">PMP-CENT-3-18M</t>
  </si>
  <si>
    <t xml:space="preserve">3 in lightweight centrifugal (18M)</t>
  </si>
  <si>
    <t xml:space="preserve">8472</t>
  </si>
  <si>
    <t xml:space="preserve">PMP-CENT-3-HD</t>
  </si>
  <si>
    <t xml:space="preserve">heavy-duty centrifugal</t>
  </si>
  <si>
    <t xml:space="preserve">3 in heavy-duty centrifugal (20M)</t>
  </si>
  <si>
    <t xml:space="preserve">8473</t>
  </si>
  <si>
    <t xml:space="preserve">PMP-SUB-2E</t>
  </si>
  <si>
    <t xml:space="preserve">electric submersible</t>
  </si>
  <si>
    <t xml:space="preserve">2 in electric submersible</t>
  </si>
  <si>
    <t xml:space="preserve">B25;N25</t>
  </si>
  <si>
    <t xml:space="preserve">Hoses not included (FEMA). Dewatering often runs 24 hr/day: price 3 shifts or 24/7 (inference). FEMA small-pump rates look like hourly fractions of tiny units; treat with care. Rent: Median (=mean) of 2 sources: B 45/135/405; N 35/125/315.</t>
  </si>
  <si>
    <t xml:space="preserve">PMP-SUB-2G</t>
  </si>
  <si>
    <t xml:space="preserve">gas submersible</t>
  </si>
  <si>
    <t xml:space="preserve">2 in gas submersible</t>
  </si>
  <si>
    <t xml:space="preserve">PMP-SUB-4E</t>
  </si>
  <si>
    <t xml:space="preserve">4 in electric submersible (25 hp)</t>
  </si>
  <si>
    <t xml:space="preserve">8474</t>
  </si>
  <si>
    <t xml:space="preserve">Hoses not included (FEMA). Dewatering often runs 24 hr/day: price 3 shifts or 24/7 (inference). FEMA small-pump rates look like hourly fractions of tiny units; treat with care. Ex-fuel = incl-fuel rate (no liquid fuel to back out).</t>
  </si>
  <si>
    <t xml:space="preserve">PMP-SUB-6E</t>
  </si>
  <si>
    <t xml:space="preserve">6 in electric submersible (35 hp)</t>
  </si>
  <si>
    <t xml:space="preserve">8475</t>
  </si>
  <si>
    <t xml:space="preserve">Hoses not included (FEMA). Dewatering often runs 24 hr/day: price 3 shifts or 24/7 (inference). FEMA small-pump rates look like hourly fractions of tiny units; treat with care. FEMA: 6 in/35 hp below 4 in/25 hp. Ex-fuel = incl-fuel rate (no liquid fuel to back out).</t>
  </si>
  <si>
    <t xml:space="preserve">FEMA value flagged: implausibly low; verify; Needs rate (rental); FEMA ⚠ value kept as published; verify vs PDF</t>
  </si>
  <si>
    <t xml:space="preserve">PMP-STORM</t>
  </si>
  <si>
    <t xml:space="preserve">Stormwater (large)</t>
  </si>
  <si>
    <t xml:space="preserve">Stormwater pump 1,740 CFS</t>
  </si>
  <si>
    <t xml:space="preserve">CFS</t>
  </si>
  <si>
    <t xml:space="preserve">FEMA 8469</t>
  </si>
  <si>
    <t xml:space="preserve">8469</t>
  </si>
  <si>
    <t xml:space="preserve">FEMA: Large flood-control unit; out of normal construction scope. Ex-fuel (C) = FEMA incl-fuel rate - Fuel_gal_hr_med x diesel back-out price (Settings B5).</t>
  </si>
  <si>
    <t xml:space="preserve">HOSE-3IN</t>
  </si>
  <si>
    <t xml:space="preserve">Pump hose</t>
  </si>
  <si>
    <t xml:space="preserve">Discharge/suction hose, per 50 ft</t>
  </si>
  <si>
    <t xml:space="preserve">3 in hose (50 ft)</t>
  </si>
  <si>
    <t xml:space="preserve">Diameter</t>
  </si>
  <si>
    <t xml:space="preserve">FEMA 8350-8361 series</t>
  </si>
  <si>
    <t xml:space="preserve">per 50 ft</t>
  </si>
  <si>
    <t xml:space="preserve">each/day</t>
  </si>
  <si>
    <t xml:space="preserve">8350-8361</t>
  </si>
  <si>
    <t xml:space="preserve">FEMA 8350-8361: FEMA hose rates not captured.</t>
  </si>
  <si>
    <t xml:space="preserve">HOSE-4IN</t>
  </si>
  <si>
    <t xml:space="preserve">4 in hose (50 ft)</t>
  </si>
  <si>
    <t xml:space="preserve">HOSE-6IN</t>
  </si>
  <si>
    <t xml:space="preserve">6 in hose (50 ft)</t>
  </si>
  <si>
    <t xml:space="preserve">HOSE-8IN</t>
  </si>
  <si>
    <t xml:space="preserve">8 in hose (50 ft)</t>
  </si>
  <si>
    <t xml:space="preserve">HOSE-12IN</t>
  </si>
  <si>
    <t xml:space="preserve">12 in hose (50 ft)</t>
  </si>
  <si>
    <t xml:space="preserve">HOSE-16IN</t>
  </si>
  <si>
    <t xml:space="preserve">16 in hose (50 ft)</t>
  </si>
  <si>
    <t xml:space="preserve">TRK-PU-8801</t>
  </si>
  <si>
    <t xml:space="preserve">Trucks &amp; vehicles</t>
  </si>
  <si>
    <t xml:space="preserve">Pickup truck</t>
  </si>
  <si>
    <t xml:space="preserve">4x2</t>
  </si>
  <si>
    <t xml:space="preserve">Pickup 4x2 1/2-ton</t>
  </si>
  <si>
    <t xml:space="preserve">Ton rating</t>
  </si>
  <si>
    <t xml:space="preserve">1/2-ton</t>
  </si>
  <si>
    <t xml:space="preserve">hr</t>
  </si>
  <si>
    <t xml:space="preserve">8801</t>
  </si>
  <si>
    <t xml:space="preserve">FEMA 8800: any pickup $0.70/mile alternative. Fuel type for 4x2 rows not stated in notes (gas assumed - verify). FEMA: Pickup rates do not rise with size (notes ⚠). Ex-fuel (C) = FEMA incl-fuel rate - Fuel_gal_hr_med x gasoline back-out price (Settings B10).</t>
  </si>
  <si>
    <t xml:space="preserve">FEMA value flagged: pickup rates non-monotonic; verify; Needs fuel gal/hr; Needs rate (rental); FEMA ⚠ value kept as published; verify vs PDF</t>
  </si>
  <si>
    <t xml:space="preserve">TRK-PU-8802</t>
  </si>
  <si>
    <t xml:space="preserve">Pickup 4x2 1-ton</t>
  </si>
  <si>
    <t xml:space="preserve">1-ton</t>
  </si>
  <si>
    <t xml:space="preserve">8802</t>
  </si>
  <si>
    <t xml:space="preserve">TRK-PU-8803</t>
  </si>
  <si>
    <t xml:space="preserve">Pickup 4x2 1-1/4-ton</t>
  </si>
  <si>
    <t xml:space="preserve">1-1/4-ton</t>
  </si>
  <si>
    <t xml:space="preserve">8803</t>
  </si>
  <si>
    <t xml:space="preserve">TRK-PU-8804</t>
  </si>
  <si>
    <t xml:space="preserve">Pickup 4x2 1-1/2-ton</t>
  </si>
  <si>
    <t xml:space="preserve">1-1/2-ton</t>
  </si>
  <si>
    <t xml:space="preserve">8804</t>
  </si>
  <si>
    <t xml:space="preserve">TRK-PU-8805</t>
  </si>
  <si>
    <t xml:space="preserve">Pickup 4x2 1-3/4-ton</t>
  </si>
  <si>
    <t xml:space="preserve">1-3/4-ton</t>
  </si>
  <si>
    <t xml:space="preserve">8805</t>
  </si>
  <si>
    <t xml:space="preserve">TRK-PU-8806</t>
  </si>
  <si>
    <t xml:space="preserve">Pickup 4x2 3/4-ton</t>
  </si>
  <si>
    <t xml:space="preserve">3/4-ton</t>
  </si>
  <si>
    <t xml:space="preserve">8806</t>
  </si>
  <si>
    <t xml:space="preserve">TRK-PU-8807</t>
  </si>
  <si>
    <t xml:space="preserve">4x4</t>
  </si>
  <si>
    <t xml:space="preserve">Pickup 4x4 3/4-ton crew, gas</t>
  </si>
  <si>
    <t xml:space="preserve">8807</t>
  </si>
  <si>
    <t xml:space="preserve">TRK-PU-8808</t>
  </si>
  <si>
    <t xml:space="preserve">Pickup 4x4 1-ton crew, diesel</t>
  </si>
  <si>
    <t xml:space="preserve">8808</t>
  </si>
  <si>
    <t xml:space="preserve">FEMA 8800: any pickup $0.70/mile alternative. Fuel type for 4x2 rows not stated in notes (gas assumed - verify). FEMA: Pickup rates do not rise with size (notes ⚠). Ex-fuel (C) = FEMA incl-fuel rate - Fuel_gal_hr_med x diesel back-out price (Settings B5).</t>
  </si>
  <si>
    <t xml:space="preserve">TRK-PU-8809</t>
  </si>
  <si>
    <t xml:space="preserve">Pickup 4x4 1-1/4-ton crew, gas</t>
  </si>
  <si>
    <t xml:space="preserve">8809</t>
  </si>
  <si>
    <t xml:space="preserve">TRK-PU-8810</t>
  </si>
  <si>
    <t xml:space="preserve">Pickup 4x4 1-1/2-ton crew, gas</t>
  </si>
  <si>
    <t xml:space="preserve">8810</t>
  </si>
  <si>
    <t xml:space="preserve">TRK-PU-8811</t>
  </si>
  <si>
    <t xml:space="preserve">Pickup 4x4 1-3/4-ton crew, gas</t>
  </si>
  <si>
    <t xml:space="preserve">8811</t>
  </si>
  <si>
    <t xml:space="preserve">TRK-PU-8800</t>
  </si>
  <si>
    <t xml:space="preserve">Any size (mileage rate)</t>
  </si>
  <si>
    <t xml:space="preserve">Pickup, any size - per mile</t>
  </si>
  <si>
    <t xml:space="preserve">Unit</t>
  </si>
  <si>
    <t xml:space="preserve">mile</t>
  </si>
  <si>
    <t xml:space="preserve">FEMA 8800</t>
  </si>
  <si>
    <t xml:space="preserve">8800</t>
  </si>
  <si>
    <t xml:space="preserve">FEMA 2025 - $ per MILE</t>
  </si>
  <si>
    <t xml:space="preserve">Mileage rate includes fuel; no gal/hr applies. FEMA: Unit is $ per MILE (not per hour); see Owned_rate_unit. No ex-fuel value: FEMA 8800 is a per-mile rate that includes fuel.</t>
  </si>
  <si>
    <t xml:space="preserve">TRK-FLAT-8700</t>
  </si>
  <si>
    <t xml:space="preserve">Flatbed truck</t>
  </si>
  <si>
    <t xml:space="preserve">Flatbed</t>
  </si>
  <si>
    <t xml:space="preserve">Flatbed 4x2 15K GVW diesel</t>
  </si>
  <si>
    <t xml:space="preserve">GVW</t>
  </si>
  <si>
    <t xml:space="preserve">8700</t>
  </si>
  <si>
    <t xml:space="preserve">TRK-FLAT-8701</t>
  </si>
  <si>
    <t xml:space="preserve">Flatbed 4x2 25K GVW gas</t>
  </si>
  <si>
    <t xml:space="preserve">8701</t>
  </si>
  <si>
    <t xml:space="preserve">Ex-fuel (C) = FEMA incl-fuel rate - Fuel_gal_hr_med x gasoline back-out price (Settings B10).</t>
  </si>
  <si>
    <t xml:space="preserve">TRK-FLAT-8701-1</t>
  </si>
  <si>
    <t xml:space="preserve">Flatbed 4x2 25K GVW diesel</t>
  </si>
  <si>
    <t xml:space="preserve">8701.1</t>
  </si>
  <si>
    <t xml:space="preserve">TRK-FLAT-8702</t>
  </si>
  <si>
    <t xml:space="preserve">Flatbed 4x2 30K GVW diesel</t>
  </si>
  <si>
    <t xml:space="preserve">8702</t>
  </si>
  <si>
    <t xml:space="preserve">TRK-FLAT-8703</t>
  </si>
  <si>
    <t xml:space="preserve">Flatbed 6x4 45K GVW diesel</t>
  </si>
  <si>
    <t xml:space="preserve">8703</t>
  </si>
  <si>
    <t xml:space="preserve">TRK-TRAC-8789</t>
  </si>
  <si>
    <t xml:space="preserve">Truck tractor</t>
  </si>
  <si>
    <t xml:space="preserve">Truck tractor 4x2 26,001-33,000 lb (Freightliner M2 106+)</t>
  </si>
  <si>
    <t xml:space="preserve">33000</t>
  </si>
  <si>
    <t xml:space="preserve">Freightliner M2 106</t>
  </si>
  <si>
    <t xml:space="preserve">8789</t>
  </si>
  <si>
    <t xml:space="preserve">EW-HAUL-TRK-10</t>
  </si>
  <si>
    <t xml:space="preserve">TRK-TRAC-8790</t>
  </si>
  <si>
    <t xml:space="preserve">6x4</t>
  </si>
  <si>
    <t xml:space="preserve">Truck tractor 6x4 33,001-52,000 lb (Freightliner M2 106)</t>
  </si>
  <si>
    <t xml:space="preserve">52000</t>
  </si>
  <si>
    <t xml:space="preserve">8790</t>
  </si>
  <si>
    <t xml:space="preserve">TRK-8840</t>
  </si>
  <si>
    <t xml:space="preserve">Service truck</t>
  </si>
  <si>
    <t xml:space="preserve">Truck</t>
  </si>
  <si>
    <t xml:space="preserve">8840</t>
  </si>
  <si>
    <t xml:space="preserve">FEMA 8840: Rate not captured.</t>
  </si>
  <si>
    <t xml:space="preserve">TRK-8841</t>
  </si>
  <si>
    <t xml:space="preserve">Fuel truck</t>
  </si>
  <si>
    <t xml:space="preserve">8841</t>
  </si>
  <si>
    <t xml:space="preserve">FEMA 8841: Rate not captured.</t>
  </si>
  <si>
    <t xml:space="preserve">TRK-8736</t>
  </si>
  <si>
    <t xml:space="preserve">Rollback tow truck</t>
  </si>
  <si>
    <t xml:space="preserve">8736</t>
  </si>
  <si>
    <t xml:space="preserve">FEMA 8736: Rate not captured.</t>
  </si>
  <si>
    <t xml:space="preserve">TRK-8795</t>
  </si>
  <si>
    <t xml:space="preserve">Backhoe carrier truck</t>
  </si>
  <si>
    <t xml:space="preserve">8795</t>
  </si>
  <si>
    <t xml:space="preserve">FEMA 8795: Rate not captured.</t>
  </si>
  <si>
    <t xml:space="preserve">TRK-8734</t>
  </si>
  <si>
    <t xml:space="preserve">Traffic control</t>
  </si>
  <si>
    <t xml:space="preserve">Truck-mounted attenuator</t>
  </si>
  <si>
    <t xml:space="preserve">Truck-mounted attenuator (Scorpion II TMA)</t>
  </si>
  <si>
    <t xml:space="preserve">8734</t>
  </si>
  <si>
    <t xml:space="preserve">FEMA 8734: Rate not captured.</t>
  </si>
  <si>
    <t xml:space="preserve">TRK-8735</t>
  </si>
  <si>
    <t xml:space="preserve">Attenuator truck</t>
  </si>
  <si>
    <t xml:space="preserve">8735</t>
  </si>
  <si>
    <t xml:space="preserve">FEMA 8735: Rate not captured.</t>
  </si>
  <si>
    <t xml:space="preserve">TRK-ATV-UTV</t>
  </si>
  <si>
    <t xml:space="preserve">ATV / UTV</t>
  </si>
  <si>
    <t xml:space="preserve">By engine cc</t>
  </si>
  <si>
    <t xml:space="preserve">ATV/UTV</t>
  </si>
  <si>
    <t xml:space="preserve">Engine</t>
  </si>
  <si>
    <t xml:space="preserve">cc</t>
  </si>
  <si>
    <t xml:space="preserve">FEMA 8080-8087</t>
  </si>
  <si>
    <t xml:space="preserve">8080-8087</t>
  </si>
  <si>
    <t xml:space="preserve">FEMA 8080-8087: Rates not captured.</t>
  </si>
  <si>
    <t xml:space="preserve">TRL-8600</t>
  </si>
  <si>
    <t xml:space="preserve">Trailers</t>
  </si>
  <si>
    <t xml:space="preserve">Equipment trailer</t>
  </si>
  <si>
    <t xml:space="preserve">Equipment trailer, tilt bed 17,500 lb GVWR</t>
  </si>
  <si>
    <t xml:space="preserve">8600</t>
  </si>
  <si>
    <t xml:space="preserve">Tow vehicle priced separately. FEMA 8600: Rate not captured.</t>
  </si>
  <si>
    <t xml:space="preserve">TRL-8601</t>
  </si>
  <si>
    <t xml:space="preserve">Equipment trailer, tri-axle 30 ft / 62,000 lb GVWR</t>
  </si>
  <si>
    <t xml:space="preserve">8601</t>
  </si>
  <si>
    <t xml:space="preserve">Tow vehicle priced separately. FEMA 8601: Rate not captured.</t>
  </si>
  <si>
    <t xml:space="preserve">TRL-8602</t>
  </si>
  <si>
    <t xml:space="preserve">Lowboy drop-deck 60 ton</t>
  </si>
  <si>
    <t xml:space="preserve">8602</t>
  </si>
  <si>
    <t xml:space="preserve">Tow vehicle priced separately. FEMA 8602: Rate not captured.</t>
  </si>
  <si>
    <t xml:space="preserve">TRL-8603</t>
  </si>
  <si>
    <t xml:space="preserve">Lowboy flush-deck 120 ton</t>
  </si>
  <si>
    <t xml:space="preserve">8603</t>
  </si>
  <si>
    <t xml:space="preserve">Tow vehicle priced separately. FEMA 8603: Rate not captured.</t>
  </si>
  <si>
    <t xml:space="preserve">TRL-8708</t>
  </si>
  <si>
    <t xml:space="preserve">Semi trailer</t>
  </si>
  <si>
    <t xml:space="preserve">Semi trailer 48 ft flatbed</t>
  </si>
  <si>
    <t xml:space="preserve">8708</t>
  </si>
  <si>
    <t xml:space="preserve">Tow vehicle priced separately. FEMA 8708: Rate not captured.</t>
  </si>
  <si>
    <t xml:space="preserve">TRL-8709</t>
  </si>
  <si>
    <t xml:space="preserve">Semi trailer enclosed</t>
  </si>
  <si>
    <t xml:space="preserve">8709</t>
  </si>
  <si>
    <t xml:space="preserve">Tow vehicle priced separately. FEMA 8709: Rate not captured.</t>
  </si>
  <si>
    <t xml:space="preserve">TRL-8711</t>
  </si>
  <si>
    <t xml:space="preserve">Utility trailer</t>
  </si>
  <si>
    <t xml:space="preserve">8711</t>
  </si>
  <si>
    <t xml:space="preserve">Tow vehicle priced separately. FEMA 8711: Rate not captured.</t>
  </si>
  <si>
    <t xml:space="preserve">TRL-8644</t>
  </si>
  <si>
    <t xml:space="preserve">Covered utility trailer</t>
  </si>
  <si>
    <t xml:space="preserve">Covered utility trailer 7x16 ft</t>
  </si>
  <si>
    <t xml:space="preserve">8644</t>
  </si>
  <si>
    <t xml:space="preserve">Tow vehicle priced separately. FEMA 8644: Rate not captured.</t>
  </si>
  <si>
    <t xml:space="preserve">OFF-8x20</t>
  </si>
  <si>
    <t xml:space="preserve">Site &amp; temporary facilities</t>
  </si>
  <si>
    <t xml:space="preserve">Office trailer</t>
  </si>
  <si>
    <t xml:space="preserve">Mobile office</t>
  </si>
  <si>
    <t xml:space="preserve">Office trailer 8x20</t>
  </si>
  <si>
    <t xml:space="preserve">electric (site power)</t>
  </si>
  <si>
    <t xml:space="preserve">PRICER-OT</t>
  </si>
  <si>
    <t xml:space="preserve">Oct 1 2026</t>
  </si>
  <si>
    <t xml:space="preserve">Accrues monthly.</t>
  </si>
  <si>
    <t xml:space="preserve">SITE-DUR</t>
  </si>
  <si>
    <t xml:space="preserve">Rent: ThePricer $200-500/month; midpoint used as 4-week (monthly != 4-week). Delivery single-wide ~$500-1,500; delivery+setup $1,000-5,000+; pickup ~= delivery.</t>
  </si>
  <si>
    <t xml:space="preserve">OFF-10x40</t>
  </si>
  <si>
    <t xml:space="preserve">Office trailer 10x40</t>
  </si>
  <si>
    <t xml:space="preserve">10x40</t>
  </si>
  <si>
    <t xml:space="preserve">Rent: ThePricer $300-700/month; midpoint used as 4-week (monthly != 4-week). Delivery single-wide ~$500-1,500; delivery+setup $1,000-5,000+; pickup ~= delivery.</t>
  </si>
  <si>
    <t xml:space="preserve">OFF-12x60</t>
  </si>
  <si>
    <t xml:space="preserve">single-wide</t>
  </si>
  <si>
    <t xml:space="preserve">Office trailer 12x60 single-wide</t>
  </si>
  <si>
    <t xml:space="preserve">12x60</t>
  </si>
  <si>
    <t xml:space="preserve">Rent: ThePricer $450-900/month; midpoint used as 4-week (monthly != 4-week). Delivery single-wide ~$500-1,500; delivery+setup $1,000-5,000+; pickup ~= delivery.</t>
  </si>
  <si>
    <t xml:space="preserve">OFF-24x60</t>
  </si>
  <si>
    <t xml:space="preserve">double-wide</t>
  </si>
  <si>
    <t xml:space="preserve">Office trailer 24x60 double-wide</t>
  </si>
  <si>
    <t xml:space="preserve">24x60</t>
  </si>
  <si>
    <t xml:space="preserve">Rent: ThePricer $800-1,800/month; midpoint used as 4-week (monthly != 4-week). Delivery single-wide ~$500-1,500; delivery+setup $1,000-5,000+; pickup ~= delivery.</t>
  </si>
  <si>
    <t xml:space="preserve">OFF-FEMA-8640</t>
  </si>
  <si>
    <t xml:space="preserve">Office / facility trailer</t>
  </si>
  <si>
    <t xml:space="preserve">FEMA</t>
  </si>
  <si>
    <t xml:space="preserve">Office trailer 8x24 (FEMA)</t>
  </si>
  <si>
    <t xml:space="preserve">8640</t>
  </si>
  <si>
    <t xml:space="preserve">FEMA 8640: Rate not captured.</t>
  </si>
  <si>
    <t xml:space="preserve">OFF-FEMA-8641</t>
  </si>
  <si>
    <t xml:space="preserve">Office trailer 7x12 (FEMA)</t>
  </si>
  <si>
    <t xml:space="preserve">8641</t>
  </si>
  <si>
    <t xml:space="preserve">FEMA 8641: Rate not captured.</t>
  </si>
  <si>
    <t xml:space="preserve">OFF-FEMA-8642</t>
  </si>
  <si>
    <t xml:space="preserve">Command trailer (FEMA)</t>
  </si>
  <si>
    <t xml:space="preserve">8642</t>
  </si>
  <si>
    <t xml:space="preserve">FEMA 8642: Rate not captured.</t>
  </si>
  <si>
    <t xml:space="preserve">OFF-FEMA-8645</t>
  </si>
  <si>
    <t xml:space="preserve">Restroom/shower trailer, 12 stations (FEMA)</t>
  </si>
  <si>
    <t xml:space="preserve">8645</t>
  </si>
  <si>
    <t xml:space="preserve">FEMA 8645: Rate not captured.</t>
  </si>
  <si>
    <t xml:space="preserve">CONT-STORAGE</t>
  </si>
  <si>
    <t xml:space="preserve">Storage container</t>
  </si>
  <si>
    <t xml:space="preserve">20-40 ft</t>
  </si>
  <si>
    <t xml:space="preserve">Storage container 20-40 ft</t>
  </si>
  <si>
    <t xml:space="preserve">20-40</t>
  </si>
  <si>
    <t xml:space="preserve">BNB-CONT</t>
  </si>
  <si>
    <t xml:space="preserve">Mar 27 2025</t>
  </si>
  <si>
    <t xml:space="preserve">Rent: Boom &amp; Bucket $75-500/mo by size/mods; midpoint as 4-week. Delivery $100-500. (ThePricer Dec 2022 excluded as outdated.)</t>
  </si>
  <si>
    <t xml:space="preserve">FENCE-CHAIN-LF</t>
  </si>
  <si>
    <t xml:space="preserve">Temporary fence</t>
  </si>
  <si>
    <t xml:space="preserve">Chain-link panels</t>
  </si>
  <si>
    <t xml:space="preserve">Chain-link panel fence (per LF)</t>
  </si>
  <si>
    <t xml:space="preserve">LF</t>
  </si>
  <si>
    <t xml:space="preserve">LF/4wk</t>
  </si>
  <si>
    <t xml:space="preserve">PRICER-FN</t>
  </si>
  <si>
    <t xml:space="preserve">Jun 30 2026</t>
  </si>
  <si>
    <t xml:space="preserve">Rate is $ per LF per month, not per unit. Rent: $1-3.50/LF/month; midpoint as 4-week $/LF. In-ground $2-5+/LF/mo; privacy screen +$0.50-2.50/LF; gates vehicle $100-500+, ped $50-250+; delivery/pickup $150-600+; setup/removal $200-1,000+.</t>
  </si>
  <si>
    <t xml:space="preserve">SCAF-FRAME-6</t>
  </si>
  <si>
    <t xml:space="preserve">Scaffolding</t>
  </si>
  <si>
    <t xml:space="preserve">Interior frame</t>
  </si>
  <si>
    <t xml:space="preserve">6 ft frame section</t>
  </si>
  <si>
    <t xml:space="preserve">Section height</t>
  </si>
  <si>
    <t xml:space="preserve">Carpenter/Laborer (scaffold erector, per WD)</t>
  </si>
  <si>
    <t xml:space="preserve">each/day/wk/4wk</t>
  </si>
  <si>
    <t xml:space="preserve">Rent: Nu-Way only. 3 ft pony $15/30/90; outriggers set of 4 $5/15/45; guardrail/toeboard $5/15/45.</t>
  </si>
  <si>
    <t xml:space="preserve">TRAF-ARROW</t>
  </si>
  <si>
    <t xml:space="preserve">Arrow board</t>
  </si>
  <si>
    <t xml:space="preserve">Trailer, solar</t>
  </si>
  <si>
    <t xml:space="preserve">Solar arrow board</t>
  </si>
  <si>
    <t xml:space="preserve">arrow</t>
  </si>
  <si>
    <t xml:space="preserve">FEMA 8050</t>
  </si>
  <si>
    <t xml:space="preserve">solar</t>
  </si>
  <si>
    <t xml:space="preserve">8050</t>
  </si>
  <si>
    <t xml:space="preserve">Rent: Burris only. FEMA 8050: Rate not captured.</t>
  </si>
  <si>
    <t xml:space="preserve">TRAF-CMS</t>
  </si>
  <si>
    <t xml:space="preserve">Message board (CMS)</t>
  </si>
  <si>
    <t xml:space="preserve">Trailer</t>
  </si>
  <si>
    <t xml:space="preserve">Changeable message sign</t>
  </si>
  <si>
    <t xml:space="preserve">CMS</t>
  </si>
  <si>
    <t xml:space="preserve">FEMA 8051</t>
  </si>
  <si>
    <t xml:space="preserve">8051</t>
  </si>
  <si>
    <t xml:space="preserve">FEMA 8051: Rate not captured.</t>
  </si>
  <si>
    <t xml:space="preserve">TANK-FUEL-1200</t>
  </si>
  <si>
    <t xml:space="preserve">Fuel tank</t>
  </si>
  <si>
    <t xml:space="preserve">Fuel cube</t>
  </si>
  <si>
    <t xml:space="preserve">Fuel Cube 1,204 gal</t>
  </si>
  <si>
    <t xml:space="preserve">Rent: Wheeler only ($360/wk, $1,080/4-wk; no day rate).</t>
  </si>
  <si>
    <t xml:space="preserve">TANK-DEF-132</t>
  </si>
  <si>
    <t xml:space="preserve">DEF tank</t>
  </si>
  <si>
    <t xml:space="preserve">DEF cube</t>
  </si>
  <si>
    <t xml:space="preserve">DEF Cube 132 gal</t>
  </si>
  <si>
    <t xml:space="preserve">TANK-TACK-TT300</t>
  </si>
  <si>
    <t xml:space="preserve">Tack/asphalt tank</t>
  </si>
  <si>
    <t xml:space="preserve">Trailer tank</t>
  </si>
  <si>
    <t xml:space="preserve">Weiler TT300 tank</t>
  </si>
  <si>
    <t xml:space="preserve">TT300</t>
  </si>
  <si>
    <t xml:space="preserve">Weiler TT300</t>
  </si>
  <si>
    <t xml:space="preserve">PV-TACK</t>
  </si>
  <si>
    <t xml:space="preserve">ERO-HS-8630</t>
  </si>
  <si>
    <t xml:space="preserve">Hydroseeder</t>
  </si>
  <si>
    <t xml:space="preserve">Erosion control</t>
  </si>
  <si>
    <t xml:space="preserve">Hydroseeder Reinco HG-5</t>
  </si>
  <si>
    <t xml:space="preserve">HG-5</t>
  </si>
  <si>
    <t xml:space="preserve">8630</t>
  </si>
  <si>
    <t xml:space="preserve">SITE-HYDROSEED</t>
  </si>
  <si>
    <t xml:space="preserve">FEMA 8630: FEMA rate not reliably extracted.</t>
  </si>
  <si>
    <t xml:space="preserve">ERO-HS-8631</t>
  </si>
  <si>
    <t xml:space="preserve">Hydroseeder Reinco HG-10</t>
  </si>
  <si>
    <t xml:space="preserve">HG-10</t>
  </si>
  <si>
    <t xml:space="preserve">8631</t>
  </si>
  <si>
    <t xml:space="preserve">FEMA 8631: FEMA rate not reliably extracted.</t>
  </si>
  <si>
    <t xml:space="preserve">ERO-HS-8632</t>
  </si>
  <si>
    <t xml:space="preserve">Hydroseeder Reinco HG-30</t>
  </si>
  <si>
    <t xml:space="preserve">HG-30</t>
  </si>
  <si>
    <t xml:space="preserve">8632</t>
  </si>
  <si>
    <t xml:space="preserve">FEMA 8632: FEMA rate not reliably extracted.</t>
  </si>
  <si>
    <t xml:space="preserve">ERO-MULCH-8633</t>
  </si>
  <si>
    <t xml:space="preserve">Straw mulcher</t>
  </si>
  <si>
    <t xml:space="preserve">Straw mulcher Finn B70</t>
  </si>
  <si>
    <t xml:space="preserve">B70</t>
  </si>
  <si>
    <t xml:space="preserve">8633</t>
  </si>
  <si>
    <t xml:space="preserve">FEMA 8633: Rate not captured.</t>
  </si>
  <si>
    <t xml:space="preserve">ERO-MULCH-8634</t>
  </si>
  <si>
    <t xml:space="preserve">Straw mulcher Reinco M65</t>
  </si>
  <si>
    <t xml:space="preserve">M65</t>
  </si>
  <si>
    <t xml:space="preserve">8634</t>
  </si>
  <si>
    <t xml:space="preserve">FEMA 8634: Rate not captured.</t>
  </si>
  <si>
    <t xml:space="preserve">ERO-MULCH-8635</t>
  </si>
  <si>
    <t xml:space="preserve">Straw mulcher Reinco M90</t>
  </si>
  <si>
    <t xml:space="preserve">M90</t>
  </si>
  <si>
    <t xml:space="preserve">8635</t>
  </si>
  <si>
    <t xml:space="preserve">FEMA 8635: Rate not captured.</t>
  </si>
  <si>
    <t xml:space="preserve">SITE-SANDBAGGER</t>
  </si>
  <si>
    <t xml:space="preserve">Sandbagger</t>
  </si>
  <si>
    <t xml:space="preserve">Machine</t>
  </si>
  <si>
    <t xml:space="preserve">FEMA 8872</t>
  </si>
  <si>
    <t xml:space="preserve">8872</t>
  </si>
  <si>
    <t xml:space="preserve">FEMA 8872: Rate not captured.</t>
  </si>
  <si>
    <t xml:space="preserve">SITE-DUSTCTRL</t>
  </si>
  <si>
    <t xml:space="preserve">Dust-control unit</t>
  </si>
  <si>
    <t xml:space="preserve">Misting cannon</t>
  </si>
  <si>
    <t xml:space="preserve">FEMA 8569</t>
  </si>
  <si>
    <t xml:space="preserve">8569</t>
  </si>
  <si>
    <t xml:space="preserve">FEMA 8569: Rate not captured.</t>
  </si>
  <si>
    <t xml:space="preserve">SITE-GPS-BASE</t>
  </si>
  <si>
    <t xml:space="preserve">GPS / machine-control base &amp; rover</t>
  </si>
  <si>
    <t xml:space="preserve">Survey/MC</t>
  </si>
  <si>
    <t xml:space="preserve">GPS base station + rover</t>
  </si>
  <si>
    <t xml:space="preserve">Unsourced category (see AT-GPS-DOZER for dozer kit).</t>
  </si>
  <si>
    <t xml:space="preserve">SITE-RESTROOM</t>
  </si>
  <si>
    <t xml:space="preserve">Portable restroom</t>
  </si>
  <si>
    <t xml:space="preserve">Site</t>
  </si>
  <si>
    <t xml:space="preserve">Category named in taxonomy gaps; no classes or rates in notes.</t>
  </si>
  <si>
    <t xml:space="preserve">SITE-BARRICADE</t>
  </si>
  <si>
    <t xml:space="preserve">Barricades Type I/II/III</t>
  </si>
  <si>
    <t xml:space="preserve">SITE-PRESSWASH</t>
  </si>
  <si>
    <t xml:space="preserve">Pressure washer</t>
  </si>
  <si>
    <t xml:space="preserve">SITE-DEHUM</t>
  </si>
  <si>
    <t xml:space="preserve">Dehumidifier</t>
  </si>
  <si>
    <t xml:space="preserve">Activity_ID</t>
  </si>
  <si>
    <t xml:space="preserve">Group</t>
  </si>
  <si>
    <t xml:space="preserve">Activity_name</t>
  </si>
  <si>
    <t xml:space="preserve">Output_unit</t>
  </si>
  <si>
    <t xml:space="preserve">Norm_basis</t>
  </si>
  <si>
    <t xml:space="preserve">Method_formula</t>
  </si>
  <si>
    <t xml:space="preserve">Required_inputs</t>
  </si>
  <si>
    <t xml:space="preserve">Source_ids</t>
  </si>
  <si>
    <t xml:space="preserve">Activity_type</t>
  </si>
  <si>
    <t xml:space="preserve">EW-CLR-MED</t>
  </si>
  <si>
    <t xml:space="preserve">Earthwork: clearing</t>
  </si>
  <si>
    <t xml:space="preserve">Clear &amp; grub with medium tractor dozer (straight blade)</t>
  </si>
  <si>
    <t xml:space="preserve">acre/hr</t>
  </si>
  <si>
    <t xml:space="preserve">Handbook quick method (FM Table 2-1), per hour</t>
  </si>
  <si>
    <t xml:space="preserve">acre/hr = 1 / (hours per acre): light 2.5, medium 5.0, heavy 10.0 hr/acre. Strip-type clearing +60%; grubbing +25%. DOT: C&amp;G 3-9 STA/day (WisDOT)</t>
  </si>
  <si>
    <t xml:space="preserve">Vegetation (light &lt;=12 in, medium 12-18, heavy &gt;=18)</t>
  </si>
  <si>
    <t xml:space="preserve">FM5434;WISDOT;TXDOT</t>
  </si>
  <si>
    <t xml:space="preserve">EW-CLR-HVY</t>
  </si>
  <si>
    <t xml:space="preserve">Clear &amp; grub with heavy tractor dozer (straight blade)</t>
  </si>
  <si>
    <t xml:space="preserve">acre/hr = 1 / (hours per acre): light 1.5, medium 3.0, heavy 8.0 hr/acre. Shear (KG) blade: 0.3/0.5/0.8 hr/acre</t>
  </si>
  <si>
    <t xml:space="preserve">Vegetation</t>
  </si>
  <si>
    <t xml:space="preserve">FM5434</t>
  </si>
  <si>
    <t xml:space="preserve">EW-STRIP</t>
  </si>
  <si>
    <t xml:space="preserve">Earthwork: strip</t>
  </si>
  <si>
    <t xml:space="preserve">Strip topsoil with dozer (short push, 50 ft)</t>
  </si>
  <si>
    <t xml:space="preserve">LCY/hr</t>
  </si>
  <si>
    <t xml:space="preserve">Per hour at 50-min hour (E)</t>
  </si>
  <si>
    <t xml:space="preserve">LCY/hr = Blade_LCY x 60 / (t_fixed + D/(v_doze x 88) + D/(v_return x 88)) x E; D = 50 ft; material factor 1.0</t>
  </si>
  <si>
    <t xml:space="preserve">Blade LCY, push distance, speeds</t>
  </si>
  <si>
    <t xml:space="preserve">KSU-4;FM5434</t>
  </si>
  <si>
    <t xml:space="preserve">EW-PUSH-100</t>
  </si>
  <si>
    <t xml:space="preserve">Earthwork: push</t>
  </si>
  <si>
    <t xml:space="preserve">Dozer push / bulk doze, 100 ft average push</t>
  </si>
  <si>
    <t xml:space="preserve">Same dozer cycle equation, D = 100 ft. Low = x0.75 avg operator x0.80 hard-to-drift; High = x1.20 slot dozing</t>
  </si>
  <si>
    <t xml:space="preserve">Blade LCY, D, speeds, factors</t>
  </si>
  <si>
    <t xml:space="preserve">EW-PUSH-200</t>
  </si>
  <si>
    <t xml:space="preserve">Dozer push, 200 ft average push</t>
  </si>
  <si>
    <t xml:space="preserve">As EW-PUSH-100 with D = 200 ft</t>
  </si>
  <si>
    <t xml:space="preserve">EW-PUSH-300</t>
  </si>
  <si>
    <t xml:space="preserve">Dozer push, 300 ft average push</t>
  </si>
  <si>
    <t xml:space="preserve">As EW-PUSH-100 with D = 300 ft</t>
  </si>
  <si>
    <t xml:space="preserve">EW-SPREAD</t>
  </si>
  <si>
    <t xml:space="preserve">Earthwork: spread</t>
  </si>
  <si>
    <t xml:space="preserve">Spread dumped fill / topsoil with dozer (50 ft, loose material)</t>
  </si>
  <si>
    <t xml:space="preserve">Dozer cycle at D = 50 ft x loose-stockpile material factor 1.20 (FM Table 2-4). DOT cross-check: topsoil placement 120-700 CY/day, typical 280 (WisDOT)</t>
  </si>
  <si>
    <t xml:space="preserve">Blade LCY</t>
  </si>
  <si>
    <t xml:space="preserve">KSU-4;FM5434;WISDOT</t>
  </si>
  <si>
    <t xml:space="preserve">EW-RGRADE</t>
  </si>
  <si>
    <t xml:space="preserve">Rough grade with dozer</t>
  </si>
  <si>
    <t xml:space="preserve">SY/hr</t>
  </si>
  <si>
    <t xml:space="preserve">n/a</t>
  </si>
  <si>
    <t xml:space="preserve">No sourced dozer grading rate (Cat curves not obtained). Price by duration or use grader rows.</t>
  </si>
  <si>
    <t xml:space="preserve">EW-RIP</t>
  </si>
  <si>
    <t xml:space="preserve">Earthwork: rock rip</t>
  </si>
  <si>
    <t xml:space="preserve">Rip rock with single-shank ripper (large dozer)</t>
  </si>
  <si>
    <t xml:space="preserve">BCY/hr</t>
  </si>
  <si>
    <t xml:space="preserve">Indicative (seismic velocity), single tractor</t>
  </si>
  <si>
    <t xml:space="preserve">Indicative: 5,000 fps -&gt; 500 BCY/hr; 6,500 fps -&gt; 300; 8,500 fps -&gt; 150 (model not stated). Pass-geometry: BCY/hr = (D x S x Lp/27) x 60 / (Lp/(mph x 88) + t_turn) x E</t>
  </si>
  <si>
    <t xml:space="preserve">Seismic velocity or pass geometry</t>
  </si>
  <si>
    <t xml:space="preserve">GEOM;FM5434;WYDOT-RIP</t>
  </si>
  <si>
    <t xml:space="preserve">Earthwork: cut/load</t>
  </si>
  <si>
    <t xml:space="preserve">Bulk cut and load trucks (hydraulic excavator)</t>
  </si>
  <si>
    <t xml:space="preserve">LCY/hr = 3600/cycle_s x Bucket_CY x Fill x E; BCY = LCY x Load factor (L-&gt;B). Cycle 14 s (&lt;1 CY), 15 s (1-2.5 CY) at 40-60% depth, 30-60 deg swing</t>
  </si>
  <si>
    <t xml:space="preserve">Bucket CY, fill factor, soil</t>
  </si>
  <si>
    <t xml:space="preserve">FM5434-8;KSU-3;FM5434</t>
  </si>
  <si>
    <t xml:space="preserve">Mass excavation, cast to spoil/stockpile (hydraulic excavator)</t>
  </si>
  <si>
    <t xml:space="preserve">Same as EW-CUTLOAD (no sourced differential between loading trucks and casting; truck exchange limits are handled by fleet balance)</t>
  </si>
  <si>
    <t xml:space="preserve">Bucket CY, fill, soil</t>
  </si>
  <si>
    <t xml:space="preserve">FM5434-8;KSU-3</t>
  </si>
  <si>
    <t xml:space="preserve">EW-TRENCH-5</t>
  </si>
  <si>
    <t xml:space="preserve">Earthwork: trench</t>
  </si>
  <si>
    <t xml:space="preserve">Trench excavation, up to ~5 ft deep</t>
  </si>
  <si>
    <t xml:space="preserve">Excavator equation x trench factor 0.98 (0.95-1.0). LF/hr = BCY/hr x 27 / trench cross-section (ft2) incl. slope/bench</t>
  </si>
  <si>
    <t xml:space="preserve">Bucket CY, fill, soil, cross-section for LF</t>
  </si>
  <si>
    <t xml:space="preserve">KSU-3;KSU-T3;FM5434-8</t>
  </si>
  <si>
    <t xml:space="preserve">EW-TRENCH-10</t>
  </si>
  <si>
    <t xml:space="preserve">Trench excavation, 6-10 ft deep</t>
  </si>
  <si>
    <t xml:space="preserve">As EW-TRENCH-5; machine must reach depth at &lt;=60% of max dig depth for the FM cycle to hold (deeper = slower, not quantified)</t>
  </si>
  <si>
    <t xml:space="preserve">EW-TRENCH-15</t>
  </si>
  <si>
    <t xml:space="preserve">Trench excavation, 11-15 ft deep (shored/boxed)</t>
  </si>
  <si>
    <t xml:space="preserve">As EW-TRENCH-5; restricted to &gt;=20 t classes</t>
  </si>
  <si>
    <t xml:space="preserve">EW-STRUCT</t>
  </si>
  <si>
    <t xml:space="preserve">Structural excavation (footings, pits; confined swing)</t>
  </si>
  <si>
    <t xml:space="preserve">Excavator equation x confined/trench factor 0.95 (low end of 0.95-1.0)</t>
  </si>
  <si>
    <t xml:space="preserve">KSU-3;KSU-T3</t>
  </si>
  <si>
    <t xml:space="preserve">EW-BACKFILL</t>
  </si>
  <si>
    <t xml:space="preserve">Earthwork: backfill</t>
  </si>
  <si>
    <t xml:space="preserve">Backfill with excavator/backhoe/loader (place loose material, excl. compaction)</t>
  </si>
  <si>
    <t xml:space="preserve">LCY/hr = 3600/cycle x Bucket x Fill(loose 0.95) x E (bucket-handling equation applied to loose material; inference)</t>
  </si>
  <si>
    <t xml:space="preserve">Bucket CY</t>
  </si>
  <si>
    <t xml:space="preserve">FM5434-8;CAT-FILL;CAT-WL</t>
  </si>
  <si>
    <t xml:space="preserve">Load trucks from stockpile/loose (wheel/track loader, backhoe loader)</t>
  </si>
  <si>
    <t xml:space="preserve">LCY/hr = Bucket x Fill x 3600/cycle_s x E; Cat basic cycle 27-33 s (typ 30)</t>
  </si>
  <si>
    <t xml:space="preserve">Bucket CY (sourced for loaders), fill, cycle</t>
  </si>
  <si>
    <t xml:space="preserve">CAT-WL;CAT-FILL;KSU-EQ</t>
  </si>
  <si>
    <t xml:space="preserve">EW-STOCKPILE</t>
  </si>
  <si>
    <t xml:space="preserve">Stockpile / rehandle with loader (minimum travel)</t>
  </si>
  <si>
    <t xml:space="preserve">Same as EW-LOAD-TRK (basic cycle includes minimum travel; add travel time for load-and-carry)</t>
  </si>
  <si>
    <t xml:space="preserve">CAT-WL;CAT-FILL</t>
  </si>
  <si>
    <t xml:space="preserve">EW-SCR-1000</t>
  </si>
  <si>
    <t xml:space="preserve">Earthwork: scraper</t>
  </si>
  <si>
    <t xml:space="preserve">Scraper load-haul-dump, 1,000 ft one-way</t>
  </si>
  <si>
    <t xml:space="preserve">Per hour, trips = 60 x E / cycle</t>
  </si>
  <si>
    <t xml:space="preserve">Cycle = load + turn/dump 0.81 + L/(v_haul x 88) + L/(v_return x 88); load 0.85 min (D8 push) / 1.0 (D7); payload LCY = MIN(heaped x 0.833 (FM 621B 20 LCY / 24 yd3), rated load lb / 2,300 lb per LCY); trips/hr x E; BCY = LCY x 0.80</t>
  </si>
  <si>
    <t xml:space="preserve">Bowl, speeds (ASSUMED), load time</t>
  </si>
  <si>
    <t xml:space="preserve">FM5434;USMC-PE;KSU-T6</t>
  </si>
  <si>
    <t xml:space="preserve">EW-SCR-2000</t>
  </si>
  <si>
    <t xml:space="preserve">Scraper load-haul-dump, 2,000 ft one-way</t>
  </si>
  <si>
    <t xml:space="preserve">Per hour</t>
  </si>
  <si>
    <t xml:space="preserve">As EW-SCR-1000, L = 2,000 ft</t>
  </si>
  <si>
    <t xml:space="preserve">FM5434;USMC-PE</t>
  </si>
  <si>
    <t xml:space="preserve">EW-SCR-3000</t>
  </si>
  <si>
    <t xml:space="preserve">Scraper load-haul-dump, 3,000 ft one-way</t>
  </si>
  <si>
    <t xml:space="preserve">As EW-SCR-1000, L = 3,000 ft</t>
  </si>
  <si>
    <t xml:space="preserve">EW-HAUL-TRK-05</t>
  </si>
  <si>
    <t xml:space="preserve">Earthwork: haul</t>
  </si>
  <si>
    <t xml:space="preserve">Haul with on-road dump truck, 0.5 mi one-way</t>
  </si>
  <si>
    <t xml:space="preserve">BCY/hr per truck</t>
  </si>
  <si>
    <t xml:space="preserve">Per hour per truck (E)</t>
  </si>
  <si>
    <t xml:space="preserve">Cycle = load (capacity / 2.7 LCY per pass x 0.5 min per pass; Settings B36-B37) + dump/maneuver 1.5 + mi x 60/v_loaded + mi x 60/v_empty; LCY/hr = Cap x 60 x E / cycle; BCY = x0.80. Trucks needed N = cycle / load time</t>
  </si>
  <si>
    <t xml:space="preserve">Truck capacity, speeds (ASSUMED)</t>
  </si>
  <si>
    <t xml:space="preserve">OEP;KSU-T5;KSU-EQ;KSU-T6</t>
  </si>
  <si>
    <t xml:space="preserve">Haul with on-road dump truck, 1 mi one-way</t>
  </si>
  <si>
    <t xml:space="preserve">As EW-HAUL-TRK-05, 1.0 mi</t>
  </si>
  <si>
    <t xml:space="preserve">OEP;KSU-T5</t>
  </si>
  <si>
    <t xml:space="preserve">EW-HAUL-TRK-20</t>
  </si>
  <si>
    <t xml:space="preserve">Haul with on-road dump truck, 2 mi one-way</t>
  </si>
  <si>
    <t xml:space="preserve">As EW-HAUL-TRK-05, 2.0 mi</t>
  </si>
  <si>
    <t xml:space="preserve">EW-HAUL-ADT-05</t>
  </si>
  <si>
    <t xml:space="preserve">Haul with ADT, 0.5 mi one-way</t>
  </si>
  <si>
    <t xml:space="preserve">As on-road truck; capacity LCY = payload tons x 2000 / 2,300 lb/LCY (FM standard material weight)</t>
  </si>
  <si>
    <t xml:space="preserve">Payload, speeds (ASSUMED)</t>
  </si>
  <si>
    <t xml:space="preserve">OEP;FM5434;KSU-T5</t>
  </si>
  <si>
    <t xml:space="preserve">EW-HAUL-ADT-10</t>
  </si>
  <si>
    <t xml:space="preserve">Haul with ADT, 1 mi one-way</t>
  </si>
  <si>
    <t xml:space="preserve">As EW-HAUL-ADT-05, 1.0 mi</t>
  </si>
  <si>
    <t xml:space="preserve">OEP;FM5434</t>
  </si>
  <si>
    <t xml:space="preserve">EW-HAUL-ADT-20</t>
  </si>
  <si>
    <t xml:space="preserve">Haul with ADT, 2 mi one-way</t>
  </si>
  <si>
    <t xml:space="preserve">As EW-HAUL-ADT-05, 2.0 mi</t>
  </si>
  <si>
    <t xml:space="preserve">Haul with rigid off-highway truck, 1 mi one-way</t>
  </si>
  <si>
    <t xml:space="preserve">As ADT haul, 1.0 mi</t>
  </si>
  <si>
    <t xml:space="preserve">Earthwork: fine grade</t>
  </si>
  <si>
    <t xml:space="preserve">Fine grade subgrade/base with motor grader</t>
  </si>
  <si>
    <t xml:space="preserve">Per hour (E)</t>
  </si>
  <si>
    <t xml:space="preserve">ft2/hr = mph x (Le - 2 ft overlap) x 5,280 x E; SY/hr = ft2/hr / 9 / passes. Finish speed 0-2.5 mph; blade at 30 deg</t>
  </si>
  <si>
    <t xml:space="preserve">Moldboard, speed, passes</t>
  </si>
  <si>
    <t xml:space="preserve">CAT-MG;KSU-T7</t>
  </si>
  <si>
    <t xml:space="preserve">EW-RGRADE-GR</t>
  </si>
  <si>
    <t xml:space="preserve">Rough grade / heavy blading with motor grader (PER PASS)</t>
  </si>
  <si>
    <t xml:space="preserve">SY/hr per pass</t>
  </si>
  <si>
    <t xml:space="preserve">Per hour per pass (E)</t>
  </si>
  <si>
    <t xml:space="preserve">SY per hour per pass = mph x (L x cos45 - 2) x 5,280 x E / 9; heavy blading 0-6 mph. Hours = area / rate x number of passes (passes entered by the estimator)</t>
  </si>
  <si>
    <t xml:space="preserve">Moldboard, speed, number of passes</t>
  </si>
  <si>
    <t xml:space="preserve">CAT-MG</t>
  </si>
  <si>
    <t xml:space="preserve">EW-SPREAD-BASE</t>
  </si>
  <si>
    <t xml:space="preserve">Spread and shape aggregate base (grader-led spread)</t>
  </si>
  <si>
    <t xml:space="preserve">CY/day</t>
  </si>
  <si>
    <t xml:space="preserve">DOT field daily (crew)</t>
  </si>
  <si>
    <t xml:space="preserve">TxDOT flex base Low/Med/High per day</t>
  </si>
  <si>
    <t xml:space="preserve">TXDOT;WISDOT</t>
  </si>
  <si>
    <t xml:space="preserve">Earthwork: compact</t>
  </si>
  <si>
    <t xml:space="preserve">Compact soil, 6 in compacted lifts (ride-on roller)</t>
  </si>
  <si>
    <t xml:space="preserve">CCY/hr</t>
  </si>
  <si>
    <t xml:space="preserve">CCY/hr = 16.3 x W(ft) x S(mph) x L(in) x E / P. Vibratory speed from 1 impact/in at 1,200-2,500 vpm (typ 1,850 -&gt; 1.75 mph); P = 5 (4-6)</t>
  </si>
  <si>
    <t xml:space="preserve">Drum width, speed, lift, passes</t>
  </si>
  <si>
    <t xml:space="preserve">KSU-T7;STORMW;EDUREV</t>
  </si>
  <si>
    <t xml:space="preserve">EW-COMP-SOIL-8</t>
  </si>
  <si>
    <t xml:space="preserve">Compact soil, 8 in compacted lifts</t>
  </si>
  <si>
    <t xml:space="preserve">As EW-COMP-SOIL-6, L = 8 in</t>
  </si>
  <si>
    <t xml:space="preserve">EW-COMP-SOIL-12</t>
  </si>
  <si>
    <t xml:space="preserve">Compact soil, 12 in compacted lifts (granular, heavy rollers)</t>
  </si>
  <si>
    <t xml:space="preserve">As EW-COMP-SOIL-6, L = 12 in</t>
  </si>
  <si>
    <t xml:space="preserve">KSU-T7;STORMW;KFUPM</t>
  </si>
  <si>
    <t xml:space="preserve">Compact soil with small roller/attachment, 6 in lifts</t>
  </si>
  <si>
    <t xml:space="preserve">As EW-COMP-SOIL-6</t>
  </si>
  <si>
    <t xml:space="preserve">KSU-T7;STORMW</t>
  </si>
  <si>
    <t xml:space="preserve">Compact trench backfill (trench roller / reversible plate), 4-5 in lifts</t>
  </si>
  <si>
    <t xml:space="preserve">16.3 formula with lifts &lt;=4-5 in (trench compactors)</t>
  </si>
  <si>
    <t xml:space="preserve">KSU-T7;MST-GE441;STORMW</t>
  </si>
  <si>
    <t xml:space="preserve">Compact with vibratory plate (structural/trench backfill)</t>
  </si>
  <si>
    <t xml:space="preserve">CCY/hr = ft2/hr (single-pass spec for the plate size) / passes x E x lift(in)/12 / 27; WP1550AW 19.5 in 9,750 ft2/hr; ATE TP-1830H 18 in 8,550 ft2/hr</t>
  </si>
  <si>
    <t xml:space="preserve">Plate area rate, lift 2-6 in, passes</t>
  </si>
  <si>
    <t xml:space="preserve">ATE-PLATE;WN-WP1550;MST-GE441;EDUREV</t>
  </si>
  <si>
    <t xml:space="preserve">Compact with rammer (2-3 in lifts)</t>
  </si>
  <si>
    <t xml:space="preserve">CCY/hr = area rate ft2/hr (single pass) / passes x E x lift(in)/12 / 27; Wacker BS60-4As ~1,590 ft2/hr</t>
  </si>
  <si>
    <t xml:space="preserve">Area rate, lift, passes</t>
  </si>
  <si>
    <t xml:space="preserve">MST-GE441;WN-BS60</t>
  </si>
  <si>
    <t xml:space="preserve">Earthwork: water</t>
  </si>
  <si>
    <t xml:space="preserve">Moisture-condition fill (water for compaction)</t>
  </si>
  <si>
    <t xml:space="preserve">gal/CCY</t>
  </si>
  <si>
    <t xml:space="preserve">Quantity method</t>
  </si>
  <si>
    <t xml:space="preserve">gal/CCY = dry density (pcf) x 27 x (w_target - w_insitu) / 8.33. 120 pcf, +7% -&gt; ~27 gal/CCY. Trucks = gal/hr needed / (truck gal x trips/hr)</t>
  </si>
  <si>
    <t xml:space="preserve">Dry density, moisture delta</t>
  </si>
  <si>
    <t xml:space="preserve">FM5434-11;CPUC-WATER</t>
  </si>
  <si>
    <t xml:space="preserve">Quantity/method</t>
  </si>
  <si>
    <t xml:space="preserve">Dust control watering</t>
  </si>
  <si>
    <t xml:space="preserve">gal/acre/day</t>
  </si>
  <si>
    <t xml:space="preserve">1,815 gal/acre/day active area (1,210 staging), 3 applications/day, ~10% of graded area active</t>
  </si>
  <si>
    <t xml:space="preserve">CPUC-WATER</t>
  </si>
  <si>
    <t xml:space="preserve">EW-PROOFROLL</t>
  </si>
  <si>
    <t xml:space="preserve">Proof roll</t>
  </si>
  <si>
    <t xml:space="preserve">No proof-rolling production source</t>
  </si>
  <si>
    <t xml:space="preserve">EW-SPREAD-SSL</t>
  </si>
  <si>
    <t xml:space="preserve">Spread/backfill with skid steer or CTL</t>
  </si>
  <si>
    <t xml:space="preserve">No skid steer bucket sizes or production source</t>
  </si>
  <si>
    <t xml:space="preserve">Chip brush</t>
  </si>
  <si>
    <t xml:space="preserve">ton/hr</t>
  </si>
  <si>
    <t xml:space="preserve">No chipper production source (tub grinder throughput classes only)</t>
  </si>
  <si>
    <t xml:space="preserve">Place HMA, highway/road paving spread</t>
  </si>
  <si>
    <t xml:space="preserve">TON/day</t>
  </si>
  <si>
    <t xml:space="preserve">DOT field daily median</t>
  </si>
  <si>
    <t xml:space="preserve">Paver output = min(plant tph, truck delivery tph, placement). DOT medians ~1,000-1,300 TON/day; trucks = daily tons / (floor(shift/cycle) x payload)</t>
  </si>
  <si>
    <t xml:space="preserve">Plant tph, trucks, mat</t>
  </si>
  <si>
    <t xml:space="preserve">WISDOT;TXDOT;WSDOT;NCDOT;FHWA-CFL;PSU-SP</t>
  </si>
  <si>
    <t xml:space="preserve">Place HMA, small urban / lots / thin overlay</t>
  </si>
  <si>
    <t xml:space="preserve">DOT field daily</t>
  </si>
  <si>
    <t xml:space="preserve">NCDOT small urban 200-500 TON/day; TxDOT thin overlay 200/500/750</t>
  </si>
  <si>
    <t xml:space="preserve">NCDOT;TXDOT</t>
  </si>
  <si>
    <t xml:space="preserve">Compact HMA mat (breakdown/intermediate/finish roller)</t>
  </si>
  <si>
    <t xml:space="preserve">SY/hr = mph x 5,280 x drum width(ft) / 9 x E / passes; 2.5-4 mph working speed (Roads &amp; Bridges; AI 3 mph); 7 passes (Penn State example)</t>
  </si>
  <si>
    <t xml:space="preserve">Drum width, speed, passes</t>
  </si>
  <si>
    <t xml:space="preserve">AI-ROLL;PSU-SP;RB-HMA</t>
  </si>
  <si>
    <t xml:space="preserve">Cold plane (mill), small/compact machine</t>
  </si>
  <si>
    <t xml:space="preserve">Per hour (geometric)</t>
  </si>
  <si>
    <t xml:space="preserve">SY/hr = drum width(ft) x cutting speed(fpm) x 60 x E / 9; speed 30 fpm (notes example; PM310 max 108 fpm); truck loading often governs on deep cuts</t>
  </si>
  <si>
    <t xml:space="preserve">Drum width, fpm</t>
  </si>
  <si>
    <t xml:space="preserve">CAT-PM310;WSDOT</t>
  </si>
  <si>
    <t xml:space="preserve">Cold plane, compact/mid (3-5 ft drum)</t>
  </si>
  <si>
    <t xml:space="preserve">As PV-MILL-SMALL</t>
  </si>
  <si>
    <t xml:space="preserve">CAT-PM310</t>
  </si>
  <si>
    <t xml:space="preserve">Cold plane, half/full-lane machine</t>
  </si>
  <si>
    <t xml:space="preserve">SY/day</t>
  </si>
  <si>
    <t xml:space="preserve">WSDOT 7,000-13,000 normal 9,000; WisDOT thin median 17,000, thick 14,000; TxDOT 2,450/7,430/12,075</t>
  </si>
  <si>
    <t xml:space="preserve">WSDOT;WISDOT;TXDOT</t>
  </si>
  <si>
    <t xml:space="preserve">Tack coat</t>
  </si>
  <si>
    <t xml:space="preserve">gal/SY</t>
  </si>
  <si>
    <t xml:space="preserve">0.03-0.08 gal/SY residual, &gt;=6 in beyond mat width (PennDOT 460)</t>
  </si>
  <si>
    <t xml:space="preserve">PSU-SP</t>
  </si>
  <si>
    <t xml:space="preserve">PV-PRIME</t>
  </si>
  <si>
    <t xml:space="preserve">Prime coat (distributor)</t>
  </si>
  <si>
    <t xml:space="preserve">GAL/day</t>
  </si>
  <si>
    <t xml:space="preserve">TxDOT 1,000 / 4,500 / 8,000 GAL/day</t>
  </si>
  <si>
    <t xml:space="preserve">TXDOT</t>
  </si>
  <si>
    <t xml:space="preserve">Seal coat / chip seal (spreader)</t>
  </si>
  <si>
    <t xml:space="preserve">TxDOT 14,000/36,000/140,000 SY/day; NCDOT 5,000-10,000 (major), 2,000-5,000 (small urban)</t>
  </si>
  <si>
    <t xml:space="preserve">TXDOT;NCDOT</t>
  </si>
  <si>
    <t xml:space="preserve">Sweep pavement</t>
  </si>
  <si>
    <t xml:space="preserve">lane-mi/hr</t>
  </si>
  <si>
    <t xml:space="preserve">No sweeper production source</t>
  </si>
  <si>
    <t xml:space="preserve">Paint striping, truck</t>
  </si>
  <si>
    <t xml:space="preserve">LF/day</t>
  </si>
  <si>
    <t xml:space="preserve">TxDOT 12,500/50,000/100,000; WSDOT 14,000-100,000 West (&gt;=5,000 LF/hr at 5-10 mph)</t>
  </si>
  <si>
    <t xml:space="preserve">TXDOT;WSDOT</t>
  </si>
  <si>
    <t xml:space="preserve">Striping, walk/ride-behind or push cart</t>
  </si>
  <si>
    <t xml:space="preserve">WSDOT plastic line push cart 400 LF/day (paint walk-behind not sourced)</t>
  </si>
  <si>
    <t xml:space="preserve">WSDOT</t>
  </si>
  <si>
    <t xml:space="preserve">Subgrade lime/cement treatment (stabilizer)</t>
  </si>
  <si>
    <t xml:space="preserve">TxDOT lime 688/2,495/4,108; cement 1,585/2,529/3,325 SY/day</t>
  </si>
  <si>
    <t xml:space="preserve">Place concrete by boom pump (direct from boom)</t>
  </si>
  <si>
    <t xml:space="preserve">CY/hr</t>
  </si>
  <si>
    <t xml:space="preserve">Practitioner field range</t>
  </si>
  <si>
    <t xml:space="preserve">60-100 CY/hr; rated ~133 CY/hr at 150 bar; realistic 45-75% of rated</t>
  </si>
  <si>
    <t xml:space="preserve">FCP-CONC;ACI-S21</t>
  </si>
  <si>
    <t xml:space="preserve">Place concrete by line pump / downline</t>
  </si>
  <si>
    <t xml:space="preserve">Pump with downline 40-60 CY/hr</t>
  </si>
  <si>
    <t xml:space="preserve">FCP-CONC</t>
  </si>
  <si>
    <t xml:space="preserve">Truck dump + laser screed placement</t>
  </si>
  <si>
    <t xml:space="preserve">80-160 CY/hr (200 seen, rarely sustained)</t>
  </si>
  <si>
    <t xml:space="preserve">Wet screed (hand/roller/vibratory screed) slab placement</t>
  </si>
  <si>
    <t xml:space="preserve">Wet screed (hand) 30-60 CY/hr</t>
  </si>
  <si>
    <t xml:space="preserve">Power trowel finish, walk-behind 36 in</t>
  </si>
  <si>
    <t xml:space="preserve">SF/day</t>
  </si>
  <si>
    <t xml:space="preserve">Trade press (2002)</t>
  </si>
  <si>
    <t xml:space="preserve">700-1,500 SF/day (vs 300-600 by hand)</t>
  </si>
  <si>
    <t xml:space="preserve">RER-TROWEL</t>
  </si>
  <si>
    <t xml:space="preserve">Power trowel finish, ride-on</t>
  </si>
  <si>
    <t xml:space="preserve">Trade press (2002), derived</t>
  </si>
  <si>
    <t xml:space="preserve">Ride-on covers 3-5x a walk-behind</t>
  </si>
  <si>
    <t xml:space="preserve">Slipform concrete paving</t>
  </si>
  <si>
    <t xml:space="preserve">WisDOT 850-4,000 median 2,300; TxDOT 972/2,463/4,170; WSDOT ~1 mile of 24 ft/day</t>
  </si>
  <si>
    <t xml:space="preserve">WISDOT;TXDOT;WSDOT;NCDOT</t>
  </si>
  <si>
    <t xml:space="preserve">Slipform curb &amp; gutter</t>
  </si>
  <si>
    <t xml:space="preserve">WisDOT 330-1,500 median 800; TxDOT 288/554/1,000; WSDOT 1,500 West</t>
  </si>
  <si>
    <t xml:space="preserve">WISDOT;TXDOT;WSDOT</t>
  </si>
  <si>
    <t xml:space="preserve">Saw cut concrete/asphalt</t>
  </si>
  <si>
    <t xml:space="preserve">LF/hr</t>
  </si>
  <si>
    <t xml:space="preserve">No sourced LF/hr by depth</t>
  </si>
  <si>
    <t xml:space="preserve">Place concrete by power buggy</t>
  </si>
  <si>
    <t xml:space="preserve">No buggy CY/hr source</t>
  </si>
  <si>
    <t xml:space="preserve">Place concrete by conveyor (Telebelt)</t>
  </si>
  <si>
    <t xml:space="preserve">No conveyor placement rate source</t>
  </si>
  <si>
    <t xml:space="preserve">Mix mortar/concrete on site</t>
  </si>
  <si>
    <t xml:space="preserve">cu ft/hr</t>
  </si>
  <si>
    <t xml:space="preserve">No source</t>
  </si>
  <si>
    <t xml:space="preserve">UT-PIPE-STORM</t>
  </si>
  <si>
    <t xml:space="preserve">Utilities</t>
  </si>
  <si>
    <t xml:space="preserve">Lay storm sewer 12-36 in (excavator-led crew)</t>
  </si>
  <si>
    <t xml:space="preserve">DOT field daily (8-hr day)</t>
  </si>
  <si>
    <t xml:space="preserve">WSDOT 300-1,500 West, normal 800 (East 500-2,000, normal 1,500)</t>
  </si>
  <si>
    <t xml:space="preserve">UT-PIPE-STORM-L</t>
  </si>
  <si>
    <t xml:space="preserve">Lay storm sewer 42-72 in</t>
  </si>
  <si>
    <t xml:space="preserve">WSDOT 50-200 LF/day</t>
  </si>
  <si>
    <t xml:space="preserve">UT-PIPE-SAN</t>
  </si>
  <si>
    <t xml:space="preserve">Lay sanitary sewer 6-48 in</t>
  </si>
  <si>
    <t xml:space="preserve">WSDOT 200-400 LF/day</t>
  </si>
  <si>
    <t xml:space="preserve">UT-PIPE-WATER</t>
  </si>
  <si>
    <t xml:space="preserve">Lay water main</t>
  </si>
  <si>
    <t xml:space="preserve">WSDOT 100-800, normal 300 LF/day</t>
  </si>
  <si>
    <t xml:space="preserve">HDD ream &amp; pullback (12 in reamer, sand/dirt, 40 gpm)</t>
  </si>
  <si>
    <t xml:space="preserve">Trade example (derived)</t>
  </si>
  <si>
    <t xml:space="preserve">500 ft bore pullback 3-6 machine hr -&gt; 83-167 ft/hr; ~7 of 10 hours productive; fluid gal/ft = D^2/24.5</t>
  </si>
  <si>
    <t xml:space="preserve">DRILLER-BP</t>
  </si>
  <si>
    <t xml:space="preserve">Jack and bore (auger boring)</t>
  </si>
  <si>
    <t xml:space="preserve">TxDOT 20/40/70 LF/day</t>
  </si>
  <si>
    <t xml:space="preserve">Pipe bursting, 50-ton rig (4-8 in)</t>
  </si>
  <si>
    <t xml:space="preserve">Contractor-reported</t>
  </si>
  <si>
    <t xml:space="preserve">300-400 LF/day</t>
  </si>
  <si>
    <t xml:space="preserve">CLEANER-PB</t>
  </si>
  <si>
    <t xml:space="preserve">Pipe bursting, 100-ton rig (8-12 in, to 16 in)</t>
  </si>
  <si>
    <t xml:space="preserve">500-750 LF/day</t>
  </si>
  <si>
    <t xml:space="preserve">Vacuum (hydro) excavation, pure dig time</t>
  </si>
  <si>
    <t xml:space="preserve">Measured test (GTI), converted</t>
  </si>
  <si>
    <t xml:space="preserve">Water 0.78-2.96 ft3/min -&gt; 1.7-6.6 CY/hr; air 0.43-4.43 ft3/min -&gt; 0.9-9.8 CY/hr</t>
  </si>
  <si>
    <t xml:space="preserve">GTI-VAC</t>
  </si>
  <si>
    <t xml:space="preserve">Trench with walk-behind / SSL trencher</t>
  </si>
  <si>
    <t xml:space="preserve">No trencher LF/hr source (operating guidance only)</t>
  </si>
  <si>
    <t xml:space="preserve">CE-TRENCH</t>
  </si>
  <si>
    <t xml:space="preserve">Trench with ride-on chain trencher</t>
  </si>
  <si>
    <t xml:space="preserve">No trencher LF/hr source</t>
  </si>
  <si>
    <t xml:space="preserve">Vibratory cable plow</t>
  </si>
  <si>
    <t xml:space="preserve">Sewer cleaning / jetting</t>
  </si>
  <si>
    <t xml:space="preserve">Duration</t>
  </si>
  <si>
    <t xml:space="preserve">Price by duration (no rate source)</t>
  </si>
  <si>
    <t xml:space="preserve">Trench box / plates / shoring on site</t>
  </si>
  <si>
    <t xml:space="preserve">days</t>
  </si>
  <si>
    <t xml:space="preserve">Duration = open-trench duration (pipe LF / crew LF per day) + set/move days</t>
  </si>
  <si>
    <t xml:space="preserve">Foundations</t>
  </si>
  <si>
    <t xml:space="preserve">Drive piles (crane + hammer + leads spread)</t>
  </si>
  <si>
    <t xml:space="preserve">WisDOT 190-400 median 280; TxDOT 100/150/200 LF/day; NCDOT 2-3 days per bent of 6-10 piles</t>
  </si>
  <si>
    <t xml:space="preserve">WISDOT;TXDOT;NCDOT</t>
  </si>
  <si>
    <t xml:space="preserve">Drive/extract sheet piling</t>
  </si>
  <si>
    <t xml:space="preserve">WisDOT 220-690 median 340; TxDOT 250/350/650; NCDOT 640 (incl. extraction)</t>
  </si>
  <si>
    <t xml:space="preserve">FD-SHAFT-SOIL</t>
  </si>
  <si>
    <t xml:space="preserve">Drill shafts in soil</t>
  </si>
  <si>
    <t xml:space="preserve">TxDOT 33/104/203; NCDOT &lt;=60 in 25 LF/day, &gt;60 in 18</t>
  </si>
  <si>
    <t xml:space="preserve">FD-SHAFT-ROCK</t>
  </si>
  <si>
    <t xml:space="preserve">Drill shafts in rock</t>
  </si>
  <si>
    <t xml:space="preserve">NCDOT &lt;=60 in 5 LF/day, &gt;60 in 3</t>
  </si>
  <si>
    <t xml:space="preserve">NCDOT</t>
  </si>
  <si>
    <t xml:space="preserve">LF-GIRDER-PRECAST</t>
  </si>
  <si>
    <t xml:space="preserve">Lifting</t>
  </si>
  <si>
    <t xml:space="preserve">Erect precast bridge girders</t>
  </si>
  <si>
    <t xml:space="preserve">EA/day</t>
  </si>
  <si>
    <t xml:space="preserve">WisDOT 5-8, median 6</t>
  </si>
  <si>
    <t xml:space="preserve">WISDOT</t>
  </si>
  <si>
    <t xml:space="preserve">LF-STEEL-BEAM</t>
  </si>
  <si>
    <t xml:space="preserve">Erect structural steel bridge beams</t>
  </si>
  <si>
    <t xml:space="preserve">WisDOT 6-12 EA/day</t>
  </si>
  <si>
    <t xml:space="preserve">Tower crane hook (lifts per hour)</t>
  </si>
  <si>
    <t xml:space="preserve">lifts/hr</t>
  </si>
  <si>
    <t xml:space="preserve">Measured study, derived</t>
  </si>
  <si>
    <t xml:space="preserve">&gt;50% of lifts &lt;4 min; effective crane time 70-75% -&gt; ~10-12 lifts/hr theoretical; precast much lower</t>
  </si>
  <si>
    <t xml:space="preserve">VTT-CRANE</t>
  </si>
  <si>
    <t xml:space="preserve">Mobile crane on site (picks, setting)</t>
  </si>
  <si>
    <t xml:space="preserve">hr/day</t>
  </si>
  <si>
    <t xml:space="preserve">Duration = pieces / pieces per day + mob/assembly; hourly minimums apply</t>
  </si>
  <si>
    <t xml:space="preserve">NTXC;CFCS</t>
  </si>
  <si>
    <t xml:space="preserve">Aerial work platform on site</t>
  </si>
  <si>
    <t xml:space="preserve">Duration = trade crew duration served (finishes, MEP, envelope)</t>
  </si>
  <si>
    <t xml:space="preserve">Telehandler on site</t>
  </si>
  <si>
    <t xml:space="preserve">Duration = trade crew duration served (framing, masonry, roofing, MEP)</t>
  </si>
  <si>
    <t xml:space="preserve">DOZR-TH</t>
  </si>
  <si>
    <t xml:space="preserve">Forklift on site</t>
  </si>
  <si>
    <t xml:space="preserve">Duration of material-handling need</t>
  </si>
  <si>
    <t xml:space="preserve">Demolition</t>
  </si>
  <si>
    <t xml:space="preserve">Remove concrete pavement</t>
  </si>
  <si>
    <t xml:space="preserve">WisDOT 410-2,500 median 1,000; TxDOT 1,510/1,974/4,000; WSDOT 600 SY/day</t>
  </si>
  <si>
    <t xml:space="preserve">DM-PAVE-ASPH</t>
  </si>
  <si>
    <t xml:space="preserve">Remove asphalt pavement</t>
  </si>
  <si>
    <t xml:space="preserve">WSDOT 2,500-3,000 SY/day</t>
  </si>
  <si>
    <t xml:space="preserve">DM-CURB</t>
  </si>
  <si>
    <t xml:space="preserve">Remove concrete curb &amp; gutter</t>
  </si>
  <si>
    <t xml:space="preserve">WSDOT 1,200 LF/day</t>
  </si>
  <si>
    <t xml:space="preserve">Building demolition (high-reach / excavator)</t>
  </si>
  <si>
    <t xml:space="preserve">No building demolition SF/day source</t>
  </si>
  <si>
    <t xml:space="preserve">Hydroseed / seed, fertilize &amp; mulch</t>
  </si>
  <si>
    <t xml:space="preserve">acre/day</t>
  </si>
  <si>
    <t xml:space="preserve">WSDOT 4-10 acres/day West, normal 5; NCDOT 1-3; 800-gal tank covers 3,485-11,616 SF per load</t>
  </si>
  <si>
    <t xml:space="preserve">WSDOT;NCDOT;PROFILE-HS</t>
  </si>
  <si>
    <t xml:space="preserve">Site facility / temporary item on site</t>
  </si>
  <si>
    <t xml:space="preserve">months</t>
  </si>
  <si>
    <t xml:space="preserve">Duration = project or phase duration</t>
  </si>
  <si>
    <t xml:space="preserve">Compressor on site (tools)</t>
  </si>
  <si>
    <t xml:space="preserve">Duration = tool-using activity duration</t>
  </si>
  <si>
    <t xml:space="preserve">EW-TIME</t>
  </si>
  <si>
    <t xml:space="preserve">Generator / welder on site</t>
  </si>
  <si>
    <t xml:space="preserve">Duration = powered activity or project phase; 24/7 standby power = 3 shifts</t>
  </si>
  <si>
    <t xml:space="preserve">Light tower on site</t>
  </si>
  <si>
    <t xml:space="preserve">nights</t>
  </si>
  <si>
    <t xml:space="preserve">Duration = night-shift duration</t>
  </si>
  <si>
    <t xml:space="preserve">Temporary heat</t>
  </si>
  <si>
    <t xml:space="preserve">Duration = cold-weather protection period</t>
  </si>
  <si>
    <t xml:space="preserve">Dewatering pump</t>
  </si>
  <si>
    <t xml:space="preserve">Duration = excavation open below water table; often 24 hr/day</t>
  </si>
  <si>
    <t xml:space="preserve">Input_capacity</t>
  </si>
  <si>
    <t xml:space="preserve">Input_unit</t>
  </si>
  <si>
    <t xml:space="preserve">Prod_low</t>
  </si>
  <si>
    <t xml:space="preserve">Prod_typical</t>
  </si>
  <si>
    <t xml:space="preserve">Prod_high</t>
  </si>
  <si>
    <t xml:space="preserve">Basis</t>
  </si>
  <si>
    <t xml:space="preserve">Default_conditions</t>
  </si>
  <si>
    <t xml:space="preserve">Calc_shown</t>
  </si>
  <si>
    <t xml:space="preserve">Confidence</t>
  </si>
  <si>
    <t xml:space="preserve">LCY blade capacity (SAE J1265)</t>
  </si>
  <si>
    <t xml:space="preserve">Calculated: job-adjusted (E from Settings)</t>
  </si>
  <si>
    <t xml:space="preserve">Push distance 50 ft; doze 2.49 / reverse 4.97 mph (Settings B28-B29, KSU example); fixed 0.05 min; material factor 1.0; typ = average operator 0.75; low = x0.80 hard-to-drift; high = excellent operator 1.00 x slot dozing 1.20</t>
  </si>
  <si>
    <t xml:space="preserve">LCY/hr = Blade_LCY x 60 / (0.05 + 50/(2.49x88) + 50/(4.97x88)) x E x factors; cycle = 0.393 min. Typ: 1.99 LCY blade (Cat D1 std blade 1.99 yd3 (LGP 2.17)) x 60/0.393 x 0.83 x 1.0 x 0.75 = 189.4 LCY/hr. Cat push curves NOT obtained - first-principles blade/cycle method; SAE J1265 rated blade capacity used as blade load.</t>
  </si>
  <si>
    <t xml:space="preserve">KSU-4;FM5434;CAT-DOZ-PG</t>
  </si>
  <si>
    <t xml:space="preserve">Push distance 100 ft; doze 2.49 / reverse 4.97 mph (Settings B28-B29, KSU example); fixed 0.05 min; material factor 1.0; typ = average operator 0.75; low = x0.80 hard-to-drift; high = excellent operator 1.00 x slot dozing 1.20</t>
  </si>
  <si>
    <t xml:space="preserve">LCY/hr = Blade_LCY x 60 / (0.05 + 100/(2.49x88) + 100/(4.97x88)) x E x factors; cycle = 0.735 min. Typ: 1.99 LCY blade (Cat D1 std blade 1.99 yd3 (LGP 2.17)) x 60/0.735 x 0.83 x 1.0 x 0.75 = 101.1 LCY/hr. Cat push curves NOT obtained - first-principles blade/cycle method; SAE J1265 rated blade capacity used as blade load.</t>
  </si>
  <si>
    <t xml:space="preserve">Push distance 50 ft; doze 2.49 / reverse 4.97 mph (Settings B28-B29, KSU example); fixed 0.05 min; material factor 1.2 (loose stockpile); typ = average operator 0.75; low = x0.80 hard-to-drift; high = excellent operator 1.00 x slot dozing 1.20</t>
  </si>
  <si>
    <t xml:space="preserve">LCY/hr = Blade_LCY x 60 / (0.05 + 50/(2.49x88) + 50/(4.97x88)) x E x factors; cycle = 0.393 min. Typ: 1.99 LCY blade (Cat D1 std blade 1.99 yd3 (LGP 2.17)) x 60/0.393 x 0.83 x 1.2 x 0.75 = 227.2 LCY/hr. Cat push curves NOT obtained - first-principles blade/cycle method; SAE J1265 rated blade capacity used as blade load.</t>
  </si>
  <si>
    <t xml:space="preserve">No dozer grading rate source</t>
  </si>
  <si>
    <t xml:space="preserve">Needs production rate</t>
  </si>
  <si>
    <t xml:space="preserve">LCY/hr = Blade_LCY x 60 / (0.05 + 50/(2.49x88) + 50/(4.97x88)) x E x factors; cycle = 0.393 min. Typ: 2.59 LCY blade (Cat D2 std 2.59 yd3 (LGP 2.42)) x 60/0.393 x 0.83 x 1.0 x 0.75 = 246.5 LCY/hr. Cat push curves NOT obtained - first-principles blade/cycle method; SAE J1265 rated blade capacity used as blade load.</t>
  </si>
  <si>
    <t xml:space="preserve">LCY/hr = Blade_LCY x 60 / (0.05 + 100/(2.49x88) + 100/(4.97x88)) x E x factors; cycle = 0.735 min. Typ: 2.59 LCY blade (Cat D2 std 2.59 yd3 (LGP 2.42)) x 60/0.735 x 0.83 x 1.0 x 0.75 = 131.6 LCY/hr. Cat push curves NOT obtained - first-principles blade/cycle method; SAE J1265 rated blade capacity used as blade load.</t>
  </si>
  <si>
    <t xml:space="preserve">LCY/hr = Blade_LCY x 60 / (0.05 + 50/(2.49x88) + 50/(4.97x88)) x E x factors; cycle = 0.393 min. Typ: 2.59 LCY blade (Cat D2 std 2.59 yd3 (LGP 2.42)) x 60/0.393 x 0.83 x 1.2 x 0.75 = 295.7 LCY/hr. Cat push curves NOT obtained - first-principles blade/cycle method; SAE J1265 rated blade capacity used as blade load.</t>
  </si>
  <si>
    <t xml:space="preserve">LCY/hr = Blade_LCY x 60 / (0.05 + 50/(2.49x88) + 50/(4.97x88)) x E x factors; cycle = 0.393 min. Typ: 2.86 LCY blade (Cat D3 std 2.86 yd3 (LGP 3.06)) x 60/0.393 x 0.83 x 1.0 x 0.75 = 272.2 LCY/hr. Cat push curves NOT obtained - first-principles blade/cycle method; SAE J1265 rated blade capacity used as blade load.</t>
  </si>
  <si>
    <t xml:space="preserve">LCY/hr = Blade_LCY x 60 / (0.05 + 100/(2.49x88) + 100/(4.97x88)) x E x factors; cycle = 0.735 min. Typ: 2.86 LCY blade (Cat D3 std 2.86 yd3 (LGP 3.06)) x 60/0.735 x 0.83 x 1.0 x 0.75 = 145.3 LCY/hr. Cat push curves NOT obtained - first-principles blade/cycle method; SAE J1265 rated blade capacity used as blade load.</t>
  </si>
  <si>
    <t xml:space="preserve">Push distance 200 ft; doze 2.49 / reverse 4.97 mph (Settings B28-B29, KSU example); fixed 0.05 min; material factor 1.0; typ = average operator 0.75; low = x0.80 hard-to-drift; high = excellent operator 1.00 x slot dozing 1.20</t>
  </si>
  <si>
    <t xml:space="preserve">LCY/hr = Blade_LCY x 60 / (0.05 + 200/(2.49x88) + 200/(4.97x88)) x E x factors; cycle = 1.420 min. Typ: 2.86 LCY blade (Cat D3 std 2.86 yd3 (LGP 3.06)) x 60/1.420 x 0.83 x 1.0 x 0.75 = 75.2 LCY/hr. Cat push curves NOT obtained - first-principles blade/cycle method; SAE J1265 rated blade capacity used as blade load.</t>
  </si>
  <si>
    <t xml:space="preserve">LCY/hr = Blade_LCY x 60 / (0.05 + 50/(2.49x88) + 50/(4.97x88)) x E x factors; cycle = 0.393 min. Typ: 2.86 LCY blade (Cat D3 std 2.86 yd3 (LGP 3.06)) x 60/0.393 x 0.83 x 1.2 x 0.75 = 326.6 LCY/hr. Cat push curves NOT obtained - first-principles blade/cycle method; SAE J1265 rated blade capacity used as blade load.</t>
  </si>
  <si>
    <t xml:space="preserve">Handbook ideal (FM Table 2-1)</t>
  </si>
  <si>
    <t xml:space="preserve">Medium tractor, straight blade; low = heavy (&gt;=18 in), typ = medium (12-18 in), high = light (&lt;=12 in) vegetation</t>
  </si>
  <si>
    <t xml:space="preserve">acre/hr = 1 / hr per acre: 1/10.0, 1/5.0, 1/2.5. Strip-type +60% time; grubbing +25%. Tractor-size mapping (D4-D7 medium, D8+ heavy) is an inference.</t>
  </si>
  <si>
    <t xml:space="preserve">LCY/hr = Blade_LCY x 60 / (0.05 + 50/(2.49x88) + 50/(4.97x88)) x E x factors; cycle = 0.393 min. Per 1.0 LCY of blade (typ): 95.2 LCY/hr. Cat push curves NOT obtained - first-principles blade/cycle method; SAE J1265 rated blade capacity used as blade load.</t>
  </si>
  <si>
    <t xml:space="preserve">Needs blade capacity LCY</t>
  </si>
  <si>
    <t xml:space="preserve">LCY/hr = Blade_LCY x 60 / (0.05 + 100/(2.49x88) + 100/(4.97x88)) x E x factors; cycle = 0.735 min. Per 1.0 LCY of blade (typ): 50.8 LCY/hr. Cat push curves NOT obtained - first-principles blade/cycle method; SAE J1265 rated blade capacity used as blade load.</t>
  </si>
  <si>
    <t xml:space="preserve">LCY/hr = Blade_LCY x 60 / (0.05 + 200/(2.49x88) + 200/(4.97x88)) x E x factors; cycle = 1.420 min. Per 1.0 LCY of blade (typ): 26.3 LCY/hr. Cat push curves NOT obtained - first-principles blade/cycle method; SAE J1265 rated blade capacity used as blade load.</t>
  </si>
  <si>
    <t xml:space="preserve">LCY/hr = Blade_LCY x 60 / (0.05 + 50/(2.49x88) + 50/(4.97x88)) x E x factors; cycle = 0.393 min. Per 1.0 LCY of blade (typ): 114.2 LCY/hr. Cat push curves NOT obtained - first-principles blade/cycle method; SAE J1265 rated blade capacity used as blade load.</t>
  </si>
  <si>
    <t xml:space="preserve">LCY/hr = Blade_LCY x 60 / (0.05 + 50/(2.49x88) + 50/(4.97x88)) x E x factors; cycle = 0.393 min. Typ: 4.6 LCY blade (Cat D5 VPAT 4.6 yd3 (LGP VPAT 5.5; push-arm SU 5.6)) x 60/0.393 x 0.83 x 1.0 x 0.75 = 437.7 LCY/hr. Cat push curves NOT obtained - first-principles blade/cycle method; SAE J1265 rated blade capacity used as blade load.</t>
  </si>
  <si>
    <t xml:space="preserve">LCY/hr = Blade_LCY x 60 / (0.05 + 100/(2.49x88) + 100/(4.97x88)) x E x factors; cycle = 0.735 min. Typ: 4.6 LCY blade (Cat D5 VPAT 4.6 yd3 (LGP VPAT 5.5; push-arm SU 5.6)) x 60/0.735 x 0.83 x 1.0 x 0.75 = 233.8 LCY/hr. Cat push curves NOT obtained - first-principles blade/cycle method; SAE J1265 rated blade capacity used as blade load.</t>
  </si>
  <si>
    <t xml:space="preserve">LCY/hr = Blade_LCY x 60 / (0.05 + 200/(2.49x88) + 200/(4.97x88)) x E x factors; cycle = 1.420 min. Typ: 4.6 LCY blade (Cat D5 VPAT 4.6 yd3 (LGP VPAT 5.5; push-arm SU 5.6)) x 60/1.420 x 0.83 x 1.0 x 0.75 = 121.0 LCY/hr. Cat push curves NOT obtained - first-principles blade/cycle method; SAE J1265 rated blade capacity used as blade load.</t>
  </si>
  <si>
    <t xml:space="preserve">Push distance 300 ft; doze 2.49 / reverse 4.97 mph (Settings B28-B29, KSU example); fixed 0.05 min; material factor 1.0; typ = average operator 0.75; low = x0.80 hard-to-drift; high = excellent operator 1.00 x slot dozing 1.20</t>
  </si>
  <si>
    <t xml:space="preserve">LCY/hr = Blade_LCY x 60 / (0.05 + 300/(2.49x88) + 300/(4.97x88)) x E x factors; cycle = 2.105 min. Typ: 4.6 LCY blade (Cat D5 VPAT 4.6 yd3 (LGP VPAT 5.5; push-arm SU 5.6)) x 60/2.105 x 0.83 x 1.0 x 0.75 = 81.6 LCY/hr. Cat push curves NOT obtained - first-principles blade/cycle method; SAE J1265 rated blade capacity used as blade load.</t>
  </si>
  <si>
    <t xml:space="preserve">LCY/hr = Blade_LCY x 60 / (0.05 + 50/(2.49x88) + 50/(4.97x88)) x E x factors; cycle = 0.393 min. Typ: 4.6 LCY blade (Cat D5 VPAT 4.6 yd3 (LGP VPAT 5.5; push-arm SU 5.6)) x 60/0.393 x 0.83 x 1.2 x 0.75 = 525.3 LCY/hr. Cat push curves NOT obtained - first-principles blade/cycle method; SAE J1265 rated blade capacity used as blade load.</t>
  </si>
  <si>
    <t xml:space="preserve">LCY/hr = Blade_LCY x 60 / (0.05 + 50/(2.49x88) + 50/(4.97x88)) x E x factors; cycle = 0.393 min. Typ: 7.5 LCY blade (Cat D6 SU 7.5 yd3 (VPAT 5.4; angle 5.5; LGP-36 S 5.0)) x 60/0.393 x 0.83 x 1.0 x 0.75 = 713.7 LCY/hr. Cat push curves NOT obtained - first-principles blade/cycle method; SAE J1265 rated blade capacity used as blade load.</t>
  </si>
  <si>
    <t xml:space="preserve">LCY/hr = Blade_LCY x 60 / (0.05 + 100/(2.49x88) + 100/(4.97x88)) x E x factors; cycle = 0.735 min. Typ: 7.5 LCY blade (Cat D6 SU 7.5 yd3 (VPAT 5.4; angle 5.5; LGP-36 S 5.0)) x 60/0.735 x 0.83 x 1.0 x 0.75 = 381.1 LCY/hr. Cat push curves NOT obtained - first-principles blade/cycle method; SAE J1265 rated blade capacity used as blade load.</t>
  </si>
  <si>
    <t xml:space="preserve">LCY/hr = Blade_LCY x 60 / (0.05 + 200/(2.49x88) + 200/(4.97x88)) x E x factors; cycle = 1.420 min. Typ: 7.5 LCY blade (Cat D6 SU 7.5 yd3 (VPAT 5.4; angle 5.5; LGP-36 S 5.0)) x 60/1.420 x 0.83 x 1.0 x 0.75 = 197.3 LCY/hr. Cat push curves NOT obtained - first-principles blade/cycle method; SAE J1265 rated blade capacity used as blade load.</t>
  </si>
  <si>
    <t xml:space="preserve">LCY/hr = Blade_LCY x 60 / (0.05 + 300/(2.49x88) + 300/(4.97x88)) x E x factors; cycle = 2.105 min. Typ: 7.5 LCY blade (Cat D6 SU 7.5 yd3 (VPAT 5.4; angle 5.5; LGP-36 S 5.0)) x 60/2.105 x 0.83 x 1.0 x 0.75 = 133.1 LCY/hr. Cat push curves NOT obtained - first-principles blade/cycle method; SAE J1265 rated blade capacity used as blade load.</t>
  </si>
  <si>
    <t xml:space="preserve">LCY/hr = Blade_LCY x 60 / (0.05 + 50/(2.49x88) + 50/(4.97x88)) x E x factors; cycle = 0.393 min. Typ: 7.5 LCY blade (Cat D6 SU 7.5 yd3 (VPAT 5.4; angle 5.5; LGP-36 S 5.0)) x 60/0.393 x 0.83 x 1.2 x 0.75 = 856.4 LCY/hr. Cat push curves NOT obtained - first-principles blade/cycle method; SAE J1265 rated blade capacity used as blade load.</t>
  </si>
  <si>
    <t xml:space="preserve">LCY/hr = Blade_LCY x 60 / (0.05 + 300/(2.49x88) + 300/(4.97x88)) x E x factors; cycle = 2.105 min. Per 1.0 LCY of blade (typ): 17.7 LCY/hr. Cat push curves NOT obtained - first-principles blade/cycle method; SAE J1265 rated blade capacity used as blade load.</t>
  </si>
  <si>
    <t xml:space="preserve">LCY/hr = Blade_LCY x 60 / (0.05 + 50/(2.49x88) + 50/(4.97x88)) x E x factors; cycle = 0.393 min. Typ: 7.6 LCY blade (Cat D6 LGP SU 7.6 yd3 (LGP VPAT 5.9-6.5)) x 60/0.393 x 0.83 x 1.0 x 0.75 = 723.2 LCY/hr. Cat push curves NOT obtained - first-principles blade/cycle method; SAE J1265 rated blade capacity used as blade load.</t>
  </si>
  <si>
    <t xml:space="preserve">LCY/hr = Blade_LCY x 60 / (0.05 + 100/(2.49x88) + 100/(4.97x88)) x E x factors; cycle = 0.735 min. Typ: 7.6 LCY blade (Cat D6 LGP SU 7.6 yd3 (LGP VPAT 5.9-6.5)) x 60/0.735 x 0.83 x 1.0 x 0.75 = 386.2 LCY/hr. Cat push curves NOT obtained - first-principles blade/cycle method; SAE J1265 rated blade capacity used as blade load.</t>
  </si>
  <si>
    <t xml:space="preserve">LCY/hr = Blade_LCY x 60 / (0.05 + 50/(2.49x88) + 50/(4.97x88)) x E x factors; cycle = 0.393 min. Typ: 7.6 LCY blade (Cat D6 LGP SU 7.6 yd3 (LGP VPAT 5.9-6.5)) x 60/0.393 x 0.83 x 1.2 x 0.75 = 867.8 LCY/hr. Cat push curves NOT obtained - first-principles blade/cycle method; SAE J1265 rated blade capacity used as blade load.</t>
  </si>
  <si>
    <t xml:space="preserve">LCY/hr = Blade_LCY x 60 / (0.05 + 50/(2.49x88) + 50/(4.97x88)) x E x factors; cycle = 0.393 min. Typ: 9.7 LCY blade (Cat D7 (Tier 3, MX page) SU 9.7 yd3 (S 8.1)) x 60/0.393 x 0.83 x 1.0 x 0.75 = 923.0 LCY/hr. Cat push curves NOT obtained - first-principles blade/cycle method; SAE J1265 rated blade capacity used as blade load.</t>
  </si>
  <si>
    <t xml:space="preserve">LCY/hr = Blade_LCY x 60 / (0.05 + 100/(2.49x88) + 100/(4.97x88)) x E x factors; cycle = 0.735 min. Typ: 9.7 LCY blade (Cat D7 (Tier 3, MX page) SU 9.7 yd3 (S 8.1)) x 60/0.735 x 0.83 x 1.0 x 0.75 = 492.9 LCY/hr. Cat push curves NOT obtained - first-principles blade/cycle method; SAE J1265 rated blade capacity used as blade load.</t>
  </si>
  <si>
    <t xml:space="preserve">LCY/hr = Blade_LCY x 60 / (0.05 + 200/(2.49x88) + 200/(4.97x88)) x E x factors; cycle = 1.420 min. Typ: 9.7 LCY blade (Cat D7 (Tier 3, MX page) SU 9.7 yd3 (S 8.1)) x 60/1.420 x 0.83 x 1.0 x 0.75 = 255.1 LCY/hr. Cat push curves NOT obtained - first-principles blade/cycle method; SAE J1265 rated blade capacity used as blade load.</t>
  </si>
  <si>
    <t xml:space="preserve">LCY/hr = Blade_LCY x 60 / (0.05 + 300/(2.49x88) + 300/(4.97x88)) x E x factors; cycle = 2.105 min. Typ: 9.7 LCY blade (Cat D7 (Tier 3, MX page) SU 9.7 yd3 (S 8.1)) x 60/2.105 x 0.83 x 1.0 x 0.75 = 172.1 LCY/hr. Cat push curves NOT obtained - first-principles blade/cycle method; SAE J1265 rated blade capacity used as blade load.</t>
  </si>
  <si>
    <t xml:space="preserve">LCY/hr = Blade_LCY x 60 / (0.05 + 50/(2.49x88) + 50/(4.97x88)) x E x factors; cycle = 0.393 min. Typ: 9.7 LCY blade (Cat D7 (Tier 3, MX page) SU 9.7 yd3 (S 8.1)) x 60/0.393 x 0.83 x 1.2 x 0.75 = 1,107.6 LCY/hr. Cat push curves NOT obtained - first-principles blade/cycle method; SAE J1265 rated blade capacity used as blade load.</t>
  </si>
  <si>
    <t xml:space="preserve">Heavy tractor, straight blade; low = heavy (&gt;=18 in), typ = medium (12-18 in), high = light (&lt;=12 in) vegetation</t>
  </si>
  <si>
    <t xml:space="preserve">acre/hr = 1 / hr per acre: 1/8.0, 1/3.0, 1/1.5. Strip-type +60% time; grubbing +25%. Tractor-size mapping (D4-D7 medium, D8+ heavy) is an inference.</t>
  </si>
  <si>
    <t xml:space="preserve">LCY/hr = Blade_LCY x 60 / (0.05 + 100/(2.49x88) + 100/(4.97x88)) x E x factors; cycle = 0.735 min. Typ: 13.47 LCY blade (Cat D8 SU 13.47 yd3 (LGP SU 12.9)) x 60/0.735 x 0.83 x 1.0 x 0.75 = 684.5 LCY/hr. Cat push curves NOT obtained - first-principles blade/cycle method; SAE J1265 rated blade capacity used as blade load.</t>
  </si>
  <si>
    <t xml:space="preserve">LCY/hr = Blade_LCY x 60 / (0.05 + 200/(2.49x88) + 200/(4.97x88)) x E x factors; cycle = 1.420 min. Typ: 13.47 LCY blade (Cat D8 SU 13.47 yd3 (LGP SU 12.9)) x 60/1.420 x 0.83 x 1.0 x 0.75 = 354.3 LCY/hr. Cat push curves NOT obtained - first-principles blade/cycle method; SAE J1265 rated blade capacity used as blade load.</t>
  </si>
  <si>
    <t xml:space="preserve">LCY/hr = Blade_LCY x 60 / (0.05 + 300/(2.49x88) + 300/(4.97x88)) x E x factors; cycle = 2.105 min. Typ: 13.47 LCY blade (Cat D8 SU 13.47 yd3 (LGP SU 12.9)) x 60/2.105 x 0.83 x 1.0 x 0.75 = 239.0 LCY/hr. Cat push curves NOT obtained - first-principles blade/cycle method; SAE J1265 rated blade capacity used as blade load.</t>
  </si>
  <si>
    <t xml:space="preserve">LCY/hr = Blade_LCY x 60 / (0.05 + 50/(2.49x88) + 50/(4.97x88)) x E x factors; cycle = 0.393 min. Typ: 13.47 LCY blade (Cat D8 SU 13.47 yd3 (LGP SU 12.9)) x 60/0.393 x 0.83 x 1.2 x 0.75 = 1,538.1 LCY/hr. Cat push curves NOT obtained - first-principles blade/cycle method; SAE J1265 rated blade capacity used as blade load.</t>
  </si>
  <si>
    <t xml:space="preserve">Indicative published (single tractor, model not stated)</t>
  </si>
  <si>
    <t xml:space="preserve">Low 8,500 fps / typ 6,500 fps / high 5,000 fps seismic velocity; first gear ~1-1.5 mph</t>
  </si>
  <si>
    <t xml:space="preserve">Geometrics indicative curve; applied to all large dozers (not model-specific). Pass-geometry check D11 single shank 1.5 ft x 3 ft x 225 ft at 0.3 mph, 24 s turn -&gt; ~210 BCY/hr</t>
  </si>
  <si>
    <t xml:space="preserve">Not model-specific; Cat rippability charts needed</t>
  </si>
  <si>
    <t xml:space="preserve">Push distance 100 ft; row-specific gear speeds D9 F1 2.2 / R2 4.8 mph [CAT-DOZ-PG]; fixed 0.05 min; material factor 1.0; typ = average operator 0.75; low = x0.80 hard-to-drift; high = excellent operator 1.00 x slot dozing 1.20</t>
  </si>
  <si>
    <t xml:space="preserve">LCY/hr = Blade_LCY x 60 / (0.05 + 100/(2.2x88) + 100/(4.8x88)) x E x factors; cycle = 0.803 min. Typ: 17.8 LCY blade (Cat D9 SU 17.8 yd3 (U 21.7)) x 60/0.803 x 0.83 x 1.0 x 0.75 = 827.7 LCY/hr. Cat push curves NOT obtained - first-principles blade/cycle method; SAE J1265 rated blade capacity used as blade load.</t>
  </si>
  <si>
    <t xml:space="preserve">Push distance 200 ft; row-specific gear speeds D9 F1 2.2 / R2 4.8 mph [CAT-DOZ-PG]; fixed 0.05 min; material factor 1.0; typ = average operator 0.75; low = x0.80 hard-to-drift; high = excellent operator 1.00 x slot dozing 1.20</t>
  </si>
  <si>
    <t xml:space="preserve">LCY/hr = Blade_LCY x 60 / (0.05 + 200/(2.2x88) + 200/(4.8x88)) x E x factors; cycle = 1.557 min. Typ: 17.8 LCY blade (Cat D9 SU 17.8 yd3 (U 21.7)) x 60/1.557 x 0.83 x 1.0 x 0.75 = 427.1 LCY/hr. Cat push curves NOT obtained - first-principles blade/cycle method; SAE J1265 rated blade capacity used as blade load.</t>
  </si>
  <si>
    <t xml:space="preserve">Push distance 300 ft; row-specific gear speeds D9 F1 2.2 / R2 4.8 mph [CAT-DOZ-PG]; fixed 0.05 min; material factor 1.0; typ = average operator 0.75; low = x0.80 hard-to-drift; high = excellent operator 1.00 x slot dozing 1.20</t>
  </si>
  <si>
    <t xml:space="preserve">LCY/hr = Blade_LCY x 60 / (0.05 + 300/(2.2x88) + 300/(4.8x88)) x E x factors; cycle = 2.310 min. Typ: 17.8 LCY blade (Cat D9 SU 17.8 yd3 (U 21.7)) x 60/2.310 x 0.83 x 1.0 x 0.75 = 287.8 LCY/hr. Cat push curves NOT obtained - first-principles blade/cycle method; SAE J1265 rated blade capacity used as blade load.</t>
  </si>
  <si>
    <t xml:space="preserve">Push distance 100 ft; row-specific gear speeds D10 F1.0 2.5 / R2.0 5.6 mph [CAT-DOZ-PG]; fixed 0.05 min; material factor 1.0; typ = average operator 0.75; low = x0.80 hard-to-drift; high = excellent operator 1.00 x slot dozing 1.20</t>
  </si>
  <si>
    <t xml:space="preserve">LCY/hr = Blade_LCY x 60 / (0.05 + 100/(2.5x88) + 100/(5.6x88)) x E x factors; cycle = 0.707 min. Typ: 24.2 LCY blade (Cat D10 10SU 24.2 yd3 (10U 28.7)) x 60/0.707 x 0.83 x 1.0 x 0.75 = 1,277.6 LCY/hr. Cat push curves NOT obtained - first-principles blade/cycle method; SAE J1265 rated blade capacity used as blade load.</t>
  </si>
  <si>
    <t xml:space="preserve">Push distance 200 ft; row-specific gear speeds D10 F1.0 2.5 / R2.0 5.6 mph [CAT-DOZ-PG]; fixed 0.05 min; material factor 1.0; typ = average operator 0.75; low = x0.80 hard-to-drift; high = excellent operator 1.00 x slot dozing 1.20</t>
  </si>
  <si>
    <t xml:space="preserve">LCY/hr = Blade_LCY x 60 / (0.05 + 200/(2.5x88) + 200/(5.6x88)) x E x factors; cycle = 1.365 min. Typ: 24.2 LCY blade (Cat D10 10SU 24.2 yd3 (10U 28.7)) x 60/1.365 x 0.83 x 1.0 x 0.75 = 662.2 LCY/hr. Cat push curves NOT obtained - first-principles blade/cycle method; SAE J1265 rated blade capacity used as blade load.</t>
  </si>
  <si>
    <t xml:space="preserve">Push distance 300 ft; row-specific gear speeds D10 F1.0 2.5 / R2.0 5.6 mph [CAT-DOZ-PG]; fixed 0.05 min; material factor 1.0; typ = average operator 0.75; low = x0.80 hard-to-drift; high = excellent operator 1.00 x slot dozing 1.20</t>
  </si>
  <si>
    <t xml:space="preserve">LCY/hr = Blade_LCY x 60 / (0.05 + 300/(2.5x88) + 300/(5.6x88)) x E x factors; cycle = 2.022 min. Typ: 24.2 LCY blade (Cat D10 10SU 24.2 yd3 (10U 28.7)) x 60/2.022 x 0.83 x 1.0 x 0.75 = 446.9 LCY/hr. Cat push curves NOT obtained - first-principles blade/cycle method; SAE J1265 rated blade capacity used as blade load.</t>
  </si>
  <si>
    <t xml:space="preserve">Push distance 100 ft; row-specific gear speeds D11 F1 2.5 / R2 5.3 mph [CAT-DOZ-PG]; fixed 0.05 min; material factor 1.0; typ = average operator 0.75; low = x0.80 hard-to-drift; high = excellent operator 1.00 x slot dozing 1.20</t>
  </si>
  <si>
    <t xml:space="preserve">LCY/hr = Blade_LCY x 60 / (0.05 + 100/(2.5x88) + 100/(5.3x88)) x E x factors; cycle = 0.719 min. Typ: 35.6 LCY blade (Cat D11 SU 35.6 yd3 (U 45; reclamation U 55; carrydozer 57)) x 60/0.719 x 0.83 x 1.0 x 0.75 = 1,849.4 LCY/hr. Cat push curves NOT obtained - first-principles blade/cycle method; SAE J1265 rated blade capacity used as blade load.</t>
  </si>
  <si>
    <t xml:space="preserve">Push distance 200 ft; row-specific gear speeds D11 F1 2.5 / R2 5.3 mph [CAT-DOZ-PG]; fixed 0.05 min; material factor 1.0; typ = average operator 0.75; low = x0.80 hard-to-drift; high = excellent operator 1.00 x slot dozing 1.20</t>
  </si>
  <si>
    <t xml:space="preserve">LCY/hr = Blade_LCY x 60 / (0.05 + 200/(2.5x88) + 200/(5.3x88)) x E x factors; cycle = 1.388 min. Typ: 35.6 LCY blade (Cat D11 SU 35.6 yd3 (U 45; reclamation U 55; carrydozer 57)) x 60/1.388 x 0.83 x 1.0 x 0.75 = 958.0 LCY/hr. Cat push curves NOT obtained - first-principles blade/cycle method; SAE J1265 rated blade capacity used as blade load.</t>
  </si>
  <si>
    <t xml:space="preserve">Push distance 300 ft; row-specific gear speeds D11 F1 2.5 / R2 5.3 mph [CAT-DOZ-PG]; fixed 0.05 min; material factor 1.0; typ = average operator 0.75; low = x0.80 hard-to-drift; high = excellent operator 1.00 x slot dozing 1.20</t>
  </si>
  <si>
    <t xml:space="preserve">LCY/hr = Blade_LCY x 60 / (0.05 + 300/(2.5x88) + 300/(5.3x88)) x E x factors; cycle = 2.057 min. Typ: 35.6 LCY blade (Cat D11 SU 35.6 yd3 (U 45; reclamation U 55; carrydozer 57)) x 60/2.057 x 0.83 x 1.0 x 0.75 = 646.5 LCY/hr. Cat push curves NOT obtained - first-principles blade/cycle method; SAE J1265 rated blade capacity used as blade load.</t>
  </si>
  <si>
    <t xml:space="preserve">CY heaped bucket</t>
  </si>
  <si>
    <t xml:space="preserve">Common earth/loam; cycle 14 s (&lt;1 CY) / 15 s (&gt;=1 CY) at 40-60% of max depth &amp; 30-60 deg swing; fill 0.8/1.0/1.1 (low/typ/high); L-&gt;B 0.80 (loam); trench/confined factor 0.98</t>
  </si>
  <si>
    <t xml:space="preserve">Prod = 3600/cycle_s x Bucket_CY x Fill x E(0.83) x 0.80 x 0.98. Per 1.0 CY bucket at 15 s, typ fill 1.0: 156.2 BCY/hr.</t>
  </si>
  <si>
    <t xml:space="preserve">FM5434-8;KSU-3;FM5434;KSU-T3</t>
  </si>
  <si>
    <t xml:space="preserve">Needs bucket CY (enter in Input_capacity)</t>
  </si>
  <si>
    <t xml:space="preserve">Common earth/loam; cycle 14 s (&lt;1 CY) / 15 s (&gt;=1 CY) at 40-60% of max depth &amp; 30-60 deg swing; fill 0.8/1.0/1.1 (low/typ/high); L-&gt;B 0.80 (loam); trench/confined factor 0.95</t>
  </si>
  <si>
    <t xml:space="preserve">Prod = 3600/cycle_s x Bucket_CY x Fill x E(0.83) x 0.80 x 0.95. Per 1.0 CY bucket at 15 s, typ fill 1.0: 151.4 BCY/hr.</t>
  </si>
  <si>
    <t xml:space="preserve">Loose backfill material; cycle 14 s (&lt;1 CY) / 15 s (&gt;=1 CY) at 40-60% of max depth &amp; 30-60 deg swing; fill 0.85/0.95/1.0 (low/typ/high)</t>
  </si>
  <si>
    <t xml:space="preserve">Prod = 3600/cycle_s x Bucket_CY x Fill x E(0.83). Per 1.0 CY bucket at 15 s, typ fill 0.95: 189.2 LCY/hr.</t>
  </si>
  <si>
    <t xml:space="preserve">FM5434-8;KSU-3;FM5434;CAT-FILL</t>
  </si>
  <si>
    <t xml:space="preserve">Prod = 3600/cycle_s x Bucket_CY x Fill x E(0.83) x 0.80 x 0.98. Typ: 3600/14 x 0.15 x 1.0 x 0.83 x 0.80 x 0.98 = 25.1 BCY/hr. Input bucket = Deere 35G spec-basis bucket 0.11 m3 (0.15 yd3); single value, not a range.</t>
  </si>
  <si>
    <t xml:space="preserve">FM5434-8;KSU-3;FM5434;KSU-T3;DEERE-35G</t>
  </si>
  <si>
    <t xml:space="preserve">Prod = 3600/cycle_s x Bucket_CY x Fill x E(0.83) x 0.80 x 0.95. Typ: 3600/14 x 0.15 x 1.0 x 0.83 x 0.80 x 0.95 = 24.3 BCY/hr. Input bucket = Deere 35G spec-basis bucket 0.11 m3 (0.15 yd3); single value, not a range.</t>
  </si>
  <si>
    <t xml:space="preserve">Prod = 3600/cycle_s x Bucket_CY x Fill x E(0.83). Typ: 3600/14 x 0.15 x 0.95 x 0.83 = 30.4 LCY/hr. Input bucket = Deere 35G spec-basis bucket 0.11 m3 (0.15 yd3); single value, not a range.</t>
  </si>
  <si>
    <t xml:space="preserve">FM5434-8;KSU-3;FM5434;CAT-FILL;DEERE-35G</t>
  </si>
  <si>
    <t xml:space="preserve">Water main</t>
  </si>
  <si>
    <t xml:space="preserve">WSDOT 100-800, normal 300. Crew/spread rate: equipment hours = crew days x hours/day.</t>
  </si>
  <si>
    <t xml:space="preserve">Common earth/loam; cycle 14 s (&lt;1 CY) / 15 s (&gt;=1 CY) at 40-60% of max depth &amp; 30-60 deg swing; fill 0.8/1.0/1.1 (low/typ/high); L-&gt;B 0.80 (loam); trench/confined factor 0.98; depth effect on cycle NOT applied (Peurifoy swing-depth table not retrieved)</t>
  </si>
  <si>
    <t xml:space="preserve">Common earth/loam; cycle 14 s (&lt;1 CY) / 15 s (&gt;=1 CY) at 40-60% of max depth &amp; 30-60 deg swing; fill 0.8/1.0/1.1 (low/typ/high); L-&gt;B 0.80 (loam)</t>
  </si>
  <si>
    <t xml:space="preserve">Prod = 3600/cycle_s x Bucket_CY x Fill x E(0.83) x 0.80. Typ: 3600/14 x 0.26 x 1.0 x 0.83 x 0.80 = 44.4 BCY/hr. Input bucket = Komatsu PC88MR-11 single listed bucket 0.26 yd3 (aggregator).</t>
  </si>
  <si>
    <t xml:space="preserve">FM5434-8;KSU-3;FM5434;ALLMACH-PC88</t>
  </si>
  <si>
    <t xml:space="preserve">Prod = 3600/cycle_s x Bucket_CY x Fill x E(0.83) x 0.80 x 0.98. Typ: 3600/14 x 0.26 x 1.0 x 0.83 x 0.80 x 0.98 = 43.5 BCY/hr. Input bucket = Komatsu PC88MR-11 single listed bucket 0.26 yd3 (aggregator).</t>
  </si>
  <si>
    <t xml:space="preserve">FM5434-8;KSU-3;FM5434;KSU-T3;ALLMACH-PC88</t>
  </si>
  <si>
    <t xml:space="preserve">Prod = 3600/cycle_s x Bucket_CY x Fill x E(0.83) x 0.80 x 0.95. Typ: 3600/14 x 0.26 x 1.0 x 0.83 x 0.80 x 0.95 = 42.2 BCY/hr. Input bucket = Komatsu PC88MR-11 single listed bucket 0.26 yd3 (aggregator).</t>
  </si>
  <si>
    <t xml:space="preserve">Prod = 3600/cycle_s x Bucket_CY x Fill x E(0.83). Typ: 3600/14 x 0.26 x 0.95 x 0.83 = 52.7 LCY/hr. Input bucket = Komatsu PC88MR-11 single listed bucket 0.26 yd3 (aggregator).</t>
  </si>
  <si>
    <t xml:space="preserve">FM5434-8;KSU-3;FM5434;CAT-FILL;ALLMACH-PC88</t>
  </si>
  <si>
    <t xml:space="preserve">DOT field daily, 8-hr day (crew)</t>
  </si>
  <si>
    <t xml:space="preserve">Storm sewer 12-36 in, WSDOT West</t>
  </si>
  <si>
    <t xml:space="preserve">WSDOT range 300-1,500, normal 800 (East normal 1,500). Crew/spread rate: equipment hours = crew days x hours/day.</t>
  </si>
  <si>
    <t xml:space="preserve">DOT field daily median (crew)</t>
  </si>
  <si>
    <t xml:space="preserve">Typ = median of WisDOT 1,000, TxDOT 1,974, WSDOT 600; low 410; high 4,000. Crew/spread rate: equipment hours = crew days x hours/day.</t>
  </si>
  <si>
    <t xml:space="preserve">Prod = 3600/cycle_s x Bucket_CY x Fill x E(0.83) x 0.80. Per 1.0 CY bucket at 15 s, typ fill 1.0: 159.4 BCY/hr.</t>
  </si>
  <si>
    <t xml:space="preserve">Prod = 3600/cycle_s x Bucket_CY x Fill x E(0.83) x 0.80. Typ: 3600/14 x 0.75 x 1.0 x 0.83 x 0.80 = 128.1 BCY/hr. Input bucket = midpoint of typical GP 0.5-1.0 yd3 (Deere 135 P HD 0.47-0.99).</t>
  </si>
  <si>
    <t xml:space="preserve">FM5434-8;KSU-3;FM5434;DEERE-135P</t>
  </si>
  <si>
    <t xml:space="preserve">Prod = 3600/cycle_s x Bucket_CY x Fill x E(0.83) x 0.80 x 0.98. Typ: 3600/14 x 0.75 x 1.0 x 0.83 x 0.80 x 0.98 = 125.5 BCY/hr. Input bucket = midpoint of typical GP 0.5-1.0 yd3 (Deere 135 P HD 0.47-0.99).</t>
  </si>
  <si>
    <t xml:space="preserve">FM5434-8;KSU-3;FM5434;KSU-T3;DEERE-135P</t>
  </si>
  <si>
    <t xml:space="preserve">Prod = 3600/cycle_s x Bucket_CY x Fill x E(0.83) x 0.80 x 0.95. Typ: 3600/14 x 0.75 x 1.0 x 0.83 x 0.80 x 0.95 = 121.7 BCY/hr. Input bucket = midpoint of typical GP 0.5-1.0 yd3 (Deere 135 P HD 0.47-0.99).</t>
  </si>
  <si>
    <t xml:space="preserve">Prod = 3600/cycle_s x Bucket_CY x Fill x E(0.83). Typ: 3600/14 x 0.75 x 0.95 x 0.83 = 152.1 LCY/hr. Input bucket = midpoint of typical GP 0.5-1.0 yd3 (Deere 135 P HD 0.47-0.99).</t>
  </si>
  <si>
    <t xml:space="preserve">FM5434-8;KSU-3;FM5434;CAT-FILL;DEERE-135P</t>
  </si>
  <si>
    <t xml:space="preserve">Prod = 3600/cycle_s x Bucket_CY x Fill x E(0.83) x 0.80. Typ: 3600/14 x 0.899 x 1.0 x 0.83 x 0.80 = 153.5 BCY/hr. Input bucket = interpolated by operating weight between EX-CRAWL-13T (30,400 lb, 0.75) and EX-CRAWL-20T (48,500 lb, 1.025).</t>
  </si>
  <si>
    <t xml:space="preserve">FM5434-8;KSU-3;FM5434;DEERE-135P;DEERE-210P</t>
  </si>
  <si>
    <t xml:space="preserve">Prod = 3600/cycle_s x Bucket_CY x Fill x E(0.83) x 0.80 x 0.98. Typ: 3600/14 x 0.899 x 1.0 x 0.83 x 0.80 x 0.98 = 150.4 BCY/hr. Input bucket = interpolated by operating weight between EX-CRAWL-13T (30,400 lb, 0.75) and EX-CRAWL-20T (48,500 lb, 1.025).</t>
  </si>
  <si>
    <t xml:space="preserve">FM5434-8;KSU-3;FM5434;KSU-T3;DEERE-135P;DEERE-210P</t>
  </si>
  <si>
    <t xml:space="preserve">Prod = 3600/cycle_s x Bucket_CY x Fill x E(0.83) x 0.80 x 0.95. Typ: 3600/14 x 0.899 x 1.0 x 0.83 x 0.80 x 0.95 = 145.8 BCY/hr. Input bucket = interpolated by operating weight between EX-CRAWL-13T (30,400 lb, 0.75) and EX-CRAWL-20T (48,500 lb, 1.025).</t>
  </si>
  <si>
    <t xml:space="preserve">Prod = 3600/cycle_s x Bucket_CY x Fill x E(0.83). Typ: 3600/14 x 0.899 x 0.95 x 0.83 = 182.3 LCY/hr. Input bucket = interpolated by operating weight between EX-CRAWL-13T (30,400 lb, 0.75) and EX-CRAWL-20T (48,500 lb, 1.025).</t>
  </si>
  <si>
    <t xml:space="preserve">FM5434-8;KSU-3;FM5434;CAT-FILL;DEERE-135P;DEERE-210P</t>
  </si>
  <si>
    <t xml:space="preserve">Prod = 3600/cycle_s x Bucket_CY x Fill x E(0.83) x 0.80. Typ: 3600/15 x 1.025 x 1.0 x 0.83 x 0.80 = 163.3 BCY/hr. Input bucket = midpoint of typical GP 0.75-1.3 yd3 (Deere 210 P 0.56-1.29).</t>
  </si>
  <si>
    <t xml:space="preserve">FM5434-8;KSU-3;FM5434;DEERE-210P</t>
  </si>
  <si>
    <t xml:space="preserve">Prod = 3600/cycle_s x Bucket_CY x Fill x E(0.83) x 0.80 x 0.98. Typ: 3600/15 x 1.025 x 1.0 x 0.83 x 0.80 x 0.98 = 160.1 BCY/hr. Input bucket = midpoint of typical GP 0.75-1.3 yd3 (Deere 210 P 0.56-1.29).</t>
  </si>
  <si>
    <t xml:space="preserve">FM5434-8;KSU-3;FM5434;KSU-T3;DEERE-210P</t>
  </si>
  <si>
    <t xml:space="preserve">Prod = 3600/cycle_s x Bucket_CY x Fill x E(0.83) x 0.80 x 0.95. Typ: 3600/15 x 1.025 x 1.0 x 0.83 x 0.80 x 0.95 = 155.2 BCY/hr. Input bucket = midpoint of typical GP 0.75-1.3 yd3 (Deere 210 P 0.56-1.29).</t>
  </si>
  <si>
    <t xml:space="preserve">Prod = 3600/cycle_s x Bucket_CY x Fill x E(0.83). Typ: 3600/15 x 1.025 x 0.95 x 0.83 = 194.0 LCY/hr. Input bucket = midpoint of typical GP 0.75-1.3 yd3 (Deere 210 P 0.56-1.29).</t>
  </si>
  <si>
    <t xml:space="preserve">FM5434-8;KSU-3;FM5434;CAT-FILL;DEERE-210P</t>
  </si>
  <si>
    <t xml:space="preserve">Sanitary sewer 6-48 in</t>
  </si>
  <si>
    <t xml:space="preserve">WSDOT 200-400; typ = midpoint. Crew/spread rate: equipment hours = crew days x hours/day.</t>
  </si>
  <si>
    <t xml:space="preserve">Prod = 3600/cycle_s x Bucket_CY x Fill x E(0.83) x 0.80. Typ: 3600/15 x 1.95 x 1.0 x 0.83 x 0.80 = 310.8 BCY/hr. Input bucket = midpoint of typical GP 1.4-2.5 yd3 (Deere 345/350 P, Komatsu PC360LC-11).</t>
  </si>
  <si>
    <t xml:space="preserve">FM5434-8;KSU-3;FM5434;DEERE-345P;DEERE-350P;KOM-PC360</t>
  </si>
  <si>
    <t xml:space="preserve">Prod = 3600/cycle_s x Bucket_CY x Fill x E(0.83) x 0.80 x 0.98. Typ: 3600/15 x 1.95 x 1.0 x 0.83 x 0.80 x 0.98 = 304.5 BCY/hr. Input bucket = midpoint of typical GP 1.4-2.5 yd3 (Deere 345/350 P, Komatsu PC360LC-11).</t>
  </si>
  <si>
    <t xml:space="preserve">FM5434-8;KSU-3;FM5434;KSU-T3;DEERE-345P;DEERE-350P;KOM-PC360</t>
  </si>
  <si>
    <t xml:space="preserve">Prod = 3600/cycle_s x Bucket_CY x Fill x E(0.83) x 0.80 x 0.95. Typ: 3600/15 x 1.95 x 1.0 x 0.83 x 0.80 x 0.95 = 295.2 BCY/hr. Input bucket = midpoint of typical GP 1.4-2.5 yd3 (Deere 345/350 P, Komatsu PC360LC-11).</t>
  </si>
  <si>
    <t xml:space="preserve">Prod = 3600/cycle_s x Bucket_CY x Fill x E(0.83). Typ: 3600/15 x 1.95 x 0.95 x 0.83 = 369.0 LCY/hr. Input bucket = midpoint of typical GP 1.4-2.5 yd3 (Deere 345/350 P, Komatsu PC360LC-11).</t>
  </si>
  <si>
    <t xml:space="preserve">FM5434-8;KSU-3;FM5434;CAT-FILL;DEERE-345P;DEERE-350P;KOM-PC360</t>
  </si>
  <si>
    <t xml:space="preserve">Storm sewer 42-72 in</t>
  </si>
  <si>
    <t xml:space="preserve">WSDOT 50-200; typ = midpoint. Crew/spread rate: equipment hours = crew days x hours/day.</t>
  </si>
  <si>
    <t xml:space="preserve">Prod = 3600/cycle_s x Bucket_CY x Fill x E(0.83) x 0.80. Typ: 3600/15 x 2.402 x 1.0 x 0.83 x 0.80 = 382.8 BCY/hr. Input bucket = interpolated by operating weight between EX-CRAWL-30T (69,200 lb, 1.95) and EX-CRAWL-70T (162,900 lb, 5.0).</t>
  </si>
  <si>
    <t xml:space="preserve">FM5434-8;KSU-3;FM5434;DEERE-350P;CAT-EXC-PG</t>
  </si>
  <si>
    <t xml:space="preserve">Prod = 3600/cycle_s x Bucket_CY x Fill x E(0.83) x 0.80 x 0.98. Typ: 3600/15 x 2.402 x 1.0 x 0.83 x 0.80 x 0.98 = 375.1 BCY/hr. Input bucket = interpolated by operating weight between EX-CRAWL-30T (69,200 lb, 1.95) and EX-CRAWL-70T (162,900 lb, 5.0).</t>
  </si>
  <si>
    <t xml:space="preserve">FM5434-8;KSU-3;FM5434;KSU-T3;DEERE-350P;CAT-EXC-PG</t>
  </si>
  <si>
    <t xml:space="preserve">Prod = 3600/cycle_s x Bucket_CY x Fill x E(0.83) x 0.80 x 0.95. Typ: 3600/15 x 2.402 x 1.0 x 0.83 x 0.80 x 0.95 = 363.6 BCY/hr. Input bucket = interpolated by operating weight between EX-CRAWL-30T (69,200 lb, 1.95) and EX-CRAWL-70T (162,900 lb, 5.0).</t>
  </si>
  <si>
    <t xml:space="preserve">Prod = 3600/cycle_s x Bucket_CY x Fill x E(0.83) x 0.80. Typ: 3600/15 x 3.206 x 1.0 x 0.83 x 0.80 = 510.9 BCY/hr. Input bucket = interpolated by operating weight between EX-CRAWL-30T (69,200 lb, 1.95) and EX-CRAWL-70T (162,900 lb, 5.0). Bucket &gt;2.5 CY: FM cycle not sourced for this size; 15 s retained (likely optimistic).</t>
  </si>
  <si>
    <t xml:space="preserve">Prod = 3600/cycle_s x Bucket_CY x Fill x E(0.83) x 0.80 x 0.95. Typ: 3600/15 x 3.206 x 1.0 x 0.83 x 0.80 x 0.95 = 485.4 BCY/hr. Input bucket = interpolated by operating weight between EX-CRAWL-30T (69,200 lb, 1.95) and EX-CRAWL-70T (162,900 lb, 5.0). Bucket &gt;2.5 CY: FM cycle not sourced for this size; 15 s retained (likely optimistic).</t>
  </si>
  <si>
    <t xml:space="preserve">Prod = 3600/cycle_s x Bucket_CY x Fill x E(0.83) x 0.80. Typ: 3600/15 x 5 x 1.0 x 0.83 x 0.80 = 796.8 BCY/hr. Input bucket = midpoint of typical production bucket 4-6 yd3 (Cat 374 SD 4.32; Deere 870 P 4.56 spec bucket). Bucket &gt;2.5 CY: FM cycle not sourced for this size; 15 s retained (likely optimistic).</t>
  </si>
  <si>
    <t xml:space="preserve">FM5434-8;KSU-3;FM5434;CAT-EXC-PG</t>
  </si>
  <si>
    <t xml:space="preserve">Prod = 3600/cycle_s x Bucket_CY x Fill x E(0.83) x 0.80. Typ: 3600/15 x 6 x 1.0 x 0.83 x 0.80 = 956.2 BCY/hr. Input bucket = midpoint of typical 5-7 yd3 (Cat 395 SD 6.8). Bucket &gt;2.5 CY: FM cycle not sourced for this size; 15 s retained (likely optimistic).</t>
  </si>
  <si>
    <t xml:space="preserve">Prod = 3600/cycle_s x Bucket_CY x Fill x E(0.83) x 0.80. Typ: 3600/14 x 0.57 x 1.0 x 0.83 x 0.80 = 97.3 BCY/hr. Input bucket = Gradall XL3100 0.57 CY (FEMA/taxonomy).</t>
  </si>
  <si>
    <t xml:space="preserve">FM5434-8;KSU-3;FM5434;FEMA25</t>
  </si>
  <si>
    <t xml:space="preserve">Prod = 3600/cycle_s x Bucket_CY x Fill x E(0.83) x 0.80 x 0.98. Typ: 3600/14 x 0.57 x 1.0 x 0.83 x 0.80 x 0.98 = 95.4 BCY/hr. Input bucket = Gradall XL3100 0.57 CY (FEMA/taxonomy).</t>
  </si>
  <si>
    <t xml:space="preserve">FM5434-8;KSU-3;FM5434;KSU-T3;FEMA25</t>
  </si>
  <si>
    <t xml:space="preserve">Prod = 3600/cycle_s x Bucket_CY x Fill x E(0.83) x 0.80 x 0.95. Typ: 3600/14 x 0.57 x 1.0 x 0.83 x 0.80 x 0.95 = 92.5 BCY/hr. Input bucket = Gradall XL3100 0.57 CY (FEMA/taxonomy).</t>
  </si>
  <si>
    <t xml:space="preserve">Prod = 3600/cycle_s x Bucket_CY x Fill x E(0.83) x 0.80. Typ: 3600/14 x 0.62 x 1.0 x 0.83 x 0.80 = 105.9 BCY/hr. Input bucket = Gradall XL4100 0.62 CY.</t>
  </si>
  <si>
    <t xml:space="preserve">Prod = 3600/cycle_s x Bucket_CY x Fill x E(0.83) x 0.80 x 0.98. Typ: 3600/14 x 0.62 x 1.0 x 0.83 x 0.80 x 0.98 = 103.7 BCY/hr. Input bucket = Gradall XL4100 0.62 CY.</t>
  </si>
  <si>
    <t xml:space="preserve">Prod = 3600/cycle_s x Bucket_CY x Fill x E(0.83) x 0.80 x 0.95. Typ: 3600/14 x 0.62 x 1.0 x 0.83 x 0.80 x 0.95 = 100.6 BCY/hr. Input bucket = Gradall XL4100 0.62 CY.</t>
  </si>
  <si>
    <t xml:space="preserve">Prod = 3600/cycle_s x Bucket_CY x Fill x E(0.83) x 0.80. Typ: 3600/15 x 1.25 x 1.0 x 0.83 x 0.80 = 199.2 BCY/hr. Input bucket = Gradall XL5100 1.25 CY.</t>
  </si>
  <si>
    <t xml:space="preserve">Prod = 3600/cycle_s x Bucket_CY x Fill x E(0.83) x 0.80 x 0.98. Typ: 3600/15 x 1.25 x 1.0 x 0.83 x 0.80 x 0.98 = 195.2 BCY/hr. Input bucket = Gradall XL5100 1.25 CY.</t>
  </si>
  <si>
    <t xml:space="preserve">Prod = 3600/cycle_s x Bucket_CY x Fill x E(0.83) x 0.80 x 0.95. Typ: 3600/15 x 1.25 x 1.0 x 0.83 x 0.80 x 0.95 = 189.2 BCY/hr. Input bucket = Gradall XL5100 1.25 CY.</t>
  </si>
  <si>
    <t xml:space="preserve">Loose material, hard smooth floor; Cat basic loader cycle 33/30/27 s (low/typ/high) applied to every loader-end bucket (wheel/track loaders, backhoe loader end, skid steers/CTLs). Fill 0.85/0.95/1.00; bucket not in notes/specs (or range too wide for a typical)</t>
  </si>
  <si>
    <t xml:space="preserve">LCY/hr = Bucket x Fill x 3600/cycle_s x E. Typ: Bucket x 0.95 x 3600/30 x 0.83 = 94.6 per 1 CY</t>
  </si>
  <si>
    <t xml:space="preserve">Needs bucket CY</t>
  </si>
  <si>
    <t xml:space="preserve">Loose material, hard smooth floor; Cat basic loader cycle 33/30/27 s (low/typ/high) applied to every loader-end bucket (wheel/track loaders, backhoe loader end, skid steers/CTLs). Fill 0.85/0.95/1.00; Cat 420 loader MP bucket 1.25 yd3</t>
  </si>
  <si>
    <t xml:space="preserve">LCY/hr = Bucket x Fill x 3600/cycle_s x E. Typ: 1.25 x 0.95 x 3600/30 x 0.83 = 118.3</t>
  </si>
  <si>
    <t xml:space="preserve">CAT-WL;CAT-FILL;KSU-EQ;CAT-420</t>
  </si>
  <si>
    <t xml:space="preserve">Loose material, hard smooth floor; Cat basic loader cycle 33/30/27 s (low/typ/high) applied to every loader-end bucket (wheel/track loaders, backhoe loader end, skid steers/CTLs). Fill 0.85/0.95/1.00; Case 580 Super L 0.87 CY (FEMA 8401)</t>
  </si>
  <si>
    <t xml:space="preserve">LCY/hr = Bucket x Fill x 3600/cycle_s x E. Typ: 0.87 x 0.95 x 3600/30 x 0.83 = 82.3</t>
  </si>
  <si>
    <t xml:space="preserve">CAT-WL;CAT-FILL;KSU-EQ;FEMA25</t>
  </si>
  <si>
    <t xml:space="preserve">Loose material, hard smooth floor; Cat basic loader cycle 33/30/27 s (low/typ/high) applied to every loader-end bucket (wheel/track loaders, backhoe loader end, skid steers/CTLs). Fill 0.85/0.95/1.00; midpoint of 0.5-0.7 CY (Gehl 280, taxonomy)</t>
  </si>
  <si>
    <t xml:space="preserve">LCY/hr = Bucket x Fill x 3600/cycle_s x E. Typ: 0.6 x 0.95 x 3600/30 x 0.83 = 56.8</t>
  </si>
  <si>
    <t xml:space="preserve">CAT-WL;CAT-FILL;KSU-EQ;CAT-WL-PG;DEERE-FLEET</t>
  </si>
  <si>
    <t xml:space="preserve">Loose material, hard smooth floor; Cat basic loader cycle 33/30/27 s (low/typ/high) applied to every loader-end bucket (wheel/track loaders, backhoe loader end, skid steers/CTLs). Fill 0.85/0.95/1.00; midpoint of 1.0-1.25 yd rental class (Cat 906 GP 1.0-1.7; Deere 244 P 1.0-1.4)</t>
  </si>
  <si>
    <t xml:space="preserve">LCY/hr = Bucket x Fill x 3600/cycle_s x E. Typ: 1.125 x 0.95 x 3600/30 x 0.83 = 106.4</t>
  </si>
  <si>
    <t xml:space="preserve">Loose material, hard smooth floor; Cat basic loader cycle 33/30/27 s (low/typ/high) applied to every loader-end bucket (wheel/track loaders, backhoe loader end, skid steers/CTLs). Fill 0.85/0.95/1.00; midpoint of 2.0-2.5 yd rental class (Deere 344 P 2.0-2.6)</t>
  </si>
  <si>
    <t xml:space="preserve">LCY/hr = Bucket x Fill x 3600/cycle_s x E. Typ: 2.25 x 0.95 x 3600/30 x 0.83 = 212.9</t>
  </si>
  <si>
    <t xml:space="preserve">Loose material, hard smooth floor; Cat basic loader cycle 33/30/27 s (low/typ/high) applied to every loader-end bucket (wheel/track loaders, backhoe loader end, skid steers/CTLs). Fill 0.85/0.95/1.00; midpoint of 3.0-3.2 yd rental class</t>
  </si>
  <si>
    <t xml:space="preserve">LCY/hr = Bucket x Fill x 3600/cycle_s x E. Typ: 3.1 x 0.95 x 3600/30 x 0.83 = 293.3</t>
  </si>
  <si>
    <t xml:space="preserve">Loose material, hard smooth floor; Cat basic loader cycle 33/30/27 s (low/typ/high) applied to every loader-end bucket (wheel/track loaders, backhoe loader end, skid steers/CTLs). Fill 0.85/0.95/1.00; midpoint of 3.5-4.25 yd rental class</t>
  </si>
  <si>
    <t xml:space="preserve">LCY/hr = Bucket x Fill x 3600/cycle_s x E. Typ: 3.875 x 0.95 x 3600/30 x 0.83 = 366.7</t>
  </si>
  <si>
    <t xml:space="preserve">Loose material, hard smooth floor; Cat basic loader cycle 33/30/27 s (low/typ/high) applied to every loader-end bucket (wheel/track loaders, backhoe loader end, skid steers/CTLs). Fill 0.85/0.95/1.00; 4.5 yd (Wheeler Cat 950 rental line; cat.com 950 rated 4.1)</t>
  </si>
  <si>
    <t xml:space="preserve">LCY/hr = Bucket x Fill x 3600/cycle_s x E. Typ: 4.5 x 0.95 x 3600/30 x 0.83 = 425.8</t>
  </si>
  <si>
    <t xml:space="preserve">Loose material, hard smooth floor; Cat basic loader cycle 33/30/27 s (low/typ/high) applied to every loader-end bucket (wheel/track loaders, backhoe loader end, skid steers/CTLs). Fill 0.85/0.95/1.00; 5.25 yd (Cat 966 rental line)</t>
  </si>
  <si>
    <t xml:space="preserve">LCY/hr = Bucket x Fill x 3600/cycle_s x E. Typ: 5.25 x 0.95 x 3600/30 x 0.83 = 496.8</t>
  </si>
  <si>
    <t xml:space="preserve">Loose material, hard smooth floor; Cat basic loader cycle 33/30/27 s (low/typ/high) applied to every loader-end bucket (wheel/track loaders, backhoe loader end, skid steers/CTLs). Fill 0.85/0.95/1.00; midpoint of Cat 980 GC 5.75-7.5 yd3</t>
  </si>
  <si>
    <t xml:space="preserve">LCY/hr = Bucket x Fill x 3600/cycle_s x E. Typ: 6.625 x 0.95 x 3600/30 x 0.83 = 626.9</t>
  </si>
  <si>
    <t xml:space="preserve">Loose material, hard smooth floor; Cat basic loader cycle 33/30/27 s (low/typ/high) applied to every loader-end bucket (wheel/track loaders, backhoe loader end, skid steers/CTLs). Fill 0.85/0.95/1.00; midpoint of Cat 963 3-3.2 CY</t>
  </si>
  <si>
    <t xml:space="preserve">CAT-WL;CAT-FILL;KSU-EQ;ZIEGLER</t>
  </si>
  <si>
    <t xml:space="preserve">Loose material, hard smooth floor; Cat basic loader cycle 33/30/27 s (low/typ/high) applied to every loader-end bucket (wheel/track loaders, backhoe loader end, skid steers/CTLs). Fill 0.85/0.95/1.00; midpoint of Cat 973 4-4.19 CY</t>
  </si>
  <si>
    <t xml:space="preserve">LCY/hr = Bucket x Fill x 3600/cycle_s x E. Typ: 4.095 x 0.95 x 3600/30 x 0.83 = 387.5</t>
  </si>
  <si>
    <t xml:space="preserve">Loose material, hard smooth floor; Cat basic loader cycle 33/30/27 s (low/typ/high) applied to every loader-end bucket (wheel/track loaders, backhoe loader end, skid steers/CTLs). Fill 0.85/0.95/1.00; bucket not in notes/specs (or range too wide for a typical); Cat cycle is for wheel loaders - applied to skid steers/CTLs as an inference</t>
  </si>
  <si>
    <t xml:space="preserve">No skid steer bucket/production source</t>
  </si>
  <si>
    <t xml:space="preserve">Loose material, hard smooth floor; Cat basic loader cycle 33/30/27 s (low/typ/high) applied to every loader-end bucket (wheel/track loaders, backhoe loader end, skid steers/CTLs). Fill 0.85/0.95/1.00; 62-68 in bucket 0.57-0.63 yd3 mapped to 1,750-2,200 lb ROC (notes mapping; midpoint); Cat cycle is for wheel loaders - applied to skid steers/CTLs as an inference</t>
  </si>
  <si>
    <t xml:space="preserve">CAT-WL;CAT-FILL;KSU-EQ;CARLETON-BKT;DEERE-FLEET</t>
  </si>
  <si>
    <t xml:space="preserve">Loose material, hard smooth floor; Cat basic loader cycle 33/30/27 s (low/typ/high) applied to every loader-end bucket (wheel/track loaders, backhoe loader end, skid steers/CTLs). Fill 0.85/0.95/1.00; 74 in bucket 0.69 yd3 mapped to 2,500-3,200 lb ROC (notes mapping); Cat cycle is for wheel loaders - applied to skid steers/CTLs as an inference</t>
  </si>
  <si>
    <t xml:space="preserve">LCY/hr = Bucket x Fill x 3600/cycle_s x E. Typ: 0.69 x 0.95 x 3600/30 x 0.83 = 65.3</t>
  </si>
  <si>
    <t xml:space="preserve">Loose material, hard smooth floor; Cat basic loader cycle 33/30/27 s (low/typ/high) applied to every loader-end bucket (wheel/track loaders, backhoe loader end, skid steers/CTLs). Fill 0.85/0.95/1.00; 80 in bucket 0.74 yd3 mapped to 3,500 lb+ ROC (notes mapping); Cat cycle is for wheel loaders - applied to skid steers/CTLs as an inference</t>
  </si>
  <si>
    <t xml:space="preserve">LCY/hr = Bucket x Fill x 3600/cycle_s x E. Typ: 0.74 x 0.95 x 3600/30 x 0.83 = 70.0</t>
  </si>
  <si>
    <t xml:space="preserve">yd3 heaped bowl</t>
  </si>
  <si>
    <t xml:space="preserve">One-way 1,000 ft; push-loaded: load 0.85 min (D8 pusher) / 1.0 min (D7, low); turn/dump 0.81 min; loam L-&gt;B 0.80. Payload = MIN(heaped x 0.833, rated load lb / 2,300 lb/LCY) = 20.0 LCY</t>
  </si>
  <si>
    <t xml:space="preserve">Payload LCY = MIN(24 x 0.833 (FM 621B: 20 LCY from 24 yd3), 57610 lb / 2,300); trips/hr = 60 x E / (load + 0.81 + 1000/(v_haul x 88) + 1000/(v_return x 88)); BCY/hr = trips x payload x 0.80. Loaded top speed is a maximum, not an average haul speed, so Settings speeds are left blank.</t>
  </si>
  <si>
    <t xml:space="preserve">FM5434;USMC-PE;KSU-T6;CAT-SCR-PG</t>
  </si>
  <si>
    <t xml:space="preserve">Needs scraper haul/return speeds (Settings B26-B27; not sourced)</t>
  </si>
  <si>
    <t xml:space="preserve">One-way 2,000 ft; push-loaded: load 0.85 min (D8 pusher) / 1.0 min (D7, low); turn/dump 0.81 min; loam L-&gt;B 0.80. Payload = MIN(heaped x 0.833, rated load lb / 2,300 lb/LCY) = 20.0 LCY</t>
  </si>
  <si>
    <t xml:space="preserve">Payload LCY = MIN(24 x 0.833 (FM 621B: 20 LCY from 24 yd3), 57610 lb / 2,300); trips/hr = 60 x E / (load + 0.81 + 2000/(v_haul x 88) + 2000/(v_return x 88)); BCY/hr = trips x payload x 0.80. Loaded top speed is a maximum, not an average haul speed, so Settings speeds are left blank.</t>
  </si>
  <si>
    <t xml:space="preserve">One-way 3,000 ft; push-loaded: load 0.85 min (D8 pusher) / 1.0 min (D7, low); turn/dump 0.81 min; loam L-&gt;B 0.80. Payload = MIN(heaped x 0.833, rated load lb / 2,300 lb/LCY) = 20.0 LCY</t>
  </si>
  <si>
    <t xml:space="preserve">Payload LCY = MIN(24 x 0.833 (FM 621B: 20 LCY from 24 yd3), 57610 lb / 2,300); trips/hr = 60 x E / (load + 0.81 + 3000/(v_haul x 88) + 3000/(v_return x 88)); BCY/hr = trips x payload x 0.80. Loaded top speed is a maximum, not an average haul speed, so Settings speeds are left blank.</t>
  </si>
  <si>
    <t xml:space="preserve">One-way 1,000 ft; push-loaded: load 0.85 min (D8 pusher) / 1.0 min (D7, low); turn/dump 0.81 min; loam L-&gt;B 0.80. Payload = MIN(heaped x 0.833, rated load lb / 2,300 lb/LCY) = 19.2 LCY</t>
  </si>
  <si>
    <t xml:space="preserve">Payload LCY = MIN(23 x 0.833 (FM 621B: 20 LCY from 24 yd3), 55200 lb / 2,300); trips/hr = 60 x E / (load + 0.81 + 1000/(v_haul x 88) + 1000/(v_return x 88)); BCY/hr = trips x payload x 0.80. Loaded top speed is a maximum, not an average haul speed, so Settings speeds are left blank.</t>
  </si>
  <si>
    <t xml:space="preserve">One-way 2,000 ft; push-loaded: load 0.85 min (D8 pusher) / 1.0 min (D7, low); turn/dump 0.81 min; loam L-&gt;B 0.80. Payload = MIN(heaped x 0.833, rated load lb / 2,300 lb/LCY) = 19.2 LCY</t>
  </si>
  <si>
    <t xml:space="preserve">Payload LCY = MIN(23 x 0.833 (FM 621B: 20 LCY from 24 yd3), 55200 lb / 2,300); trips/hr = 60 x E / (load + 0.81 + 2000/(v_haul x 88) + 2000/(v_return x 88)); BCY/hr = trips x payload x 0.80. Loaded top speed is a maximum, not an average haul speed, so Settings speeds are left blank.</t>
  </si>
  <si>
    <t xml:space="preserve">One-way 3,000 ft; push-loaded: load 0.85 min (D8 pusher) / 1.0 min (D7, low); turn/dump 0.81 min; loam L-&gt;B 0.80. Payload = MIN(heaped x 0.833, rated load lb / 2,300 lb/LCY) = 19.2 LCY</t>
  </si>
  <si>
    <t xml:space="preserve">Payload LCY = MIN(23 x 0.833 (FM 621B: 20 LCY from 24 yd3), 55200 lb / 2,300); trips/hr = 60 x E / (load + 0.81 + 3000/(v_haul x 88) + 3000/(v_return x 88)); BCY/hr = trips x payload x 0.80. Loaded top speed is a maximum, not an average haul speed, so Settings speeds are left blank.</t>
  </si>
  <si>
    <t xml:space="preserve">Payload LCY = MIN(24 x 0.833 (FM 621B: 20 LCY from 24 yd3), n/a lb / 2,300) (rated load not in specs; heaped x 0.833 only); trips/hr = 60 x E / (load + 0.81 + 1000/(v_haul x 88) + 1000/(v_return x 88)); BCY/hr = trips x payload x 0.80. Loaded top speed is a maximum, not an average haul speed, so Settings speeds are left blank.</t>
  </si>
  <si>
    <t xml:space="preserve">Payload LCY = MIN(24 x 0.833 (FM 621B: 20 LCY from 24 yd3), n/a lb / 2,300) (rated load not in specs; heaped x 0.833 only); trips/hr = 60 x E / (load + 0.81 + 2000/(v_haul x 88) + 2000/(v_return x 88)); BCY/hr = trips x payload x 0.80. Loaded top speed is a maximum, not an average haul speed, so Settings speeds are left blank.</t>
  </si>
  <si>
    <t xml:space="preserve">Payload LCY = MIN(24 x 0.833 (FM 621B: 20 LCY from 24 yd3), n/a lb / 2,300) (rated load not in specs; heaped x 0.833 only); trips/hr = 60 x E / (load + 0.81 + 3000/(v_haul x 88) + 3000/(v_return x 88)); BCY/hr = trips x payload x 0.80. Loaded top speed is a maximum, not an average haul speed, so Settings speeds are left blank.</t>
  </si>
  <si>
    <t xml:space="preserve">One-way 1,000 ft; push-loaded: load 0.85 min (D8 pusher) / 1.0 min (D7, low); turn/dump 0.81 min; loam L-&gt;B 0.80. Payload = MIN(heaped x 0.833, rated load lb / 2,300 lb/LCY) = 28.3 LCY</t>
  </si>
  <si>
    <t xml:space="preserve">Payload LCY = MIN(34 x 0.833 (FM 621B: 20 LCY from 24 yd3), 82200 lb / 2,300); trips/hr = 60 x E / (load + 0.81 + 1000/(v_haul x 88) + 1000/(v_return x 88)); BCY/hr = trips x payload x 0.80. Loaded top speed is a maximum, not an average haul speed, so Settings speeds are left blank.</t>
  </si>
  <si>
    <t xml:space="preserve">One-way 2,000 ft; push-loaded: load 0.85 min (D8 pusher) / 1.0 min (D7, low); turn/dump 0.81 min; loam L-&gt;B 0.80. Payload = MIN(heaped x 0.833, rated load lb / 2,300 lb/LCY) = 28.3 LCY</t>
  </si>
  <si>
    <t xml:space="preserve">Payload LCY = MIN(34 x 0.833 (FM 621B: 20 LCY from 24 yd3), 82200 lb / 2,300); trips/hr = 60 x E / (load + 0.81 + 2000/(v_haul x 88) + 2000/(v_return x 88)); BCY/hr = trips x payload x 0.80. Loaded top speed is a maximum, not an average haul speed, so Settings speeds are left blank.</t>
  </si>
  <si>
    <t xml:space="preserve">One-way 3,000 ft; push-loaded: load 0.85 min (D8 pusher) / 1.0 min (D7, low); turn/dump 0.81 min; loam L-&gt;B 0.80. Payload = MIN(heaped x 0.833, rated load lb / 2,300 lb/LCY) = 28.3 LCY</t>
  </si>
  <si>
    <t xml:space="preserve">Payload LCY = MIN(34 x 0.833 (FM 621B: 20 LCY from 24 yd3), 82200 lb / 2,300); trips/hr = 60 x E / (load + 0.81 + 3000/(v_haul x 88) + 3000/(v_return x 88)); BCY/hr = trips x payload x 0.80. Loaded top speed is a maximum, not an average haul speed, so Settings speeds are left blank.</t>
  </si>
  <si>
    <t xml:space="preserve">One-way 1,000 ft; push-loaded: load 0.85 min (D8 pusher) / 1.0 min (D7, low); turn/dump 0.81 min; loam L-&gt;B 0.80. Payload = MIN(heaped x 0.833, rated load lb / 2,300 lb/LCY) = 36.7 LCY</t>
  </si>
  <si>
    <t xml:space="preserve">Payload LCY = MIN(44 x 0.833 (FM 621B: 20 LCY from 24 yd3), n/a lb / 2,300) (rated load not in specs; heaped x 0.833 only); trips/hr = 60 x E / (load + 0.81 + 1000/(v_haul x 88) + 1000/(v_return x 88)); BCY/hr = trips x payload x 0.80. Loaded top speed is a maximum, not an average haul speed, so Settings speeds are left blank.</t>
  </si>
  <si>
    <t xml:space="preserve">One-way 2,000 ft; push-loaded: load 0.85 min (D8 pusher) / 1.0 min (D7, low); turn/dump 0.81 min; loam L-&gt;B 0.80. Payload = MIN(heaped x 0.833, rated load lb / 2,300 lb/LCY) = 36.7 LCY</t>
  </si>
  <si>
    <t xml:space="preserve">Payload LCY = MIN(44 x 0.833 (FM 621B: 20 LCY from 24 yd3), n/a lb / 2,300) (rated load not in specs; heaped x 0.833 only); trips/hr = 60 x E / (load + 0.81 + 2000/(v_haul x 88) + 2000/(v_return x 88)); BCY/hr = trips x payload x 0.80. Loaded top speed is a maximum, not an average haul speed, so Settings speeds are left blank.</t>
  </si>
  <si>
    <t xml:space="preserve">One-way 3,000 ft; push-loaded: load 0.85 min (D8 pusher) / 1.0 min (D7, low); turn/dump 0.81 min; loam L-&gt;B 0.80. Payload = MIN(heaped x 0.833, rated load lb / 2,300 lb/LCY) = 36.7 LCY</t>
  </si>
  <si>
    <t xml:space="preserve">Payload LCY = MIN(44 x 0.833 (FM 621B: 20 LCY from 24 yd3), n/a lb / 2,300) (rated load not in specs; heaped x 0.833 only); trips/hr = 60 x E / (load + 0.81 + 3000/(v_haul x 88) + 3000/(v_return x 88)); BCY/hr = trips x payload x 0.80. Loaded top speed is a maximum, not an average haul speed, so Settings speeds are left blank.</t>
  </si>
  <si>
    <t xml:space="preserve">Payload LCY = MIN(44 x 0.833 (FM 621B: 20 LCY from 24 yd3), 104000 lb / 2,300); trips/hr = 60 x E / (load + 0.81 + 1000/(v_haul x 88) + 1000/(v_return x 88)); BCY/hr = trips x payload x 0.80. Loaded top speed is a maximum, not an average haul speed, so Settings speeds are left blank.</t>
  </si>
  <si>
    <t xml:space="preserve">Payload LCY = MIN(44 x 0.833 (FM 621B: 20 LCY from 24 yd3), 104000 lb / 2,300); trips/hr = 60 x E / (load + 0.81 + 2000/(v_haul x 88) + 2000/(v_return x 88)); BCY/hr = trips x payload x 0.80. Loaded top speed is a maximum, not an average haul speed, so Settings speeds are left blank.</t>
  </si>
  <si>
    <t xml:space="preserve">Payload LCY = MIN(44 x 0.833 (FM 621B: 20 LCY from 24 yd3), 104000 lb / 2,300); trips/hr = 60 x E / (load + 0.81 + 3000/(v_haul x 88) + 3000/(v_return x 88)); BCY/hr = trips x payload x 0.80. Loaded top speed is a maximum, not an average haul speed, so Settings speeds are left blank.</t>
  </si>
  <si>
    <t xml:space="preserve">Moldboard length not in notes</t>
  </si>
  <si>
    <t xml:space="preserve">No moldboard</t>
  </si>
  <si>
    <t xml:space="preserve">Needs moldboard length</t>
  </si>
  <si>
    <t xml:space="preserve">ft moldboard</t>
  </si>
  <si>
    <t xml:space="preserve">Finish grading 1.5/2.0/2.5 mph (within Cat 0-2.5 mph band); blade at 30 deg; 2 ft overlap; passes 4/3/3 (output is completed area)</t>
  </si>
  <si>
    <t xml:space="preserve">SY/hr = mph x (L x cos30 - 2) x 5,280 x E / 9 / passes. Typ: 2.0 x 8.4 x 5,280 x 0.83 / 9 / 3 = 2,724</t>
  </si>
  <si>
    <t xml:space="preserve">CAT-MG;KSU-T7;CAT-GR-PG</t>
  </si>
  <si>
    <t xml:space="preserve">Heavy blading 2/3/4 mph (within Cat 0-6 mph band); blade at 45 deg; 2 ft overlap. PER PASS: hours = area / rate x number of passes</t>
  </si>
  <si>
    <t xml:space="preserve">SY per hour per pass = mph x (L x cos45 - 2) x 5,280 x E / 9. Typ: 3 x 6.5 x 5,280 x 0.83 / 9 = 9,474</t>
  </si>
  <si>
    <t xml:space="preserve">CAT-MG;CAT-GR-PG</t>
  </si>
  <si>
    <t xml:space="preserve">Flex base, one crew</t>
  </si>
  <si>
    <t xml:space="preserve">TxDOT Low/Med/High. Crew/spread rate: equipment hours = crew days x hours/day.</t>
  </si>
  <si>
    <t xml:space="preserve">SY/hr = mph x (L x cos30 - 2) x 5,280 x E / 9 / passes. Typ: 2.0 x 10.1 x 5,280 x 0.83 / 9 / 3 = 3,287</t>
  </si>
  <si>
    <t xml:space="preserve">SY per hour per pass = mph x (L x cos45 - 2) x 5,280 x E / 9. Typ: 3 x 7.9 x 5,280 x 0.83 / 9 = 11,540</t>
  </si>
  <si>
    <t xml:space="preserve">SY/hr = mph x (L x cos30 - 2) x 5,280 x E / 9 / passes. Typ: 2.0 x 11.9 x 5,280 x 0.83 / 9 / 3 = 3,849</t>
  </si>
  <si>
    <t xml:space="preserve">SY per hour per pass = mph x (L x cos45 - 2) x 5,280 x E / 9. Typ: 3 x 9.3 x 5,280 x 0.83 / 9 = 13,605</t>
  </si>
  <si>
    <t xml:space="preserve">SY/hr = mph x (L x cos30 - 2) x 5,280 x E / 9 / passes. Typ: 2.0 x 13.6 x 5,280 x 0.83 / 9 / 3 = 4,411</t>
  </si>
  <si>
    <t xml:space="preserve">SY per hour per pass = mph x (L x cos45 - 2) x 5,280 x E / 9. Typ: 3 x 10.7 x 5,280 x 0.83 / 9 = 15,671</t>
  </si>
  <si>
    <t xml:space="preserve">SY/hr = mph x (L x cos30 - 2) x 5,280 x E / 9 / passes. Typ: 2.0 x 18.8 x 5,280 x 0.83 / 9 / 3 = 6,098</t>
  </si>
  <si>
    <t xml:space="preserve">SY per hour per pass = mph x (L x cos45 - 2) x 5,280 x E / 9. Typ: 3 x 15.0 x 5,280 x 0.83 / 9 = 21,869</t>
  </si>
  <si>
    <t xml:space="preserve">LCY per load</t>
  </si>
  <si>
    <t xml:space="preserve">One-way 0.5 mi; load time = capacity / 2.7 LCY per pass x 0.5 min (Settings B36-B37, worked example); dump/maneuver 1.5 min; loam L-&gt;B 0.80; speeds from Settings (ADT/rigid)</t>
  </si>
  <si>
    <t xml:space="preserve">Cycle = Cap/2.7 x 0.5 + 1.5 + 0.5x60/v_loaded + 0.5x60/v_empty; BCY/hr = Cap x 60 x E / cycle x 0.80. Capacity MIN(heaped 19.6 yd3, payload 26.5 t x 2,000 / 2,300 lb/LCY = 23.0) = 19.6 LCY (Cat 725 26.5 t / 19.6 yd3 heaped). Trucks needed N = cycle / load time.</t>
  </si>
  <si>
    <t xml:space="preserve">OEP;KSU-T5;KSU-T6;FM5434;CAT-TRK-PG;VOLVO-ADT</t>
  </si>
  <si>
    <t xml:space="preserve">Needs haul speeds (Settings B22-B25; not sourced)</t>
  </si>
  <si>
    <t xml:space="preserve">One-way 1.0 mi; load time = capacity / 2.7 LCY per pass x 0.5 min (Settings B36-B37, worked example); dump/maneuver 1.5 min; loam L-&gt;B 0.80; speeds from Settings (ADT/rigid)</t>
  </si>
  <si>
    <t xml:space="preserve">Cycle = Cap/2.7 x 0.5 + 1.5 + 1.0x60/v_loaded + 1.0x60/v_empty; BCY/hr = Cap x 60 x E / cycle x 0.80. Capacity MIN(heaped 19.6 yd3, payload 26.5 t x 2,000 / 2,300 lb/LCY = 23.0) = 19.6 LCY (Cat 725 26.5 t / 19.6 yd3 heaped). Trucks needed N = cycle / load time.</t>
  </si>
  <si>
    <t xml:space="preserve">One-way 2.0 mi; load time = capacity / 2.7 LCY per pass x 0.5 min (Settings B36-B37, worked example); dump/maneuver 1.5 min; loam L-&gt;B 0.80; speeds from Settings (ADT/rigid)</t>
  </si>
  <si>
    <t xml:space="preserve">Cycle = Cap/2.7 x 0.5 + 1.5 + 2.0x60/v_loaded + 2.0x60/v_empty; BCY/hr = Cap x 60 x E / cycle x 0.80. Capacity MIN(heaped 19.6 yd3, payload 26.5 t x 2,000 / 2,300 lb/LCY = 23.0) = 19.6 LCY (Cat 725 26.5 t / 19.6 yd3 heaped). Trucks needed N = cycle / load time.</t>
  </si>
  <si>
    <t xml:space="preserve">Cycle = Cap/2.7 x 0.5 + 1.5 + 0.5x60/v_loaded + 0.5x60/v_empty; BCY/hr = Cap x 60 x E / cycle x 0.80. Capacity MIN(heaped 23.3 yd3, payload 32 t x 2,000 / 2,300 lb/LCY = 27.8) = 23.3 LCY (Volvo A30 32 st / 23.3 yd3 (class proxy; Cat 730 heaped not in specs)). Trucks needed N = cycle / load time.</t>
  </si>
  <si>
    <t xml:space="preserve">Cycle = Cap/2.7 x 0.5 + 1.5 + 1.0x60/v_loaded + 1.0x60/v_empty; BCY/hr = Cap x 60 x E / cycle x 0.80. Capacity MIN(heaped 23.3 yd3, payload 32 t x 2,000 / 2,300 lb/LCY = 27.8) = 23.3 LCY (Volvo A30 32 st / 23.3 yd3 (class proxy; Cat 730 heaped not in specs)). Trucks needed N = cycle / load time.</t>
  </si>
  <si>
    <t xml:space="preserve">Cycle = Cap/2.7 x 0.5 + 1.5 + 2.0x60/v_loaded + 2.0x60/v_empty; BCY/hr = Cap x 60 x E / cycle x 0.80. Capacity MIN(heaped 23.3 yd3, payload 32 t x 2,000 / 2,300 lb/LCY = 27.8) = 23.3 LCY (Volvo A30 32 st / 23.3 yd3 (class proxy; Cat 730 heaped not in specs)). Trucks needed N = cycle / load time.</t>
  </si>
  <si>
    <t xml:space="preserve">Cycle = Cap/2.7 x 0.5 + 1.5 + 0.5x60/v_loaded + 0.5x60/v_empty; BCY/hr = Cap x 60 x E / cycle x 0.80. Capacity MIN(heaped 28.4 yd3, payload 38 t x 2,000 / 2,300 lb/LCY = 33.0) = 28.4 LCY (Volvo A35 38 st / 28.4 yd3 (class proxy)). Trucks needed N = cycle / load time.</t>
  </si>
  <si>
    <t xml:space="preserve">Cycle = Cap/2.7 x 0.5 + 1.5 + 1.0x60/v_loaded + 1.0x60/v_empty; BCY/hr = Cap x 60 x E / cycle x 0.80. Capacity MIN(heaped 28.4 yd3, payload 38 t x 2,000 / 2,300 lb/LCY = 33.0) = 28.4 LCY (Volvo A35 38 st / 28.4 yd3 (class proxy)). Trucks needed N = cycle / load time.</t>
  </si>
  <si>
    <t xml:space="preserve">Cycle = Cap/2.7 x 0.5 + 1.5 + 2.0x60/v_loaded + 2.0x60/v_empty; BCY/hr = Cap x 60 x E / cycle x 0.80. Capacity MIN(heaped 28.4 yd3, payload 38 t x 2,000 / 2,300 lb/LCY = 33.0) = 28.4 LCY (Volvo A35 38 st / 28.4 yd3 (class proxy)). Trucks needed N = cycle / load time.</t>
  </si>
  <si>
    <t xml:space="preserve">Cycle = Cap/2.7 x 0.5 + 1.5 + 0.5x60/v_loaded + 0.5x60/v_empty; BCY/hr = Cap x 60 x E / cycle x 0.80. Capacity MIN(heaped 31.4 yd3, payload 43 t x 2,000 / 2,300 lb/LCY = 37.4) = 31.4 LCY (Volvo A40G 43 st / 31.4 yd3 (class proxy)). Trucks needed N = cycle / load time.</t>
  </si>
  <si>
    <t xml:space="preserve">Cycle = Cap/2.7 x 0.5 + 1.5 + 1.0x60/v_loaded + 1.0x60/v_empty; BCY/hr = Cap x 60 x E / cycle x 0.80. Capacity MIN(heaped 31.4 yd3, payload 43 t x 2,000 / 2,300 lb/LCY = 37.4) = 31.4 LCY (Volvo A40G 43 st / 31.4 yd3 (class proxy)). Trucks needed N = cycle / load time.</t>
  </si>
  <si>
    <t xml:space="preserve">Cycle = Cap/2.7 x 0.5 + 1.5 + 2.0x60/v_loaded + 2.0x60/v_empty; BCY/hr = Cap x 60 x E / cycle x 0.80. Capacity MIN(heaped 31.4 yd3, payload 43 t x 2,000 / 2,300 lb/LCY = 37.4) = 31.4 LCY (Volvo A40G 43 st / 31.4 yd3 (class proxy)). Trucks needed N = cycle / load time.</t>
  </si>
  <si>
    <t xml:space="preserve">Cycle = Cap/2.7 x 0.5 + 1.5 + 0.5x60/v_loaded + 0.5x60/v_empty; BCY/hr = Cap x 60 x E / cycle x 0.80. Capacity MIN(heaped 33.4 yd3, payload 45.2 t x 2,000 / 2,300 lb/LCY = 39.3) = 33.4 LCY (Cat 745 45.2 t / 33.4 yd3). Trucks needed N = cycle / load time.</t>
  </si>
  <si>
    <t xml:space="preserve">Cycle = Cap/2.7 x 0.5 + 1.5 + 1.0x60/v_loaded + 1.0x60/v_empty; BCY/hr = Cap x 60 x E / cycle x 0.80. Capacity MIN(heaped 33.4 yd3, payload 45.2 t x 2,000 / 2,300 lb/LCY = 39.3) = 33.4 LCY (Cat 745 45.2 t / 33.4 yd3). Trucks needed N = cycle / load time.</t>
  </si>
  <si>
    <t xml:space="preserve">Cycle = Cap/2.7 x 0.5 + 1.5 + 2.0x60/v_loaded + 2.0x60/v_empty; BCY/hr = Cap x 60 x E / cycle x 0.80. Capacity MIN(heaped 33.4 yd3, payload 45.2 t x 2,000 / 2,300 lb/LCY = 39.3) = 33.4 LCY (Cat 745 45.2 t / 33.4 yd3). Trucks needed N = cycle / load time.</t>
  </si>
  <si>
    <t xml:space="preserve">Cycle = Cap/2.7 x 0.5 + 1.5 + 0.5x60/v_loaded + 0.5x60/v_empty; BCY/hr = Cap x 60 x E / cycle x 0.80. Capacity 30 t x 2,000 / 2,300 lb/LCY = 26.1 LCY (heaped not in specs; weight-limited). Trucks needed N = cycle / load time.</t>
  </si>
  <si>
    <t xml:space="preserve">OEP;KSU-T5;KSU-T6;FM5434</t>
  </si>
  <si>
    <t xml:space="preserve">Cycle = Cap/2.7 x 0.5 + 1.5 + 1.0x60/v_loaded + 1.0x60/v_empty; BCY/hr = Cap x 60 x E / cycle x 0.80. Capacity 30 t x 2,000 / 2,300 lb/LCY = 26.1 LCY (heaped not in specs; weight-limited). Trucks needed N = cycle / load time.</t>
  </si>
  <si>
    <t xml:space="preserve">Cycle = Cap/2.7 x 0.5 + 1.5 + 0.5x60/v_loaded + 0.5x60/v_empty; BCY/hr = Cap x 60 x E / cycle x 0.80. Capacity 42 t x 2,000 / 2,300 lb/LCY = 36.5 LCY (heaped not in specs; weight-limited). Trucks needed N = cycle / load time.</t>
  </si>
  <si>
    <t xml:space="preserve">Cycle = Cap/2.7 x 0.5 + 1.5 + 1.0x60/v_loaded + 1.0x60/v_empty; BCY/hr = Cap x 60 x E / cycle x 0.80. Capacity 42 t x 2,000 / 2,300 lb/LCY = 36.5 LCY (heaped not in specs; weight-limited). Trucks needed N = cycle / load time.</t>
  </si>
  <si>
    <t xml:space="preserve">Cycle = Cap/2.7 x 0.5 + 1.5 + 1.0x60/v_loaded + 1.0x60/v_empty; BCY/hr = Cap x 60 x E / cycle x 0.80. Capacity 42.1 t x 2,000 / 2,300 lb/LCY = 36.6 LCY (heaped not in specs; weight-limited). Trucks needed N = cycle / load time.</t>
  </si>
  <si>
    <t xml:space="preserve">Cycle = Cap/2.7 x 0.5 + 1.5 + 1.0x60/v_loaded + 1.0x60/v_empty; BCY/hr = Cap x 60 x E / cycle x 0.80. Capacity MIN(heaped 40.8 yd3, payload 51.6 t x 2,000 / 2,300 lb/LCY = 44.9) = 40.8 LCY (Cat 772 51.6 t / 40.8 yd3). Trucks needed N = cycle / load time.</t>
  </si>
  <si>
    <t xml:space="preserve">Cycle = Cap/2.7 x 0.5 + 1.5 + 1.0x60/v_loaded + 1.0x60/v_empty; BCY/hr = Cap x 60 x E / cycle x 0.80. Capacity MIN(heaped 46.75 yd3, payload 61.7 t x 2,000 / 2,300 lb/LCY = 53.7) = 46.8 LCY (Cat 773 61.7 t / 46.75 yd3). Trucks needed N = cycle / load time.</t>
  </si>
  <si>
    <t xml:space="preserve">Cycle = Cap/2.7 x 0.5 + 1.5 + 1.0x60/v_loaded + 1.0x60/v_empty; BCY/hr = Cap x 60 x E / cycle x 0.80. Capacity 70.5 t x 2,000 / 2,300 lb/LCY = 61.3 LCY (heaped not in specs; weight-limited). Trucks needed N = cycle / load time.</t>
  </si>
  <si>
    <t xml:space="preserve">Cycle = Cap/2.7 x 0.5 + 1.5 + 1.0x60/v_loaded + 1.0x60/v_empty; BCY/hr = Cap x 60 x E / cycle x 0.80. Capacity MIN(heaped 83.1 yd3, payload 101.1 t x 2,000 / 2,300 lb/LCY = 87.9) = 83.1 LCY (Cat 777 101.1 t / 83.1 yd3). Trucks needed N = cycle / load time.</t>
  </si>
  <si>
    <t xml:space="preserve">One-way 0.5 mi; load time = capacity / 2.7 LCY per pass x 0.5 min (Settings B36-B37, worked example); dump/maneuver 1.5 min; loam L-&gt;B 0.80; speeds from Settings (truck)</t>
  </si>
  <si>
    <t xml:space="preserve">Cycle = Cap/2.7 x 0.5 + 1.5 + 0.5x60/v_loaded + 0.5x60/v_empty; BCY/hr = Cap x 60 x E / cycle x 0.80. Capacity 7 CY struck used as LCY (heaped not sourced; tandem dumps 10-16 yd3 per CTOS). Trucks needed N = cycle / load time.</t>
  </si>
  <si>
    <t xml:space="preserve">OEP;KSU-T5;KSU-T6;FEMA25</t>
  </si>
  <si>
    <t xml:space="preserve">One-way 1.0 mi; load time = capacity / 2.7 LCY per pass x 0.5 min (Settings B36-B37, worked example); dump/maneuver 1.5 min; loam L-&gt;B 0.80; speeds from Settings (truck)</t>
  </si>
  <si>
    <t xml:space="preserve">Cycle = Cap/2.7 x 0.5 + 1.5 + 1.0x60/v_loaded + 1.0x60/v_empty; BCY/hr = Cap x 60 x E / cycle x 0.80. Capacity 7 CY struck used as LCY (heaped not sourced; tandem dumps 10-16 yd3 per CTOS). Trucks needed N = cycle / load time.</t>
  </si>
  <si>
    <t xml:space="preserve">One-way 2.0 mi; load time = capacity / 2.7 LCY per pass x 0.5 min (Settings B36-B37, worked example); dump/maneuver 1.5 min; loam L-&gt;B 0.80; speeds from Settings (truck)</t>
  </si>
  <si>
    <t xml:space="preserve">Cycle = Cap/2.7 x 0.5 + 1.5 + 2.0x60/v_loaded + 2.0x60/v_empty; BCY/hr = Cap x 60 x E / cycle x 0.80. Capacity 7 CY struck used as LCY (heaped not sourced; tandem dumps 10-16 yd3 per CTOS). Trucks needed N = cycle / load time.</t>
  </si>
  <si>
    <t xml:space="preserve">Cycle = Cap/2.7 x 0.5 + 1.5 + 0.5x60/v_loaded + 0.5x60/v_empty; BCY/hr = Cap x 60 x E / cycle x 0.80. Capacity 9 CY struck used as LCY (heaped not sourced; tandem dumps 10-16 yd3 per CTOS). Trucks needed N = cycle / load time.</t>
  </si>
  <si>
    <t xml:space="preserve">Cycle = Cap/2.7 x 0.5 + 1.5 + 1.0x60/v_loaded + 1.0x60/v_empty; BCY/hr = Cap x 60 x E / cycle x 0.80. Capacity 9 CY struck used as LCY (heaped not sourced; tandem dumps 10-16 yd3 per CTOS). Trucks needed N = cycle / load time.</t>
  </si>
  <si>
    <t xml:space="preserve">Cycle = Cap/2.7 x 0.5 + 1.5 + 2.0x60/v_loaded + 2.0x60/v_empty; BCY/hr = Cap x 60 x E / cycle x 0.80. Capacity 9 CY struck used as LCY (heaped not sourced; tandem dumps 10-16 yd3 per CTOS). Trucks needed N = cycle / load time.</t>
  </si>
  <si>
    <t xml:space="preserve">Cycle = Cap/2.7 x 0.5 + 1.5 + 0.5x60/v_loaded + 0.5x60/v_empty; BCY/hr = Cap x 60 x E / cycle x 0.80. Capacity 12 CY struck used as LCY (heaped not sourced; tandem dumps 10-16 yd3 per CTOS). Trucks needed N = cycle / load time.</t>
  </si>
  <si>
    <t xml:space="preserve">Cycle = Cap/2.7 x 0.5 + 1.5 + 1.0x60/v_loaded + 1.0x60/v_empty; BCY/hr = Cap x 60 x E / cycle x 0.80. Capacity 12 CY struck used as LCY (heaped not sourced; tandem dumps 10-16 yd3 per CTOS). Trucks needed N = cycle / load time.</t>
  </si>
  <si>
    <t xml:space="preserve">Cycle = Cap/2.7 x 0.5 + 1.5 + 2.0x60/v_loaded + 2.0x60/v_empty; BCY/hr = Cap x 60 x E / cycle x 0.80. Capacity 12 CY struck used as LCY (heaped not sourced; tandem dumps 10-16 yd3 per CTOS). Trucks needed N = cycle / load time.</t>
  </si>
  <si>
    <t xml:space="preserve">Cycle = Cap/2.7 x 0.5 + 1.5 + 0.5x60/v_loaded + 0.5x60/v_empty; BCY/hr = Cap x 60 x E / cycle x 0.80. Capacity 14 CY struck used as LCY (heaped not sourced; tandem dumps 10-16 yd3 per CTOS). Trucks needed N = cycle / load time.</t>
  </si>
  <si>
    <t xml:space="preserve">Cycle = Cap/2.7 x 0.5 + 1.5 + 1.0x60/v_loaded + 1.0x60/v_empty; BCY/hr = Cap x 60 x E / cycle x 0.80. Capacity 14 CY struck used as LCY (heaped not sourced; tandem dumps 10-16 yd3 per CTOS). Trucks needed N = cycle / load time.</t>
  </si>
  <si>
    <t xml:space="preserve">Cycle = Cap/2.7 x 0.5 + 1.5 + 2.0x60/v_loaded + 2.0x60/v_empty; BCY/hr = Cap x 60 x E / cycle x 0.80. Capacity 14 CY struck used as LCY (heaped not sourced; tandem dumps 10-16 yd3 per CTOS). Trucks needed N = cycle / load time.</t>
  </si>
  <si>
    <t xml:space="preserve">Cycle = Cap/2.7 x 0.5 + 1.5 + 0.5x60/v_loaded + 0.5x60/v_empty; BCY/hr = Cap x 60 x E / cycle x 0.80. Capacity 18 CY struck used as LCY (heaped not sourced; tandem dumps 10-16 yd3 per CTOS). Trucks needed N = cycle / load time.</t>
  </si>
  <si>
    <t xml:space="preserve">Cycle = Cap/2.7 x 0.5 + 1.5 + 1.0x60/v_loaded + 1.0x60/v_empty; BCY/hr = Cap x 60 x E / cycle x 0.80. Capacity 18 CY struck used as LCY (heaped not sourced; tandem dumps 10-16 yd3 per CTOS). Trucks needed N = cycle / load time.</t>
  </si>
  <si>
    <t xml:space="preserve">Cycle = Cap/2.7 x 0.5 + 1.5 + 2.0x60/v_loaded + 2.0x60/v_empty; BCY/hr = Cap x 60 x E / cycle x 0.80. Capacity 18 CY struck used as LCY (heaped not sourced; tandem dumps 10-16 yd3 per CTOS). Trucks needed N = cycle / load time.</t>
  </si>
  <si>
    <t xml:space="preserve">Cycle = Cap/2.7 x 0.5 + 1.5 + 0.5x60/v_loaded + 0.5x60/v_empty; BCY/hr = Cap x 60 x E / cycle x 0.80. Capacity not in notes/specs. Trucks needed N = cycle / load time.</t>
  </si>
  <si>
    <t xml:space="preserve">OEP;KSU-T5;KSU-T6</t>
  </si>
  <si>
    <t xml:space="preserve">Needs haul speeds (Settings B22-B25; not sourced); Needs truck capacity</t>
  </si>
  <si>
    <t xml:space="preserve">Cycle = Cap/2.7 x 0.5 + 1.5 + 1.0x60/v_loaded + 1.0x60/v_empty; BCY/hr = Cap x 60 x E / cycle x 0.80. Capacity not in notes/specs. Trucks needed N = cycle / load time.</t>
  </si>
  <si>
    <t xml:space="preserve">Cycle = Cap/2.7 x 0.5 + 1.5 + 2.0x60/v_loaded + 2.0x60/v_empty; BCY/hr = Cap x 60 x E / cycle x 0.80. Capacity not in notes/specs. Trucks needed N = cycle / load time.</t>
  </si>
  <si>
    <t xml:space="preserve">Calculated from single-pass spec (E from Settings)</t>
  </si>
  <si>
    <t xml:space="preserve">Wacker Neuson WP1550AW 19.5 in, 194 lb: 9,750 ft2/hr single pass (100 ft/min); lift 3/4/5 in, passes 6/5/4</t>
  </si>
  <si>
    <t xml:space="preserve">CCY/hr = ft2/hr / passes x E x lift(in)/12 / 27. Typ: 9,750/5 x 0.83 x 4/12/27 = 20.0</t>
  </si>
  <si>
    <t xml:space="preserve">WN-WP1550;MST-GE441;EDUREV</t>
  </si>
  <si>
    <t xml:space="preserve">ATE TP-1830H 18x18 in, 465 lb: 8,550 ft2/hr single pass - LIGHTER proxy than this 800-1,100 lb class (output likely understated); lift 3/4/5 in, passes 6/5/4</t>
  </si>
  <si>
    <t xml:space="preserve">CCY/hr = ft2/hr / passes x E x lift(in)/12 / 27. Typ: 8,550/5 x 0.83 x 4/12/27 = 17.5</t>
  </si>
  <si>
    <t xml:space="preserve">ATE-PLATE;MST-GE441;EDUREV</t>
  </si>
  <si>
    <t xml:space="preserve">Proxy plate spec (lighter than class) - verify</t>
  </si>
  <si>
    <t xml:space="preserve">Wacker Neuson BS60-4As 11 in shoe: ~1,590 ft2/hr (148 m2/hr), 28.9 ft/min; lift 2/2.5/3 in, passes 6/5/4</t>
  </si>
  <si>
    <t xml:space="preserve">CCY/hr = ft2/hr / passes x E x lift(in)/12 / 27. Typ: 1,590/5 x 0.83 x 2.5/12/27 = 2.0</t>
  </si>
  <si>
    <t xml:space="preserve">WN-BS60;MST-GE441;EDUREV</t>
  </si>
  <si>
    <t xml:space="preserve">in drum width</t>
  </si>
  <si>
    <t xml:space="preserve">Lift 4 in compacted; speed 1.14/1.75/2.37 mph (= 1 impact per inch at 1,200/1,850/2,500 vpm); passes 6/5/4 (low/typ/high; 4-6 typical); trench compactors take lifts &lt;=4-5 in</t>
  </si>
  <si>
    <t xml:space="preserve">CCY/hr = 16.3 x W(ft) x S(mph) x L(in) x E / P. Typ: 16.3 x 33/12 x 1.75 x 4 x 0.83 / 5 = 52</t>
  </si>
  <si>
    <t xml:space="preserve">Trench roller speed not sourced; vibratory 1 impact/inch rule applied</t>
  </si>
  <si>
    <t xml:space="preserve">Lift 6 in compacted; speed 1.14/1.75/2.37 mph (= 1 impact per inch at 1,200/1,850/2,500 vpm); passes 6/5/4 (low/typ/high; 4-6 typical)</t>
  </si>
  <si>
    <t xml:space="preserve">CCY/hr = 16.3 x W(ft) x S(mph) x L(in) x E / P. Typ: 16.3 x 84/12 x 1.75 x 6 x 0.83 / 5 = 199</t>
  </si>
  <si>
    <t xml:space="preserve">CCY/hr = 16.3 x W(ft) x S(mph) x L(in) x E / P. Typ: 16.3 x 50/12 x 1.75 x 6 x 0.83 / 5 = 118</t>
  </si>
  <si>
    <t xml:space="preserve">Lift 8 in compacted; speed 1.14/1.75/2.37 mph (= 1 impact per inch at 1,200/1,850/2,500 vpm); passes 6/5/4 (low/typ/high; 4-6 typical)</t>
  </si>
  <si>
    <t xml:space="preserve">CCY/hr = 16.3 x W(ft) x S(mph) x L(in) x E / P. Typ: 16.3 x 50/12 x 1.75 x 8 x 0.83 / 5 = 158</t>
  </si>
  <si>
    <t xml:space="preserve">CCY/hr = 16.3 x W(ft) x S(mph) x L(in) x E / P. Typ: 16.3 x 66/12 x 1.75 x 6 x 0.83 / 5 = 156</t>
  </si>
  <si>
    <t xml:space="preserve">CCY/hr = 16.3 x W(ft) x S(mph) x L(in) x E / P. Typ: 16.3 x 66/12 x 1.75 x 8 x 0.83 / 5 = 208</t>
  </si>
  <si>
    <t xml:space="preserve">CCY/hr = 16.3 x W(ft) x S(mph) x L(in) x E / P. Typ: 16.3 x 84/12 x 1.75 x 8 x 0.83 / 5 = 265</t>
  </si>
  <si>
    <t xml:space="preserve">Lift 12 in compacted; speed 1.14/1.75/2.37 mph (= 1 impact per inch at 1,200/1,850/2,500 vpm); passes 6/5/4 (low/typ/high; 4-6 typical)</t>
  </si>
  <si>
    <t xml:space="preserve">CCY/hr = 16.3 x W(ft) x S(mph) x L(in) x E / P. Typ: 16.3 x 84/12 x 1.75 x 12 x 0.83 / 5 = 398</t>
  </si>
  <si>
    <t xml:space="preserve">CCY/hr = 16.3 x W x S x L x E / P (drum width needed)</t>
  </si>
  <si>
    <t xml:space="preserve">Needs drum width</t>
  </si>
  <si>
    <t xml:space="preserve">CCY/hr = 16.3 x W(ft) x S(mph) x L(in) x E / P. Typ: 16.3 x 51/12 x 1.75 x 6 x 0.83 / 5 = 121</t>
  </si>
  <si>
    <t xml:space="preserve">CCY/hr = 16.3 x W(ft) x S(mph) x L(in) x E / P. Typ: 16.3 x 51/12 x 1.75 x 8 x 0.83 / 5 = 161</t>
  </si>
  <si>
    <t xml:space="preserve">in drum/rolling width</t>
  </si>
  <si>
    <t xml:space="preserve">Speed 2.5 / 3.0 / 4.0 mph (Roads &amp; Bridges: static/vib &lt;=2,400 vpm ~2.5 mph; vib to 3,600 vpm and pneumatic up to 4 mph; Asphalt Institute/Penn State 3 mph); 7 passes total (Penn State example)</t>
  </si>
  <si>
    <t xml:space="preserve">SY/hr = mph x 5,280 x W(ft) / 9 x E / passes. Typ: 3 x 5,280 x 47/12 / 9 x 0.83 / 7 = 817</t>
  </si>
  <si>
    <t xml:space="preserve">CCY/hr = 16.3 x W(ft) x S(mph) x L(in) x E / P. Typ: 16.3 x 47/12 x 1.75 x 6 x 0.83 / 5 = 111</t>
  </si>
  <si>
    <t xml:space="preserve">SY/hr = mph x 5,280 x W(ft) / 9 x E / passes. Typ: 3 x 5,280 x 47.2/12 / 9 x 0.83 / 7 = 821</t>
  </si>
  <si>
    <t xml:space="preserve">SY/hr = mph x 5,280 x W(ft) / 9 x E / passes. Typ: 3 x 5,280 x 54/12 / 9 x 0.83 / 7 = 939</t>
  </si>
  <si>
    <t xml:space="preserve">SY/hr = mph x 5,280 x W(ft) / 9 x E / passes. Typ: 3 x 5,280 x 67/12 / 9 x 0.83 / 7 = 1,165</t>
  </si>
  <si>
    <t xml:space="preserve">SY/hr = mph x 5,280 x W(ft) / 9 x E / passes. Typ: 3 x 5,280 x 79/12 / 9 x 0.83 / 7 = 1,374</t>
  </si>
  <si>
    <t xml:space="preserve">SY/hr = mph x 5,280 x W(ft) / 9 x E / passes. Typ: 3 x 5,280 x 84/12 / 9 x 0.83 / 7 = 1,461</t>
  </si>
  <si>
    <t xml:space="preserve">SY/hr = mph x 5,280 x W(ft) / 9 x E / passes</t>
  </si>
  <si>
    <t xml:space="preserve">SY/hr = mph x 5,280 x W(ft) / 9 x E / passes. Typ: 3 x 5,280 x 68/12 / 9 x 0.83 / 7 = 1,183</t>
  </si>
  <si>
    <t xml:space="preserve">Static pneumatic: vibratory speed rule does not apply; needs soil working speed</t>
  </si>
  <si>
    <t xml:space="preserve">SY/hr = mph x 5,280 x W(ft) / 9 x E / passes. Typ: 3 x 5,280 x 82/12 / 9 x 0.83 / 7 = 1,426</t>
  </si>
  <si>
    <t xml:space="preserve">No proof-rolling rate source</t>
  </si>
  <si>
    <t xml:space="preserve">Small urban / thin overlay</t>
  </si>
  <si>
    <t xml:space="preserve">Typ = median of NCDOT small urban mid 350 and TxDOT thin overlay med 500; low 200; high 750. Crew/spread rate: equipment hours = crew days x hours/day.</t>
  </si>
  <si>
    <t xml:space="preserve">Mainline HMA, supply-governed spread</t>
  </si>
  <si>
    <t xml:space="preserve">Typ = median of one typical per agency: TxDOT 989 (mean of ACP 978 / Superpave 1,000), WisDOT 1,300, NCDOT mainline mid 1,400 (800-2,000), FHWA CFL mid 1,650, WSDOT West mid 1,700 (1,200-2,200) -&gt; 1,400; low TxDOT ACP 505; high WSDOT West 2,200 (WSDOT East up to 3,000 not used). Crew/spread rate: equipment hours = crew days x hours/day.</t>
  </si>
  <si>
    <t xml:space="preserve">WISDOT;TXDOT;FHWA-CFL;NCDOT;WSDOT</t>
  </si>
  <si>
    <t xml:space="preserve">Calculated (geometric)</t>
  </si>
  <si>
    <t xml:space="preserve">Cutting speed 30 fpm, 50% efficiency (notes worked example); truck loading often governs deep cuts</t>
  </si>
  <si>
    <t xml:space="preserve">SY/hr = drum width(ft) x fpm x 60 x 0.50 / 9</t>
  </si>
  <si>
    <t xml:space="preserve">Efficiency 0.50 from example, not Settings E; Needs drum width</t>
  </si>
  <si>
    <t xml:space="preserve">SY/hr = drum width(ft) x fpm x 60 x 0.50 / 9 = 24/12 x 30 x 60 x 0.5 / 9 = 200</t>
  </si>
  <si>
    <t xml:space="preserve">Efficiency 0.50 from example, not Settings E</t>
  </si>
  <si>
    <t xml:space="preserve">SY/hr = drum width(ft) x fpm x 60 x 0.50 / 9 = 39.4/12 x 30 x 60 x 0.5 / 9 = 328</t>
  </si>
  <si>
    <t xml:space="preserve">SY/hr = drum width(ft) x fpm x 60 x 0.50 / 9 = 49/12 x 30 x 60 x 0.5 / 9 = 408</t>
  </si>
  <si>
    <t xml:space="preserve">Half/full-lane machine, 8-hr day</t>
  </si>
  <si>
    <t xml:space="preserve">Typ = median of WSDOT normal 9,000, WisDOT thin 17,000 / thick 14,000, TxDOT med 7,430; low TxDOT 2,450; high WisDOT 25,000. Crew/spread rate: equipment hours = crew days x hours/day.</t>
  </si>
  <si>
    <t xml:space="preserve">Prime coat</t>
  </si>
  <si>
    <t xml:space="preserve">Seal coat / BST</t>
  </si>
  <si>
    <t xml:space="preserve">Typ = median of TxDOT med 36,000 and NCDOT major mid 7,500; low NCDOT small urban 2,000; high TxDOT 140,000. Crew/spread rate: equipment hours = crew days x hours/day.</t>
  </si>
  <si>
    <t xml:space="preserve">No walk-behind paint striping rate (only thermoplastic push cart 400 LF/day)</t>
  </si>
  <si>
    <t xml:space="preserve">Paint line, truck</t>
  </si>
  <si>
    <t xml:space="preserve">TxDOT Low/Med/High; WSDOT 14,000-100,000 West cross-check. Crew/spread rate: equipment hours = crew days x hours/day.</t>
  </si>
  <si>
    <t xml:space="preserve">Lime treatment (cement: 1,585/2,529/3,325)</t>
  </si>
  <si>
    <t xml:space="preserve">TxDOT Low/Med/High (lime). Crew/spread rate: equipment hours = crew days x hours/day.</t>
  </si>
  <si>
    <t xml:space="preserve">Direct from boom; delivery &amp; finishing govern</t>
  </si>
  <si>
    <t xml:space="preserve">Range 60-100 CY/hr; typ = midpoint. Crew/spread rate: equipment hours = crew days x hours/day.</t>
  </si>
  <si>
    <t xml:space="preserve">Line pump with downline</t>
  </si>
  <si>
    <t xml:space="preserve">Range 40-60; typ = midpoint. Crew/spread rate: equipment hours = crew days x hours/day.</t>
  </si>
  <si>
    <t xml:space="preserve">No conveyor placement source</t>
  </si>
  <si>
    <t xml:space="preserve">Wet screed (hand/roller/vibratory screed)</t>
  </si>
  <si>
    <t xml:space="preserve">Range 30-60; typ = midpoint. Crew/spread rate: equipment hours = crew days x hours/day.</t>
  </si>
  <si>
    <t xml:space="preserve">36 in walk-behind</t>
  </si>
  <si>
    <t xml:space="preserve">Range 700-1,500; typ = midpoint. Crew/spread rate: equipment hours = crew days x hours/day.</t>
  </si>
  <si>
    <t xml:space="preserve">Derived from trade press</t>
  </si>
  <si>
    <t xml:space="preserve">Ride-on = 3-5x walk-behind</t>
  </si>
  <si>
    <t xml:space="preserve">Low 3 x 700; typ 4 x 1,100; high 5 x 1,500. Crew/spread rate: equipment hours = crew days x hours/day.</t>
  </si>
  <si>
    <t xml:space="preserve">Truck dump + laser screed</t>
  </si>
  <si>
    <t xml:space="preserve">Range 80-160; typ = midpoint. Crew/spread rate: equipment hours = crew days x hours/day.</t>
  </si>
  <si>
    <t xml:space="preserve">No saw LF/hr by depth source</t>
  </si>
  <si>
    <t xml:space="preserve">Mainline concrete pavement</t>
  </si>
  <si>
    <t xml:space="preserve">Typ = median of WisDOT 2,300, TxDOT 2,463, NCDOT mid 4,000; low WisDOT 850; high NCDOT 5,000. Crew/spread rate: equipment hours = crew days x hours/day.</t>
  </si>
  <si>
    <t xml:space="preserve">WISDOT;TXDOT;NCDOT;WSDOT</t>
  </si>
  <si>
    <t xml:space="preserve">Typ = median of WisDOT 800, TxDOT 554, WSDOT West 1,500, NCDOT mid 750; low TxDOT 288; high WisDOT/WSDOT 1,500. Crew/spread rate: equipment hours = crew days x hours/day.</t>
  </si>
  <si>
    <t xml:space="preserve">Precast bridge girders</t>
  </si>
  <si>
    <t xml:space="preserve">WisDOT 5-8, median 6. Crew/spread rate: equipment hours = crew days x hours/day.</t>
  </si>
  <si>
    <t xml:space="preserve">Structural steel bridge beams</t>
  </si>
  <si>
    <t xml:space="preserve">WisDOT 6-12; typ = midpoint. Crew/spread rate: equipment hours = crew days x hours/day.</t>
  </si>
  <si>
    <t xml:space="preserve">Driven piles, all types</t>
  </si>
  <si>
    <t xml:space="preserve">Typ = median of WisDOT 280 and TxDOT 150; low TxDOT 100; high WisDOT 400. Crew/spread rate: equipment hours = crew days x hours/day.</t>
  </si>
  <si>
    <t xml:space="preserve">WISDOT;TXDOT</t>
  </si>
  <si>
    <t xml:space="preserve">Measured study (derived)</t>
  </si>
  <si>
    <t xml:space="preserve">Frame erection; precast much lower</t>
  </si>
  <si>
    <t xml:space="preserve">~4 min median lift / 72% effective -&gt; 10-12 lifts/hr theoretical. Crew/spread rate: equipment hours = crew days x hours/day.</t>
  </si>
  <si>
    <t xml:space="preserve">No cable plow source</t>
  </si>
  <si>
    <t xml:space="preserve">500 ft bore, 12 in reamer, sand/dirt, 40 gpm; ~7 of 10 hr productive</t>
  </si>
  <si>
    <t xml:space="preserve">500 ft / 6 hr = 83; 500 / 3 = 167; typ = midpoint. Crew/spread rate: equipment hours = crew days x hours/day.</t>
  </si>
  <si>
    <t xml:space="preserve">Jack and bore</t>
  </si>
  <si>
    <t xml:space="preserve">4-8 in pipe, 4x12 ft pit</t>
  </si>
  <si>
    <t xml:space="preserve">Range 300-400; typ = midpoint. Crew/spread rate: equipment hours = crew days x hours/day.</t>
  </si>
  <si>
    <t xml:space="preserve">8-12 in typical, up to 16 in</t>
  </si>
  <si>
    <t xml:space="preserve">Range 500-750; typ = midpoint. Crew/spread rate: equipment hours = crew days x hours/day.</t>
  </si>
  <si>
    <t xml:space="preserve">Measured test (GTI), pure dig time</t>
  </si>
  <si>
    <t xml:space="preserve">Hydro (water) excavation, clay to silty clay; excludes setup/dumping</t>
  </si>
  <si>
    <t xml:space="preserve">0.78-2.96 ft3/min x 60/27 = 1.7-6.6 CY/hr; typ from mid 1.87 ft3/min. Crew/spread rate: equipment hours = crew days x hours/day.</t>
  </si>
  <si>
    <t xml:space="preserve">Temporary sheet piling</t>
  </si>
  <si>
    <t xml:space="preserve">Typ = median of WisDOT 340, TxDOT 350, NCDOT 640; low 220; high 690. Crew/spread rate: equipment hours = crew days x hours/day.</t>
  </si>
  <si>
    <t xml:space="preserve">Drilled shafts in soil (diameter-dependent)</t>
  </si>
  <si>
    <t xml:space="preserve">Typ = median of TxDOT 104 and NCDOT &lt;=60 in 25; low NCDOT &gt;60 in 18; high TxDOT 203. Crew/spread rate: equipment hours = crew days x hours/day.</t>
  </si>
  <si>
    <t xml:space="preserve">DOT agency judgment</t>
  </si>
  <si>
    <t xml:space="preserve">Drilled shafts not in soil</t>
  </si>
  <si>
    <t xml:space="preserve">NCDOT &lt;=60 in 5; &gt;60 in 3. Crew/spread rate: equipment hours = crew days x hours/day.</t>
  </si>
  <si>
    <t xml:space="preserve">No chipper production source</t>
  </si>
  <si>
    <t xml:space="preserve">Seed, fertilize &amp; mulch</t>
  </si>
  <si>
    <t xml:space="preserve">Typ = median of WSDOT West normal 5 and NCDOT mid 2; low NCDOT 1; high WSDOT 10. Crew/spread rate: equipment hours = crew days x hours/day.</t>
  </si>
  <si>
    <t xml:space="preserve">WSDOT;NCDOT</t>
  </si>
  <si>
    <t xml:space="preserve">Equipment_group</t>
  </si>
  <si>
    <t xml:space="preserve">Duration driver (how hours/days are derived)</t>
  </si>
  <si>
    <t xml:space="preserve">Minimum rental / minimum hours</t>
  </si>
  <si>
    <t xml:space="preserve">Shift / overtime rule</t>
  </si>
  <si>
    <t xml:space="preserve">Standby / idle</t>
  </si>
  <si>
    <t xml:space="preserve">Mob/demob note</t>
  </si>
  <si>
    <t xml:space="preserve">Mobile cranes (operated hourly)</t>
  </si>
  <si>
    <t xml:space="preserve">Pieces / pieces per day (LF-GIRDER, LF-STEEL) or the lift plan; add travel (portal-to-portal) and setup</t>
  </si>
  <si>
    <t xml:space="preserve">NTX 3-4 hr; Dependable 1-8 hr (22 t 1 hr, 40 t 2 hr, 75 t 4 hr, 115 t 8 hr); CFCS 4 hr small, 6 hr mid/large, 8 hr RT/crawler/heavy-lift; BigRentz 3-8 hr</t>
  </si>
  <si>
    <t xml:space="preserve">OT after 8 hr or before 7 am / after 5 pm, Sat/Sun: +$50/hr per man (NTX), Sun/holiday +$85; CFCS OT +$74/hr (1 operator), double time +$144, holiday +$224</t>
  </si>
  <si>
    <t xml:space="preserve">Standby $95/hr per man (NTX); riggers $88-160/hr, 4 hr minimum</t>
  </si>
  <si>
    <t xml:space="preserve">Counterweight trailer add $1,200 (Dependable); permits $52-275 (NTX)</t>
  </si>
  <si>
    <t xml:space="preserve">NTXC;DEPC;CFCS;BIGR-CR</t>
  </si>
  <si>
    <t xml:space="preserve">Crawler / large mobile cranes (monthly)</t>
  </si>
  <si>
    <t xml:space="preserve">Monthly rental for the erection duration + assembly/disassembly</t>
  </si>
  <si>
    <t xml:space="preserve">Monthly (not sourced as a minimum)</t>
  </si>
  <si>
    <t xml:space="preserve">Owned: Caltrans HCECL OT factor 0.85/0.86</t>
  </si>
  <si>
    <t xml:space="preserve">Caltrans delay factor 0.17/0.16 (HCECL)</t>
  </si>
  <si>
    <t xml:space="preserve">Multiple lowbeds + counterweight + boom + assist crane (counts not sourced)</t>
  </si>
  <si>
    <t xml:space="preserve">CALT-2627;CALT-INT</t>
  </si>
  <si>
    <t xml:space="preserve">Frame/erection duration; ~10-12 lifts/hr theoretical; 70-75% effective hook time</t>
  </si>
  <si>
    <t xml:space="preserve">$15,000-60,000/month (BigRentz)</t>
  </si>
  <si>
    <t xml:space="preserve">Erection/dismantle not sourced</t>
  </si>
  <si>
    <t xml:space="preserve">BIGR-CR;VTT-CRANE</t>
  </si>
  <si>
    <t xml:space="preserve">Concrete pumps (operated)</t>
  </si>
  <si>
    <t xml:space="preserve">Pour CY / placement rate (60-100 boom, 40-60 line) + setup + washout</t>
  </si>
  <si>
    <t xml:space="preserve">3-4 hr minimum block; minimum charge $600-1,600 (CCE)</t>
  </si>
  <si>
    <t xml:space="preserve">Over 8 hr total or prevailing-wage jobs +$45/hr (Ohio); weekend/after-hours +25-50% (CCE); extra operator +$80/hr, 4 hr min</t>
  </si>
  <si>
    <t xml:space="preserve">Cancellation within 2 hr $225 (Ohio)</t>
  </si>
  <si>
    <t xml:space="preserve">Travel billed hourly ($110-130/hr Ohio); permit $210 (46 m)</t>
  </si>
  <si>
    <t xml:space="preserve">CPO;CCE</t>
  </si>
  <si>
    <t xml:space="preserve">Trade crew duration served (finishes, MEP rough-in, envelope); round to day/week/4-week, whichever totals cheaper</t>
  </si>
  <si>
    <t xml:space="preserve">1 day</t>
  </si>
  <si>
    <t xml:space="preserve">Single shift 0-8 h; double shift 1.5x; triple 2x (COSTARS)</t>
  </si>
  <si>
    <t xml:space="preserve">Rental accrues per calendar period; owned delay factor 0.21 (HYLFT)</t>
  </si>
  <si>
    <t xml:space="preserve">Delivery ~$75-350 each way &lt;=60 ft; $300-800+ large booms</t>
  </si>
  <si>
    <t xml:space="preserve">COSTARS;SCAFEX;DOZR-SC;DOZR-BM;CALT-2627</t>
  </si>
  <si>
    <t xml:space="preserve">Telehandlers / forklifts</t>
  </si>
  <si>
    <t xml:space="preserve">Trade crew duration served (framing, masonry, roofing, MEP)</t>
  </si>
  <si>
    <t xml:space="preserve">8/40/160 hr; OT pro-rata (rate / 8, 40, 160)</t>
  </si>
  <si>
    <t xml:space="preserve">Owned delay factor 0.22 (FKLFT)</t>
  </si>
  <si>
    <t xml:space="preserve">Delivery $200-500+ each way; can add 10-15% to short rentals (DOZR)</t>
  </si>
  <si>
    <t xml:space="preserve">DOZR-TH;URI-TERMS;CALT-2627</t>
  </si>
  <si>
    <t xml:space="preserve">Compressors</t>
  </si>
  <si>
    <t xml:space="preserve">Duration of the tool-using activity (breakers, drills, blasting)</t>
  </si>
  <si>
    <t xml:space="preserve">8/40/160; double 1.5x, triple 2x</t>
  </si>
  <si>
    <t xml:space="preserve">Owned delay factor 0.14/0.13 (AIRCP)</t>
  </si>
  <si>
    <t xml:space="preserve">Delivery $75-200 each way (rentd)</t>
  </si>
  <si>
    <t xml:space="preserve">RENTD;URI-TERMS;CALT-2627</t>
  </si>
  <si>
    <t xml:space="preserve">Generators / welders</t>
  </si>
  <si>
    <t xml:space="preserve">Powered activity duration; standby power runs 24/7 -&gt; price 3 shifts (2x) or hours over 176/month</t>
  </si>
  <si>
    <t xml:space="preserve">Wheeler single shift; double/triple shift extra; Burris 10/50/200 hr basis on generators</t>
  </si>
  <si>
    <t xml:space="preserve">Owned delay factor 0.13/0.12 (ELGEN)</t>
  </si>
  <si>
    <t xml:space="preserve">Towable delivery $125-400 (EquipNearby)</t>
  </si>
  <si>
    <t xml:space="preserve">W25;B25;EQNB;CALT-2627</t>
  </si>
  <si>
    <t xml:space="preserve">Light towers</t>
  </si>
  <si>
    <t xml:space="preserve">Night-shift duration</t>
  </si>
  <si>
    <t xml:space="preserve">Per shift</t>
  </si>
  <si>
    <t xml:space="preserve">Pickup-towed</t>
  </si>
  <si>
    <t xml:space="preserve">Dewatering pumps</t>
  </si>
  <si>
    <t xml:space="preserve">Open excavation below water table; often 24 hr/day -&gt; 3-shift or 24/7 pricing + fuel per running hour (inference)</t>
  </si>
  <si>
    <t xml:space="preserve">Monthly OT over 176 hr applies (EquipmentWatch rule)</t>
  </si>
  <si>
    <t xml:space="preserve">Hoses not included in FEMA rates</t>
  </si>
  <si>
    <t xml:space="preserve">Trench boxes / plates / shoring</t>
  </si>
  <si>
    <t xml:space="preserve">Open-trench duration = pipe LF / crew LF per day + set/move days</t>
  </si>
  <si>
    <t xml:space="preserve">1 day (Wheeler)</t>
  </si>
  <si>
    <t xml:space="preserve">Calendar-based</t>
  </si>
  <si>
    <t xml:space="preserve">Flatbed haul</t>
  </si>
  <si>
    <t xml:space="preserve">W25;WSDOT</t>
  </si>
  <si>
    <t xml:space="preserve">Heaters</t>
  </si>
  <si>
    <t xml:space="preserve">Cold-weather protection period</t>
  </si>
  <si>
    <t xml:space="preserve">Office trailers / containers / fence</t>
  </si>
  <si>
    <t xml:space="preserve">Project or phase duration</t>
  </si>
  <si>
    <t xml:space="preserve">1 month typical</t>
  </si>
  <si>
    <t xml:space="preserve">Monthly</t>
  </si>
  <si>
    <t xml:space="preserve">Office delivery $500-1,500; delivery+setup $1,000-5,000+; pickup ~= delivery; containers $100-500; fence $150-600+ plus setup/removal $200-1,000+</t>
  </si>
  <si>
    <t xml:space="preserve">PRICER-OT;BNB-CONT;PRICER-FN</t>
  </si>
  <si>
    <t xml:space="preserve">Operated dump trucks</t>
  </si>
  <si>
    <t xml:space="preserve">Haul cycle (Production sheet) -&gt; truck-hours; or tons/day / truck capacity</t>
  </si>
  <si>
    <t xml:space="preserve">Not sourced</t>
  </si>
  <si>
    <t xml:space="preserve">Hourly with driver</t>
  </si>
  <si>
    <t xml:space="preserve">All rented equipment (general)</t>
  </si>
  <si>
    <t xml:space="preserve">Activity quantity / production -&gt; hours -&gt; days at shift hours; round to rental increment</t>
  </si>
  <si>
    <t xml:space="preserve">Day = 8 hr, week = 40 hr, 4-week = 160 hr (176 at Wheeler/EquipmentWatch)</t>
  </si>
  <si>
    <t xml:space="preserve">OT = rate / 8, 40, 160 (or 176) per extra hour; double shift 1.5x, triple 2x</t>
  </si>
  <si>
    <t xml:space="preserve">Charges accrue Sat/Sun/holidays (URI)</t>
  </si>
  <si>
    <t xml:space="preserve">See Mob_Demob</t>
  </si>
  <si>
    <t xml:space="preserve">URI-TERMS;W25;C25;B25;EW-TIME</t>
  </si>
  <si>
    <t xml:space="preserve">All owned equipment (general)</t>
  </si>
  <si>
    <t xml:space="preserve">Operating hours from production</t>
  </si>
  <si>
    <t xml:space="preserve">Caltrans OT factor 0.80-0.92 x rate after 8 hr/day; USACE prorates FCCM above 40 hr/wk</t>
  </si>
  <si>
    <t xml:space="preserve">USACE: 0.5 x DEPR + FCCM, max 40 hr/wk; Caltrans delay factor 0.09-0.45 x rate, max 8 hr/day &amp; 40 hr/wk; FEMA: not eligible unless intermittent &gt;1/2 day</t>
  </si>
  <si>
    <t xml:space="preserve">USACE-EP;CALT-2627;FEMA-PG;FEMA-IS1000</t>
  </si>
  <si>
    <t xml:space="preserve">Caltrans delay (standby) and overtime factors - owned equipment (applied to the all-in hourly rate)</t>
  </si>
  <si>
    <t xml:space="preserve">Caltrans class</t>
  </si>
  <si>
    <t xml:space="preserve">Delay factor (book 26-27)</t>
  </si>
  <si>
    <t xml:space="preserve">OT factor (book 26-27)</t>
  </si>
  <si>
    <t xml:space="preserve">Delay factor (Sep 2026 interim)</t>
  </si>
  <si>
    <t xml:space="preserve">OT factor (Sep 2026 interim)</t>
  </si>
  <si>
    <t xml:space="preserve">HCECL hydraulic cranes &amp; excavators, crawler</t>
  </si>
  <si>
    <t xml:space="preserve">HCESP self-propelled</t>
  </si>
  <si>
    <t xml:space="preserve">HCETD truck-mounted w/ carrier</t>
  </si>
  <si>
    <t xml:space="preserve">HCETG truck-mounted less carrier</t>
  </si>
  <si>
    <t xml:space="preserve">GRADR graders</t>
  </si>
  <si>
    <t xml:space="preserve">LDRCL loaders, crawler</t>
  </si>
  <si>
    <t xml:space="preserve">LDRRT loaders, rubber tire incl. backhoe</t>
  </si>
  <si>
    <t xml:space="preserve">ELGEN generators &amp; light plants</t>
  </si>
  <si>
    <t xml:space="preserve">AIRCP air compressors</t>
  </si>
  <si>
    <t xml:space="preserve">HYLFT personnel lifts / AWPs</t>
  </si>
  <si>
    <t xml:space="preserve">HAMMR hammers</t>
  </si>
  <si>
    <t xml:space="preserve">FKLFT forklifts</t>
  </si>
  <si>
    <t xml:space="preserve">LEADS pile leads</t>
  </si>
  <si>
    <t xml:space="preserve">Sources: CALT-2627; CALT-INT. Two extracts differ by ~0.01 for some classes.</t>
  </si>
  <si>
    <t xml:space="preserve">1. Soil volume conversion (FM 5-434 Table 1-1; verified against 3 worked examples)</t>
  </si>
  <si>
    <t xml:space="preserve">Multiply initial volume by the factor. Default mapping: sand -&gt; Sand/gravel; sandy clay/common earth -&gt; Loam; clay -&gt; Clay; rock -&gt; Blasted rock. Sources: FM5434; USMC-PE</t>
  </si>
  <si>
    <t xml:space="preserve">Soil</t>
  </si>
  <si>
    <t xml:space="preserve">Bank-&gt;Loose</t>
  </si>
  <si>
    <t xml:space="preserve">Bank-&gt;Compacted</t>
  </si>
  <si>
    <t xml:space="preserve">Loose-&gt;Bank (load factor)</t>
  </si>
  <si>
    <t xml:space="preserve">Loose-&gt;Compacted</t>
  </si>
  <si>
    <t xml:space="preserve">Compacted-&gt;Bank</t>
  </si>
  <si>
    <t xml:space="preserve">Compacted-&gt;Loose</t>
  </si>
  <si>
    <t xml:space="preserve">Swell % (B-&gt;L - 1)</t>
  </si>
  <si>
    <t xml:space="preserve">Sand / gravel</t>
  </si>
  <si>
    <t xml:space="preserve">11%</t>
  </si>
  <si>
    <t xml:space="preserve">Loam (common earth)</t>
  </si>
  <si>
    <t xml:space="preserve">25%</t>
  </si>
  <si>
    <t xml:space="preserve">Clay</t>
  </si>
  <si>
    <t xml:space="preserve">43%</t>
  </si>
  <si>
    <t xml:space="preserve">Rock, blasted (also coral)</t>
  </si>
  <si>
    <t xml:space="preserve">50%</t>
  </si>
  <si>
    <t xml:space="preserve">1b. Secondary ranges (cross-check only; notes advise confirming with geotech)</t>
  </si>
  <si>
    <t xml:space="preserve">Material</t>
  </si>
  <si>
    <t xml:space="preserve">Bulking (loose/bank)</t>
  </si>
  <si>
    <t xml:space="preserve">Shrinkage (compacted/bank)</t>
  </si>
  <si>
    <t xml:space="preserve">Blasted rock</t>
  </si>
  <si>
    <t xml:space="preserve">1.40-1.50 (EduRev 1.50-1.80)</t>
  </si>
  <si>
    <t xml:space="preserve">0.95-1.05 (conflicts with FM B-&gt;C 1.30)</t>
  </si>
  <si>
    <t xml:space="preserve">CIVILS;EDUREV</t>
  </si>
  <si>
    <t xml:space="preserve">1.20-1.30 (EduRev 1.25-1.40)</t>
  </si>
  <si>
    <t xml:space="preserve">0.80-0.90</t>
  </si>
  <si>
    <t xml:space="preserve">Sandy clay / common earth</t>
  </si>
  <si>
    <t xml:space="preserve">1.15-1.25 (EduRev common 1.25)</t>
  </si>
  <si>
    <t xml:space="preserve">0.85-0.95</t>
  </si>
  <si>
    <t xml:space="preserve">Sand</t>
  </si>
  <si>
    <t xml:space="preserve">1.05-1.15</t>
  </si>
  <si>
    <t xml:space="preserve">0.90-1.00</t>
  </si>
  <si>
    <t xml:space="preserve">CIVILS</t>
  </si>
  <si>
    <t xml:space="preserve">Gravel</t>
  </si>
  <si>
    <t xml:space="preserve">1.10-1.20</t>
  </si>
  <si>
    <t xml:space="preserve">Loam/topsoil</t>
  </si>
  <si>
    <t xml:space="preserve">1.20-1.25</t>
  </si>
  <si>
    <t xml:space="preserve">Formulas</t>
  </si>
  <si>
    <t xml:space="preserve">Swell % = (bank density / loose density - 1) x 100; Load factor = 1/(1+swell)</t>
  </si>
  <si>
    <t xml:space="preserve">Shrinkage % = (1 - bank / compacted density) x 100</t>
  </si>
  <si>
    <t xml:space="preserve">KSU-2</t>
  </si>
  <si>
    <t xml:space="preserve">2. Bucket fill factors</t>
  </si>
  <si>
    <t xml:space="preserve">Fill factor</t>
  </si>
  <si>
    <t xml:space="preserve">Moist loam / sandy clay (hoe)</t>
  </si>
  <si>
    <t xml:space="preserve">1.00-1.10</t>
  </si>
  <si>
    <t xml:space="preserve">FM5434-8</t>
  </si>
  <si>
    <t xml:space="preserve">Sand and gravel (hoe)</t>
  </si>
  <si>
    <t xml:space="preserve">0.95-1.10</t>
  </si>
  <si>
    <t xml:space="preserve">Hard tough clay (hoe)</t>
  </si>
  <si>
    <t xml:space="preserve">Rock well blasted (hoe)</t>
  </si>
  <si>
    <t xml:space="preserve">0.60-0.75 (Cat: 0.80-0.95)</t>
  </si>
  <si>
    <t xml:space="preserve">FM5434-8;CAT-FILL</t>
  </si>
  <si>
    <t xml:space="preserve">Rock poorly blasted (hoe)</t>
  </si>
  <si>
    <t xml:space="preserve">0.40-0.50 (Cat: 0.60-0.75) - CONFLICT</t>
  </si>
  <si>
    <t xml:space="preserve">Mixed moist aggregates (loader)</t>
  </si>
  <si>
    <t xml:space="preserve">0.95-1.00</t>
  </si>
  <si>
    <t xml:space="preserve">CAT-FILL</t>
  </si>
  <si>
    <t xml:space="preserve">Uniform aggregate to 1/8 in</t>
  </si>
  <si>
    <t xml:space="preserve">1/8-3/8 in</t>
  </si>
  <si>
    <t xml:space="preserve">0.90-0.95</t>
  </si>
  <si>
    <t xml:space="preserve">1/2-3/4 in</t>
  </si>
  <si>
    <t xml:space="preserve">0.85-0.90</t>
  </si>
  <si>
    <t xml:space="preserve">1 in and over</t>
  </si>
  <si>
    <t xml:space="preserve">Blasted rock average (Cat)</t>
  </si>
  <si>
    <t xml:space="preserve">0.75-0.90</t>
  </si>
  <si>
    <t xml:space="preserve">Rock/dirt mixtures</t>
  </si>
  <si>
    <t xml:space="preserve">1.00-1.20</t>
  </si>
  <si>
    <t xml:space="preserve">Soil, boulders and roots</t>
  </si>
  <si>
    <t xml:space="preserve">0.80-1.00</t>
  </si>
  <si>
    <t xml:space="preserve">Cemented materials</t>
  </si>
  <si>
    <t xml:space="preserve">Catalog default (Production sheet)</t>
  </si>
  <si>
    <t xml:space="preserve">Excavators 0.80/1.00/1.10 low/typ/high (bank cut); loaders 0.85/0.95/1.00; backfill 0.85/0.95/1.00</t>
  </si>
  <si>
    <t xml:space="preserve">Derived from above</t>
  </si>
  <si>
    <t xml:space="preserve">3. Job efficiency and operator / condition factors</t>
  </si>
  <si>
    <t xml:space="preserve">Factor</t>
  </si>
  <si>
    <t xml:space="preserve">Value</t>
  </si>
  <si>
    <t xml:space="preserve">Note</t>
  </si>
  <si>
    <t xml:space="preserve">Job efficiency, well-managed (50-min hour)</t>
  </si>
  <si>
    <t xml:space="preserve">0.83</t>
  </si>
  <si>
    <t xml:space="preserve">Settings B7 default</t>
  </si>
  <si>
    <t xml:space="preserve">Job efficiency, alternative (45-min hour)</t>
  </si>
  <si>
    <t xml:space="preserve">0.75</t>
  </si>
  <si>
    <t xml:space="preserve">FM5434;EDUREV</t>
  </si>
  <si>
    <t xml:space="preserve">Overall efficiency E range</t>
  </si>
  <si>
    <t xml:space="preserve">Job condition factor J 0.80-1.00</t>
  </si>
  <si>
    <t xml:space="preserve">EDUREV</t>
  </si>
  <si>
    <t xml:space="preserve">Grader efficiency</t>
  </si>
  <si>
    <t xml:space="preserve">0.70-0.85</t>
  </si>
  <si>
    <t xml:space="preserve">Tracked operator: excellent day / night</t>
  </si>
  <si>
    <t xml:space="preserve">1.00 / 0.75</t>
  </si>
  <si>
    <t xml:space="preserve">Includes visibility; assumes 60-min hour, so E still applies</t>
  </si>
  <si>
    <t xml:space="preserve">Tracked operator: average day / night</t>
  </si>
  <si>
    <t xml:space="preserve">0.75 / 0.56</t>
  </si>
  <si>
    <t xml:space="preserve">Tracked operator: poor day / night</t>
  </si>
  <si>
    <t xml:space="preserve">0.60 / 0.45</t>
  </si>
  <si>
    <t xml:space="preserve">Wheeled operator: excellent / average / poor (day)</t>
  </si>
  <si>
    <t xml:space="preserve">1.00 / 0.60 / 0.50</t>
  </si>
  <si>
    <t xml:space="preserve">Night 0.67 / 0.40 / 0.33</t>
  </si>
  <si>
    <t xml:space="preserve">USMC-PE</t>
  </si>
  <si>
    <t xml:space="preserve">4. Dozer correction factors (Cat push curves NOT obtained; catalog uses blade/cycle method)</t>
  </si>
  <si>
    <t xml:space="preserve">Material: loose stockpile</t>
  </si>
  <si>
    <t xml:space="preserve">1.20</t>
  </si>
  <si>
    <t xml:space="preserve">Material: hard to cut/frozen, with tilt</t>
  </si>
  <si>
    <t xml:space="preserve">0.80</t>
  </si>
  <si>
    <t xml:space="preserve">Material: hard to cut, without tilt</t>
  </si>
  <si>
    <t xml:space="preserve">0.70</t>
  </si>
  <si>
    <t xml:space="preserve">Material: hard to drift (dead, dry non-cohesive, sticky)</t>
  </si>
  <si>
    <t xml:space="preserve">Material: rock ripped or blasted</t>
  </si>
  <si>
    <t xml:space="preserve">0.60-0.80</t>
  </si>
  <si>
    <t xml:space="preserve">Technique: slot dozing</t>
  </si>
  <si>
    <t xml:space="preserve">Technique: side-by-side</t>
  </si>
  <si>
    <t xml:space="preserve">1.15-1.25 (USMC uses 1.15)</t>
  </si>
  <si>
    <t xml:space="preserve">Grade: per 2% grade</t>
  </si>
  <si>
    <t xml:space="preserve">+/-0.04 (e.g. +2% uphill = 0.96; -10% = 1.15; -15% = 1.30)</t>
  </si>
  <si>
    <t xml:space="preserve">USMC-PE;FM5434</t>
  </si>
  <si>
    <t xml:space="preserve">Soil weight</t>
  </si>
  <si>
    <t xml:space="preserve">2,300 / actual lb per LCY</t>
  </si>
  <si>
    <t xml:space="preserve">Blade load (first principles)</t>
  </si>
  <si>
    <t xml:space="preserve">LCY = 0.0139 x H x W x L (ft) of leveled pile</t>
  </si>
  <si>
    <t xml:space="preserve">KSU-4</t>
  </si>
  <si>
    <t xml:space="preserve">Dozer cycle</t>
  </si>
  <si>
    <t xml:space="preserve">fixed 0.05 min + D/doze speed + D/reverse speed; example 4.0 km/h doze, 8 km/h reverse</t>
  </si>
  <si>
    <t xml:space="preserve">Ripping maintenance</t>
  </si>
  <si>
    <t xml:space="preserve">+30-40% machine maintenance</t>
  </si>
  <si>
    <t xml:space="preserve">Shanks</t>
  </si>
  <si>
    <t xml:space="preserve">3 packed soil/hardpan/shale; 2 fractured rock; 1 solid rock</t>
  </si>
  <si>
    <t xml:space="preserve">5. Rolling resistance and grade (haul roads)</t>
  </si>
  <si>
    <t xml:space="preserve">Surface</t>
  </si>
  <si>
    <t xml:space="preserve">Rolling resistance (lb per short ton)</t>
  </si>
  <si>
    <t xml:space="preserve">Hard, smooth, stabilized</t>
  </si>
  <si>
    <t xml:space="preserve">Firm, ~1 in penetration (gravel-topped)</t>
  </si>
  <si>
    <t xml:space="preserve">Rutted dirt, 2-3 in penetration</t>
  </si>
  <si>
    <t xml:space="preserve">Rutted, 4-6 in penetration</t>
  </si>
  <si>
    <t xml:space="preserve">Soft, muddy or sand, 7+ in</t>
  </si>
  <si>
    <t xml:space="preserve">Effective grade % = grade % + RR (lb/ton) / 20; travel time (min) = ft / (mph x 88); GR = tons x 20 x % grade. Sources: USMC-PE; KSU-T6</t>
  </si>
  <si>
    <t xml:space="preserve">6. Cycle time components</t>
  </si>
  <si>
    <t xml:space="preserve">Component</t>
  </si>
  <si>
    <t xml:space="preserve">Hydraulic excavator &lt;1 CY</t>
  </si>
  <si>
    <t xml:space="preserve">14 s at 40-60% max depth, 30-60 deg swing</t>
  </si>
  <si>
    <t xml:space="preserve">Hydraulic excavator 1-2.5 CY</t>
  </si>
  <si>
    <t xml:space="preserve">15 s (8-12 ft depth)</t>
  </si>
  <si>
    <t xml:space="preserve">Optimum hoe depth</t>
  </si>
  <si>
    <t xml:space="preserve">30-60% of max digging depth</t>
  </si>
  <si>
    <t xml:space="preserve">Trench factor</t>
  </si>
  <si>
    <t xml:space="preserve">0.95-1.0 (avg 0.98)</t>
  </si>
  <si>
    <t xml:space="preserve">KSU-T3</t>
  </si>
  <si>
    <t xml:space="preserve">Swing-depth S</t>
  </si>
  <si>
    <t xml:space="preserve">1.1 at 50% depth / 1.0 at 70% (90 deg swing); full table not retrieved</t>
  </si>
  <si>
    <t xml:space="preserve">Wheel loader basic cycle</t>
  </si>
  <si>
    <t xml:space="preserve">27-33 s (load, dump, 4 reversals, min travel)</t>
  </si>
  <si>
    <t xml:space="preserve">CAT-WL</t>
  </si>
  <si>
    <t xml:space="preserve">Truck dump &amp; maneuver</t>
  </si>
  <si>
    <t xml:space="preserve">1.5 min (worked example)</t>
  </si>
  <si>
    <t xml:space="preserve">OEP</t>
  </si>
  <si>
    <t xml:space="preserve">Truck fixed time</t>
  </si>
  <si>
    <t xml:space="preserve">2.0 min (KSU example)</t>
  </si>
  <si>
    <t xml:space="preserve">KSU-T5</t>
  </si>
  <si>
    <t xml:space="preserve">Scraper turn/dump</t>
  </si>
  <si>
    <t xml:space="preserve">0.81 min (0.3 dump, 0.3 cut turn, 0.21 fill turn)</t>
  </si>
  <si>
    <t xml:space="preserve">Scraper load time</t>
  </si>
  <si>
    <t xml:space="preserve">0.85 min D8 pusher; 1.0 D7; 0.9 self-loading 613</t>
  </si>
  <si>
    <t xml:space="preserve">Scraper fixed time</t>
  </si>
  <si>
    <t xml:space="preserve">push-loaded 1.43-1.93 min struck; self-loading 2.5-3.0</t>
  </si>
  <si>
    <t xml:space="preserve">Pusher cycle</t>
  </si>
  <si>
    <t xml:space="preserve">1.4 x load time + 0.25 min</t>
  </si>
  <si>
    <t xml:space="preserve">Scraper load</t>
  </si>
  <si>
    <t xml:space="preserve">52,800 lb / soil weight, capped 22 CY (621G)</t>
  </si>
  <si>
    <t xml:space="preserve">Haul speeds (truck, ADT, scraper)</t>
  </si>
  <si>
    <t xml:space="preserve">NOT IN NOTES - Settings B22-B27 left blank (Cat rimpull/speed curves not retrieved)</t>
  </si>
  <si>
    <t xml:space="preserve">Gap</t>
  </si>
  <si>
    <t xml:space="preserve">7. Compaction</t>
  </si>
  <si>
    <t xml:space="preserve">Item</t>
  </si>
  <si>
    <t xml:space="preserve">Compaction formula</t>
  </si>
  <si>
    <t xml:space="preserve">CCY/hr = 16.3 x W(ft) x S(mph) x L(in) x E / P</t>
  </si>
  <si>
    <t xml:space="preserve">KSU-T7</t>
  </si>
  <si>
    <t xml:space="preserve">Constant 16.3</t>
  </si>
  <si>
    <t xml:space="preserve">5,280 / 12 / 27 = 16.30</t>
  </si>
  <si>
    <t xml:space="preserve">KSU-T7 (derived)</t>
  </si>
  <si>
    <t xml:space="preserve">Passes</t>
  </si>
  <si>
    <t xml:space="preserve">Typically 4-6 (set from test strip)</t>
  </si>
  <si>
    <t xml:space="preserve">EDUREV;MST-GE441</t>
  </si>
  <si>
    <t xml:space="preserve">Vibratory speed rule</t>
  </si>
  <si>
    <t xml:space="preserve">~1 impact per inch of travel; 1,200-2,500 vpm -&gt; 1.14-2.37 mph</t>
  </si>
  <si>
    <t xml:space="preserve">STORMW (speed derived)</t>
  </si>
  <si>
    <t xml:space="preserve">Lift range overall</t>
  </si>
  <si>
    <t xml:space="preserve">6-18 in by equipment</t>
  </si>
  <si>
    <t xml:space="preserve">KFUPM</t>
  </si>
  <si>
    <t xml:space="preserve">Trench compactors (~3,000 lb)</t>
  </si>
  <si>
    <t xml:space="preserve">lifts &lt;= 4-5 in</t>
  </si>
  <si>
    <t xml:space="preserve">MST-GE441</t>
  </si>
  <si>
    <t xml:space="preserve">Hand tampers / rammers</t>
  </si>
  <si>
    <t xml:space="preserve">2-3 in lifts, 7-18 psi</t>
  </si>
  <si>
    <t xml:space="preserve">Plates</t>
  </si>
  <si>
    <t xml:space="preserve">5-13 psi; ATE TP-1830H 8,550 ft2/hr, 13 in max depth</t>
  </si>
  <si>
    <t xml:space="preserve">MST-GE441;ATE-PLATE</t>
  </si>
  <si>
    <t xml:space="preserve">Asphalt roller speed</t>
  </si>
  <si>
    <t xml:space="preserve">&lt;= 3 mph; 10-12 impacts/ft recommended</t>
  </si>
  <si>
    <t xml:space="preserve">AI-ROLL;PSU-SP</t>
  </si>
  <si>
    <t xml:space="preserve">Roller selection</t>
  </si>
  <si>
    <t xml:space="preserve">Rock fill: vibratory; CH/MH: padfoot then pneumatic; CL/ML: padfoot; GC/SC: vibratory or pneumatic; SM/GM/SW/SP/GW/GP: vibratory</t>
  </si>
  <si>
    <t xml:space="preserve">Roller widths (catalog)</t>
  </si>
  <si>
    <t xml:space="preserve">Cat CS5/CP5 50 in; CS7/CP7/CS44 66 in; CS10-CS19 84 in; CB1.7 35 in to CB4.4 55 in; CB7 59 in; CB8/10 67 in; CB13 79 in; CB15/16 84 in; CW16 68/84 in; CW34 82 in</t>
  </si>
  <si>
    <t xml:space="preserve">ZIEGLER</t>
  </si>
  <si>
    <t xml:space="preserve">Roller speeds by type (sheepsfoot/pneumatic)</t>
  </si>
  <si>
    <t xml:space="preserve">NOT RETRIEVED (FM 5-434 Ch.11 tables blocked)</t>
  </si>
  <si>
    <t xml:space="preserve">8. Water for compaction and dust</t>
  </si>
  <si>
    <t xml:space="preserve">Gal per CCY</t>
  </si>
  <si>
    <t xml:space="preserve">dry density (pcf) x 27 x moisture to add (fraction) / 8.33; 120 pcf, +7% -&gt; ~27 gal/CCY</t>
  </si>
  <si>
    <t xml:space="preserve">FM5434-11 (derived)</t>
  </si>
  <si>
    <t xml:space="preserve">Gal per SY</t>
  </si>
  <si>
    <t xml:space="preserve">dry density x % added x lift (ft) x 9 / 8.33</t>
  </si>
  <si>
    <t xml:space="preserve">FM5434-11</t>
  </si>
  <si>
    <t xml:space="preserve">Worked example</t>
  </si>
  <si>
    <t xml:space="preserve">6 in lift, 120 pcf, OMC 12%, borrow 5%, 40 ft width -&gt; 2,017 gal per station per lift</t>
  </si>
  <si>
    <t xml:space="preserve">Distributor</t>
  </si>
  <si>
    <t xml:space="preserve">1,000 gal truck, 12 ft spray bar (4-24 ft)</t>
  </si>
  <si>
    <t xml:space="preserve">OMC</t>
  </si>
  <si>
    <t xml:space="preserve">fine-grained 12-25%; granular 7-12%; work within +/-2% of OMC</t>
  </si>
  <si>
    <t xml:space="preserve">Project budget example</t>
  </si>
  <si>
    <t xml:space="preserve">38.75 gal/CY fill (OMC - antecedent)</t>
  </si>
  <si>
    <t xml:space="preserve">Dust control</t>
  </si>
  <si>
    <t xml:space="preserve">1,815 gal/acre/day active (1,210 staging); 3 applications/day; ~10% of graded area active</t>
  </si>
  <si>
    <t xml:space="preserve">9. Grader</t>
  </si>
  <si>
    <t xml:space="preserve">Area formula</t>
  </si>
  <si>
    <t xml:space="preserve">ft2/hr = S (mph) x (Le - Lo) x 5,280 x E</t>
  </si>
  <si>
    <t xml:space="preserve">Speeds</t>
  </si>
  <si>
    <t xml:space="preserve">finish 0-2.5 mph; heavy blading 0-6; ditch 0-3; ripping 0-3; road maint. 3-9.5</t>
  </si>
  <si>
    <t xml:space="preserve">Effective blade at 30 / 45 deg</t>
  </si>
  <si>
    <t xml:space="preserve">12 ft: 10.4 / 8.5; 14 ft: 12.1 / 9.9; 16 ft: 13.9 / 11.3; 24 ft: 20.8 / 17.0</t>
  </si>
  <si>
    <t xml:space="preserve">Overlap</t>
  </si>
  <si>
    <t xml:space="preserve">~2 ft</t>
  </si>
  <si>
    <t xml:space="preserve">Time method</t>
  </si>
  <si>
    <t xml:space="preserve">T = sum(passes x length / speed) / E</t>
  </si>
  <si>
    <t xml:space="preserve">10. Fuel</t>
  </si>
  <si>
    <t xml:space="preserve">Diesel fuel factor</t>
  </si>
  <si>
    <t xml:space="preserve">0.34 lb/bhp-hr / 7 lb/gal = 0.0486 gal/bhp-hr at full load</t>
  </si>
  <si>
    <t xml:space="preserve">USACE-EP</t>
  </si>
  <si>
    <t xml:space="preserve">Gasoline</t>
  </si>
  <si>
    <t xml:space="preserve">0.55 / 6 = 0.0917 gal/bhp-hr</t>
  </si>
  <si>
    <t xml:space="preserve">Load factor typical</t>
  </si>
  <si>
    <t xml:space="preserve">0.35-0.60; D6 implied 0.46</t>
  </si>
  <si>
    <t xml:space="preserve">USACE-EP;CATFUEL22 (derived)</t>
  </si>
  <si>
    <t xml:space="preserve">Severe conditions</t>
  </si>
  <si>
    <t xml:space="preserve">+30% fuel</t>
  </si>
  <si>
    <t xml:space="preserve">Cat idle definitions</t>
  </si>
  <si>
    <t xml:space="preserve">low 50% idle, medium 30%, high 10%</t>
  </si>
  <si>
    <t xml:space="preserve">CATFUEL22</t>
  </si>
  <si>
    <t xml:space="preserve">VisionLink vs Ed.46</t>
  </si>
  <si>
    <t xml:space="preserve">2022 medium runs ~20-30% below Ed. 46 medium ranges</t>
  </si>
  <si>
    <t xml:space="preserve">CATFUEL22;CATPHB46</t>
  </si>
  <si>
    <t xml:space="preserve">Mobilization / demobilization - one-time cost per move, per resource (counted once per resource per project; demob stored separately)</t>
  </si>
  <si>
    <t xml:space="preserve">One-way move = MAX(minimum charge, $/loaded mile x one-way miles) + permits x states (if Permit_likely = Y) + escorts x escort $/mi x miles + load/unload hr x $/hr. Default distance = Settings!B6. Equipment sheet columns Default_mob_one_way / Default_demob_one_way use the TYPICAL columns below. Owned vs rental: the same haul formula applies (rental delivery for large machines is a pass-through haul).</t>
  </si>
  <si>
    <t xml:space="preserve">Typical equipment</t>
  </si>
  <si>
    <t xml:space="preserve">$/mi low</t>
  </si>
  <si>
    <t xml:space="preserve">$/mi typical</t>
  </si>
  <si>
    <t xml:space="preserve">$/mi high</t>
  </si>
  <si>
    <t xml:space="preserve">Min low</t>
  </si>
  <si>
    <t xml:space="preserve">Min typical</t>
  </si>
  <si>
    <t xml:space="preserve">Min high</t>
  </si>
  <si>
    <t xml:space="preserve">Permit $/state (typ)</t>
  </si>
  <si>
    <t xml:space="preserve">Permit range</t>
  </si>
  <si>
    <t xml:space="preserve">Escort $/mi (typ)</t>
  </si>
  <si>
    <t xml:space="preserve">Escorts (default count)</t>
  </si>
  <si>
    <t xml:space="preserve">Load/unload hr (typ)</t>
  </si>
  <si>
    <t xml:space="preserve">Load/unload $/hr</t>
  </si>
  <si>
    <t xml:space="preserve">Basis / sources</t>
  </si>
  <si>
    <t xml:space="preserve">Drives or tows itself on road (trucks, truck-mounted cranes/pumps, bucket trucks)</t>
  </si>
  <si>
    <t xml:space="preserve">Mob = travel hours x (unit rate + operator/driver from labor); no trailer. Not computed here.</t>
  </si>
  <si>
    <t xml:space="preserve">Towed by contractor pickup or supplier (compressors, generators, light towers, pumps, small trailers)</t>
  </si>
  <si>
    <t xml:space="preserve">$/mi = hotshot standard $1-2 (OTR-HOT) as proxy; minimum = towable delivery norms: compressors $75-200, generators $125-400 (RENTD; EQNB); typ $200 chosen within both bands</t>
  </si>
  <si>
    <t xml:space="preserve">Tag / hotshot / tilt trailer (skid steer, CTL, mini ex &lt;~10 t, small rollers)</t>
  </si>
  <si>
    <t xml:space="preserve">Hotshot standard $1-2/mi; local &lt;100 mi flat $200-800 (OTR-HOT, Feb-Oct 2026); typ = midpoints</t>
  </si>
  <si>
    <t xml:space="preserve">Flatbed / step deck (telehandlers, backhoes, forklifts, trench boxes, attachments)</t>
  </si>
  <si>
    <t xml:space="preserve">Flatbed $2.00-3.50/mi (OTR-RGN); DAT Sep 2026 flatbed spot $3.61/mi incl. fuel ($2.60 ex-fuel); minimum dispatch $300-500 (OTR-LOW)</t>
  </si>
  <si>
    <t xml:space="preserve">Lowboy/RGN within 80,000 lb gross and 8'6" (approx. &lt;=20-30 t machines)</t>
  </si>
  <si>
    <t xml:space="preserve">RGN legal $3.50-6.00/mi (OTR-RGN); lowboy table $3.50-5.00 (OTR-LOW, inconsistent); local legal flat $300-800</t>
  </si>
  <si>
    <t xml:space="preserve">Lowboy/RGN oversize and/or overweight (80-120K GVW or &gt;8'6")</t>
  </si>
  <si>
    <t xml:space="preserve">$15-500 per state; TX 80,001-120,000 lb $210</t>
  </si>
  <si>
    <t xml:space="preserve">Oversize $5-8, overweight $6-12, OS+OW $8-15 (OTR-RGN); local oversize flat $800-2,500+ (OTR-LOW); permit budgeting ~$150/state; escort $1.50-3.00/mi each (one front escort &gt;12 ft wide)</t>
  </si>
  <si>
    <t xml:space="preserve">Multi-axle / superload (D9+, 50 t+ excavators, large planers)</t>
  </si>
  <si>
    <t xml:space="preserve">$15-500 standard; superload $500-5,000+ (2-4 wk); TX &gt;200,000 lb $435 + $35</t>
  </si>
  <si>
    <t xml:space="preserve">OS+OW $8-15+ (superload $10-20+); escort $1.50-3.00/mi (default 1 escort = inference); route survey $500-5,000+; bridge analysis $200-1,000 per bridge</t>
  </si>
  <si>
    <t xml:space="preserve">Crane needing multiple truckloads + assist crane + assembly</t>
  </si>
  <si>
    <t xml:space="preserve">quote</t>
  </si>
  <si>
    <t xml:space="preserve">Quote only: N truckloads (boom, counterweight) + assembly/disassembly hours (not sourced) + permits</t>
  </si>
  <si>
    <t xml:space="preserve">Rental house delivery (aerial lifts &lt;=60 ft, site trailers, containers, fence)</t>
  </si>
  <si>
    <t xml:space="preserve">Scissor/45-60 ft boom local delivery $75-350 each way (SCAFEX; DOZR-SC $100-350); typ $200 = notes inference ($150-250)</t>
  </si>
  <si>
    <t xml:space="preserve">Load/unload hours and truck+driver $/hr: NOT SOURCED (blank = 0 in formulas). Haul rates were published when diesel averaged ~$6.29 (Sep 2026); rates run 10-20% higher Mar-Sep (OTR-RGN). Sources: OTR-RGN; OTR-LOW; OTR-HOT; DAT-0926; SCAFEX; DOZR-SC; RENTD; EQNB; TXDMV</t>
  </si>
  <si>
    <t xml:space="preserve">Calculator (edit blue cells)</t>
  </si>
  <si>
    <t xml:space="preserve">Transport class</t>
  </si>
  <si>
    <t xml:space="preserve">One-way miles</t>
  </si>
  <si>
    <t xml:space="preserve">States crossed (permits)</t>
  </si>
  <si>
    <t xml:space="preserve">Permit required? (Y/N)</t>
  </si>
  <si>
    <t xml:space="preserve">Escorts (count)</t>
  </si>
  <si>
    <t xml:space="preserve">Load/unload hours</t>
  </si>
  <si>
    <t xml:space="preserve">Line-haul (max of minimum, $/mi x miles)</t>
  </si>
  <si>
    <t xml:space="preserve">Permits</t>
  </si>
  <si>
    <t xml:space="preserve">Escorts</t>
  </si>
  <si>
    <t xml:space="preserve">Load/unload</t>
  </si>
  <si>
    <t xml:space="preserve">One-way MOB</t>
  </si>
  <si>
    <t xml:space="preserve">One-way DEMOB (x Settings demob factor)</t>
  </si>
  <si>
    <t xml:space="preserve">Mob + demob per resource (once per project)</t>
  </si>
  <si>
    <t xml:space="preserve">Legal limits and permit triggers</t>
  </si>
  <si>
    <t xml:space="preserve">Gross vehicle weight (federal)</t>
  </si>
  <si>
    <t xml:space="preserve">80,000 lb</t>
  </si>
  <si>
    <t xml:space="preserve">CFR658</t>
  </si>
  <si>
    <t xml:space="preserve">Single axle / tandem</t>
  </si>
  <si>
    <t xml:space="preserve">20,000 lb / 34,000 lb; bridge formula W = 500(LN/(N-1) + 12N + 36)</t>
  </si>
  <si>
    <t xml:space="preserve">Width</t>
  </si>
  <si>
    <t xml:space="preserve">8'6" (102 in); wider = oversize permit; tracks wider than 8.5 ft need permits</t>
  </si>
  <si>
    <t xml:space="preserve">PROJUL</t>
  </si>
  <si>
    <t xml:space="preserve">Height</t>
  </si>
  <si>
    <t xml:space="preserve">13'6"-14' by state (162 in)</t>
  </si>
  <si>
    <t xml:space="preserve">Overweight band</t>
  </si>
  <si>
    <t xml:space="preserve">80,000-120,000 lb GVW</t>
  </si>
  <si>
    <t xml:space="preserve">OTR-LOW;OTR-RGN</t>
  </si>
  <si>
    <t xml:space="preserve">Superload</t>
  </si>
  <si>
    <t xml:space="preserve">&gt;200,000 lb, &gt;16 ft wide/tall, &gt;120 ft long (Projul); 120K+ (RGN guide) vs 150K+ (lowboy guide) - inconsistent</t>
  </si>
  <si>
    <t xml:space="preserve">PROJUL;OTR-RGN;OTR-LOW</t>
  </si>
  <si>
    <t xml:space="preserve">Texas permit schedule</t>
  </si>
  <si>
    <t xml:space="preserve">80,001-120,000 lb $210; 120,001-160,000 $285; 160,001-200,000 $360; &gt;200,000 $435 + $35; &gt;254,300 lb Super Heavy; route inspection &gt;20 ft wide, 18'11" high or 125 ft long</t>
  </si>
  <si>
    <t xml:space="preserve">TXDMV</t>
  </si>
  <si>
    <t xml:space="preserve">one front escort &gt;12 ft wide; front and rear &gt;14-16 ft (state-specific); pilot car $500-1,500/day; police $50-200/hr</t>
  </si>
  <si>
    <t xml:space="preserve">PROJUL;OTR-LOW;OTR-RGN</t>
  </si>
  <si>
    <t xml:space="preserve">Example</t>
  </si>
  <si>
    <t xml:space="preserve">Cat 336D L transport width 133.5 in (11.1 ft) -&gt; oversize on width alone; 30 t+ excavators default to permitted</t>
  </si>
  <si>
    <t xml:space="preserve">RITCHIE-336</t>
  </si>
  <si>
    <t xml:space="preserve">Catalog transport-class rule (inference)</t>
  </si>
  <si>
    <t xml:space="preserve">Weight &lt;=22,000 lb -&gt; tilt-trailer; &lt;66,000 -&gt; lowboy-legal; &lt;100,000 -&gt; lowboy-permitted; &gt;=100,000 -&gt; multi-axle-heavy; width &gt;8.5 ft -&gt; permit Y. Tractor+lowboy tare NOT sourced, so 44,000-66,000 lb rows are 'maybe'.</t>
  </si>
  <si>
    <t xml:space="preserve">Inference from CFR658/PROJUL</t>
  </si>
  <si>
    <t xml:space="preserve">Rental supplier delivery fee norms (each way unless stated)</t>
  </si>
  <si>
    <t xml:space="preserve">Delivery norm</t>
  </si>
  <si>
    <t xml:space="preserve">Date</t>
  </si>
  <si>
    <t xml:space="preserve">Excavators &lt;4 t</t>
  </si>
  <si>
    <t xml:space="preserve">$200-400 round trip</t>
  </si>
  <si>
    <t xml:space="preserve">DOZR-EX</t>
  </si>
  <si>
    <t xml:space="preserve">Mar 2026</t>
  </si>
  <si>
    <t xml:space="preserve">Excavators 5-25 t</t>
  </si>
  <si>
    <t xml:space="preserve">$300-500 round trip</t>
  </si>
  <si>
    <t xml:space="preserve">Excavators 30 t+</t>
  </si>
  <si>
    <t xml:space="preserve">$500-1,000+ round trip</t>
  </si>
  <si>
    <t xml:space="preserve">Mini ex (consumer)</t>
  </si>
  <si>
    <t xml:space="preserve">$50-150 (one-way/both not stated)</t>
  </si>
  <si>
    <t xml:space="preserve">FJD</t>
  </si>
  <si>
    <t xml:space="preserve">Apr 2025</t>
  </si>
  <si>
    <t xml:space="preserve">Consumer excavator (home-center)</t>
  </si>
  <si>
    <t xml:space="preserve">$60-100 within 10 mi + $3-4/mi</t>
  </si>
  <si>
    <t xml:space="preserve">ANGI</t>
  </si>
  <si>
    <t xml:space="preserve">Oct 2026</t>
  </si>
  <si>
    <t xml:space="preserve">Telehandlers</t>
  </si>
  <si>
    <t xml:space="preserve">$200-500+ each way (adds 10-15% to short rentals)</t>
  </si>
  <si>
    <t xml:space="preserve">Scissors</t>
  </si>
  <si>
    <t xml:space="preserve">$100-350 each way</t>
  </si>
  <si>
    <t xml:space="preserve">DOZR-SC</t>
  </si>
  <si>
    <t xml:space="preserve">Scissor / 45 ft boom local</t>
  </si>
  <si>
    <t xml:space="preserve">$75-250 each way</t>
  </si>
  <si>
    <t xml:space="preserve">Booms</t>
  </si>
  <si>
    <t xml:space="preserve">$150-500+; 80 ft+ may need lowboy; long hauls &gt;$1,000</t>
  </si>
  <si>
    <t xml:space="preserve">DOZR-BM</t>
  </si>
  <si>
    <t xml:space="preserve">Large telescopic on lowboy</t>
  </si>
  <si>
    <t xml:space="preserve">$300-800 each way</t>
  </si>
  <si>
    <t xml:space="preserve">Towable generators</t>
  </si>
  <si>
    <t xml:space="preserve">$125-400</t>
  </si>
  <si>
    <t xml:space="preserve">EQNB</t>
  </si>
  <si>
    <t xml:space="preserve">$75-200 each way</t>
  </si>
  <si>
    <t xml:space="preserve">Wheeler haulage (dealer, UT)</t>
  </si>
  <si>
    <t xml:space="preserve">&lt;25 mi $224; 25-60 mi $364; &gt;60 mi = 25-60 rate + $8.00-18.00/mi by class; pavers/pneumatic rollers $434 / $664 / $8.90/mi; cold planers $664-965 (&lt;25 mi), $965-1,233 (25-60)</t>
  </si>
  <si>
    <t xml:space="preserve">Wheeler on-site standby</t>
  </si>
  <si>
    <t xml:space="preserve">$200/hr after first 30 min</t>
  </si>
  <si>
    <t xml:space="preserve">Delivery $500-1,500; delivery+setup $1,000-5,000+; pickup ~= delivery; ADA ramp $300-800+</t>
  </si>
  <si>
    <t xml:space="preserve">$100-500</t>
  </si>
  <si>
    <t xml:space="preserve">Delivery/pickup $150-600+; setup/removal $200-1,000+</t>
  </si>
  <si>
    <t xml:space="preserve">Jun 2026</t>
  </si>
  <si>
    <t xml:space="preserve">Project mobilization sanity check only: Caltrans notes contractors bid mobilization ~10% of contract (2006 memo) [CALT-MOB]; ODOT caps partial payments [ODOT624]. Not an equipment default.</t>
  </si>
  <si>
    <t xml:space="preserve">Term</t>
  </si>
  <si>
    <t xml:space="preserve">Value / rule</t>
  </si>
  <si>
    <t xml:space="preserve">Catalog default</t>
  </si>
  <si>
    <t xml:space="preserve">Hours per period (industry)</t>
  </si>
  <si>
    <t xml:space="preserve">1 shift = 8 hr/day, 40 hr/week, 160 hr/4-week</t>
  </si>
  <si>
    <t xml:space="preserve">URI-TERMS;B25;C25</t>
  </si>
  <si>
    <t xml:space="preserve">Use 8/40/160</t>
  </si>
  <si>
    <t xml:space="preserve">Hours per period (Cat Rental Store)</t>
  </si>
  <si>
    <t xml:space="preserve">8 / 40 / 176 hr (4-week buys ~10% more hours)</t>
  </si>
  <si>
    <t xml:space="preserve">W25;EW-TIME</t>
  </si>
  <si>
    <t xml:space="preserve">Note on Wheeler-sourced rows</t>
  </si>
  <si>
    <t xml:space="preserve">Hours per period (some items)</t>
  </si>
  <si>
    <t xml:space="preserve">10 / 50 / 200 hr (Burris generators etc.)</t>
  </si>
  <si>
    <t xml:space="preserve">Month definition</t>
  </si>
  <si>
    <t xml:space="preserve">Columbus: 28-day month, max 160 hr; days after first month at 1/28 of monthly</t>
  </si>
  <si>
    <t xml:space="preserve">4-week = 28 days</t>
  </si>
  <si>
    <t xml:space="preserve">Overtime - pro rata</t>
  </si>
  <si>
    <t xml:space="preserve">Daily / 8, weekly / 40, 4-week / 160 (176) per hour over</t>
  </si>
  <si>
    <t xml:space="preserve">W25;B25;C25;EW-TIME</t>
  </si>
  <si>
    <t xml:space="preserve">Pro-rata hourly</t>
  </si>
  <si>
    <t xml:space="preserve">Overtime - shift multipliers</t>
  </si>
  <si>
    <t xml:space="preserve">Double shift 1.5x; triple shift 2x (URI, COSTARS); Burris three-shift = 2x on a 480 hr 4-week; FL Air Tool 2 shifts 1.5x, 3 shifts 2x (2019)</t>
  </si>
  <si>
    <t xml:space="preserve">URI-TERMS;COSTARS;B25;FAT19</t>
  </si>
  <si>
    <t xml:space="preserve">2023-2025</t>
  </si>
  <si>
    <t xml:space="preserve">1.5x / 2x</t>
  </si>
  <si>
    <t xml:space="preserve">Weekend / holiday</t>
  </si>
  <si>
    <t xml:space="preserve">Charges accrue on Saturdays, Sundays and holidays</t>
  </si>
  <si>
    <t xml:space="preserve">URI-TERMS</t>
  </si>
  <si>
    <t xml:space="preserve">Short rental</t>
  </si>
  <si>
    <t xml:space="preserve">&lt;24 hr late return charged a full day</t>
  </si>
  <si>
    <t xml:space="preserve">Week / day ratio observed</t>
  </si>
  <si>
    <t xml:space="preserve">Wheeler 2.90; Burris 3.00; Columbus 2.47; RTL 3.26-4.24; Nu-Way 3.49; Ahearn 3.00; DOZR 2.81; aerial 2.2-2.8</t>
  </si>
  <si>
    <t xml:space="preserve">W25;B25;C25;R25;N25;A26;DOZR-EX;COSTARS</t>
  </si>
  <si>
    <t xml:space="preserve">3.0 (Settings B16)</t>
  </si>
  <si>
    <t xml:space="preserve">4-week / week ratio observed</t>
  </si>
  <si>
    <t xml:space="preserve">Wheeler 2.90; Burris 3.00; Columbus 2.49; RTL 2.58-2.91; Nu-Way 2.73; Ahearn 2.17; DOZR 2.53; aerial 2.0-2.5</t>
  </si>
  <si>
    <t xml:space="preserve">2.9 (Settings B17)</t>
  </si>
  <si>
    <t xml:space="preserve">4-week / day ratio observed</t>
  </si>
  <si>
    <t xml:space="preserve">6.1 (Columbus) to 10.9 (RTL E35); dealer cluster 8.4-9.0; aerial 5-7</t>
  </si>
  <si>
    <t xml:space="preserve">same</t>
  </si>
  <si>
    <t xml:space="preserve">~8.7</t>
  </si>
  <si>
    <t xml:space="preserve">Columbus ladder</t>
  </si>
  <si>
    <t xml:space="preserve">Weekly = 40% of monthly; daily = 40% of weekly</t>
  </si>
  <si>
    <t xml:space="preserve">Damage waiver / RPP</t>
  </si>
  <si>
    <t xml:space="preserve">Wheeler 16% (deductible $1,000 &lt;$24,999 equipment, $2,500 above; waivable with insurance); DOZR LDW 10-15%; Sunbelt/Herc/H&amp;E % not found</t>
  </si>
  <si>
    <t xml:space="preserve">W25;DOZR-EX</t>
  </si>
  <si>
    <t xml:space="preserve">12-16%</t>
  </si>
  <si>
    <t xml:space="preserve">Environmental fee</t>
  </si>
  <si>
    <t xml:space="preserve">URI 2.00% of service charge, capped at $99</t>
  </si>
  <si>
    <t xml:space="preserve">2% (cap $99)</t>
  </si>
  <si>
    <t xml:space="preserve">Refuel charge</t>
  </si>
  <si>
    <t xml:space="preserve">Columbus $8.00/gal if not returned full; URI refuel at store price; Wheeler fuel + service charge</t>
  </si>
  <si>
    <t xml:space="preserve">C25;URI-TERMS;W25</t>
  </si>
  <si>
    <t xml:space="preserve">Return full or $8/gal</t>
  </si>
  <si>
    <t xml:space="preserve">Fuel included?</t>
  </si>
  <si>
    <t xml:space="preserve">No - all bare rates exclude fuel (DOZR: fuel not included)</t>
  </si>
  <si>
    <t xml:space="preserve">DOZR-EX;B25</t>
  </si>
  <si>
    <t xml:space="preserve">Fuel from gal/hr x fuel price</t>
  </si>
  <si>
    <t xml:space="preserve">Delivery</t>
  </si>
  <si>
    <t xml:space="preserve">Excluded from rates; see Mob_Demob delivery norms</t>
  </si>
  <si>
    <t xml:space="preserve">B25;W25</t>
  </si>
  <si>
    <t xml:space="preserve">Tax / insurance</t>
  </si>
  <si>
    <t xml:space="preserve">Excluded; Columbus requires &gt;= $1M GL with Columbus loss payee; CA personal-property-tax reimbursement up to 0.75% (URI)</t>
  </si>
  <si>
    <t xml:space="preserve">C25;URI-TERMS</t>
  </si>
  <si>
    <t xml:space="preserve">Damage responsibility</t>
  </si>
  <si>
    <t xml:space="preserve">Customer responsible for track damage and flat tires (Burris)</t>
  </si>
  <si>
    <t xml:space="preserve">Machine-control models</t>
  </si>
  <si>
    <t xml:space="preserve">'i' intelligent machine-control models ~25-75% more (Columbus PC210LCi $1,400/4,150/12,400)</t>
  </si>
  <si>
    <t xml:space="preserve">Attachments</t>
  </si>
  <si>
    <t xml:space="preserve">Generally rented only with vendor's carrier; buckets not included in Burris base rates; standard bucket included (DOZR)</t>
  </si>
  <si>
    <t xml:space="preserve">C25;B25;DOZR-EX</t>
  </si>
  <si>
    <t xml:space="preserve">Set-up / dismantle</t>
  </si>
  <si>
    <t xml:space="preserve">PC490 and larger may bill set-up/dismantle separately (Columbus)</t>
  </si>
  <si>
    <t xml:space="preserve">Paver cleaning</t>
  </si>
  <si>
    <t xml:space="preserve">$600 if AP paver not returned clean (Wheeler)</t>
  </si>
  <si>
    <t xml:space="preserve">Crane terms</t>
  </si>
  <si>
    <t xml:space="preserve">Portal-to-portal; 7% fuel surcharge (NTX), 8-10% elsewhere; spreader bar $150/day, man basket $150/day</t>
  </si>
  <si>
    <t xml:space="preserve">Concrete pump terms</t>
  </si>
  <si>
    <t xml:space="preserve">Fuel surcharge 8-12%; washout $250-450; included hose 150-200 ft, extra $1.50-3.00/ft (Ohio $1/ft beyond 50 ft)</t>
  </si>
  <si>
    <t xml:space="preserve">CCE;CPO</t>
  </si>
  <si>
    <t xml:space="preserve">2026</t>
  </si>
  <si>
    <t xml:space="preserve">Regional rental variation</t>
  </si>
  <si>
    <t xml:space="preserve">Market-driven; 2001 URI CEO: one region +7% while another -2.5% same day. No current ARA/Rouse public data</t>
  </si>
  <si>
    <t xml:space="preserve">RER-2001</t>
  </si>
  <si>
    <t xml:space="preserve">2001</t>
  </si>
  <si>
    <t xml:space="preserve">Use Location factor + local quote</t>
  </si>
  <si>
    <t xml:space="preserve">Location adjustment - three separate parts</t>
  </si>
  <si>
    <t xml:space="preserve">1) Bare equipment rate (rental or owned ex-fuel) x EQUIPMENT location factor (Settings!B8, default 1.00; suggested clamp 0.85-1.15 lower 48 = inference; higher for AK/HI).</t>
  </si>
  <si>
    <t xml:space="preserve">2) Fuel = gal/hr x LOCAL fuel price (Settings!B4; use PADD table below or user price; off-road dyed diesel is lower than on-highway because road taxes are excluded).</t>
  </si>
  <si>
    <t xml:space="preserve">3) Operator = hours x project wage set (prevailing or open shop). Never from this workbook.</t>
  </si>
  <si>
    <t xml:space="preserve">Mob/demob uses the haul formula with diesel-indexed per-mile rates - NOT the location factor.</t>
  </si>
  <si>
    <t xml:space="preserve">WARNING: Do NOT apply the labor or total City Cost Index to equipment. In RSMeans 2025 Illinois the equipment index moves opposite to labor (lowest in Chicago metro where labor is highest).</t>
  </si>
  <si>
    <t xml:space="preserve">Formula: hourly_cost = bare_rate x equip_location_factor + fuel_gal_hr x local_fuel_price + operator_hours x local_wage [Blue Book applies regional factor to ownership only; operating at 1.00 - EW-FHWA]</t>
  </si>
  <si>
    <t xml:space="preserve">Evidence A - RSMeans 2025 City Cost Index, Illinois (student-uploaded copy; verify) [RSM-IL25]</t>
  </si>
  <si>
    <t xml:space="preserve">City</t>
  </si>
  <si>
    <t xml:space="preserve">015433 Contractor Equipment</t>
  </si>
  <si>
    <t xml:space="preserve">Weighted avg MAT</t>
  </si>
  <si>
    <t xml:space="preserve">Weighted avg INST (labor)</t>
  </si>
  <si>
    <t xml:space="preserve">Weighted avg TOTAL</t>
  </si>
  <si>
    <t xml:space="preserve">Chicago</t>
  </si>
  <si>
    <t xml:space="preserve">Joliet</t>
  </si>
  <si>
    <t xml:space="preserve">North Suburban</t>
  </si>
  <si>
    <t xml:space="preserve">Carbondale</t>
  </si>
  <si>
    <t xml:space="preserve">Centralia</t>
  </si>
  <si>
    <t xml:space="preserve">Rock Island</t>
  </si>
  <si>
    <t xml:space="preserve">Peoria</t>
  </si>
  <si>
    <t xml:space="preserve">Springfield</t>
  </si>
  <si>
    <t xml:space="preserve">Equipment range (max-min)</t>
  </si>
  <si>
    <t xml:space="preserve">Equipment range / labor range</t>
  </si>
  <si>
    <t xml:space="preserve">Evidence B - EquipmentWatch Blue Book regional adjustments (crawler excavators; undated page) [EW-REG; EW-FHWA]</t>
  </si>
  <si>
    <t xml:space="preserve">Range</t>
  </si>
  <si>
    <t xml:space="preserve">82.2% (New Mexico) to 142.7% (Alaska North)</t>
  </si>
  <si>
    <t xml:space="preserve">Above 108%</t>
  </si>
  <si>
    <t xml:space="preserve">Alaska (3 regions), Minnesota, Wisconsin</t>
  </si>
  <si>
    <t xml:space="preserve">88.9% or lower</t>
  </si>
  <si>
    <t xml:space="preserve">Texas, Arizona, Utah, New Mexico</t>
  </si>
  <si>
    <t xml:space="preserve">Skid steer example (monthly ownership)</t>
  </si>
  <si>
    <t xml:space="preserve">$2,385.37 -&gt; $3,403.92 (AK x1.427) / $1,960.77 (NM x0.822)</t>
  </si>
  <si>
    <t xml:space="preserve">Contiguous-US band</t>
  </si>
  <si>
    <t xml:space="preserve">~82-108%+ (exact max not given)</t>
  </si>
  <si>
    <t xml:space="preserve">Drivers</t>
  </si>
  <si>
    <t xml:space="preserve">Climate (shorter seasons = fewer hours to recover fixed cost) first; per-capita income (mechanic wages, sales tax, freight) second</t>
  </si>
  <si>
    <t xml:space="preserve">Applies to</t>
  </si>
  <si>
    <t xml:space="preserve">Ownership only; hourly operating cost added at 1.00</t>
  </si>
  <si>
    <t xml:space="preserve">Evidence C - EIA on-highway diesel and regular gasoline, $/gal incl. taxes, week of Oct 19, 2026 (released Oct 20, 2026) [EIA-GDU]</t>
  </si>
  <si>
    <t xml:space="preserve">Region</t>
  </si>
  <si>
    <t xml:space="preserve">Diesel $/gal</t>
  </si>
  <si>
    <t xml:space="preserve">Gasoline $/gal</t>
  </si>
  <si>
    <t xml:space="preserve">Diesel ratio to US avg</t>
  </si>
  <si>
    <t xml:space="preserve">US average</t>
  </si>
  <si>
    <t xml:space="preserve">East Coast (PADD 1)</t>
  </si>
  <si>
    <t xml:space="preserve">New England (1A)</t>
  </si>
  <si>
    <t xml:space="preserve">Central Atlantic (1B)</t>
  </si>
  <si>
    <t xml:space="preserve">Lower Atlantic (1C)</t>
  </si>
  <si>
    <t xml:space="preserve">Midwest (PADD 2)</t>
  </si>
  <si>
    <t xml:space="preserve">Gulf Coast (PADD 3)</t>
  </si>
  <si>
    <t xml:space="preserve">Rocky Mountain (PADD 4)</t>
  </si>
  <si>
    <t xml:space="preserve">West Coast (PADD 5)</t>
  </si>
  <si>
    <t xml:space="preserve">West Coast less California</t>
  </si>
  <si>
    <t xml:space="preserve">California</t>
  </si>
  <si>
    <t xml:space="preserve">Spread max-min ($/gal): </t>
  </si>
  <si>
    <t xml:space="preserve">DAT September 2026 national average diesel $6.291/gal [DAT-0926]. No EIA off-road/dyed diesel regional series retrieved.</t>
  </si>
  <si>
    <t xml:space="preserve">USACE EP 1110-1-8 regionalizes only fuel, the labor adjustment factor (FOG, repair, tire repair) and freight; depreciation and FCCM are not regionalized. Regional tables not retrieved. [USACE-EP]</t>
  </si>
  <si>
    <t xml:space="preserve">Source_ID</t>
  </si>
  <si>
    <t xml:space="preserve">Title</t>
  </si>
  <si>
    <t xml:space="preserve">Publisher</t>
  </si>
  <si>
    <t xml:space="preserve">Edition / date</t>
  </si>
  <si>
    <t xml:space="preserve">URL</t>
  </si>
  <si>
    <t xml:space="preserve">Supports</t>
  </si>
  <si>
    <t xml:space="preserve">FEMA25</t>
  </si>
  <si>
    <t xml:space="preserve">FEMA Schedule of Equipment Rates 2025</t>
  </si>
  <si>
    <t xml:space="preserve">2025 ed.; declarations on/after Jul 1 2025</t>
  </si>
  <si>
    <t xml:space="preserve">https://www.fema.gov/sites/default/files/documents/fema_pa_schedule-equipment-rates_2025.pdf</t>
  </si>
  <si>
    <t xml:space="preserve">Owned hourly rates (fuel incl., operator excl.); FEMA code list</t>
  </si>
  <si>
    <t xml:space="preserve">FEMA-PG</t>
  </si>
  <si>
    <t xml:space="preserve">FEMA 2025 Schedule page (rules)</t>
  </si>
  <si>
    <t xml:space="preserve">https://www.fema.gov/sr/node/500264</t>
  </si>
  <si>
    <t xml:space="preserve">What FEMA rates include; operator excluded; standby not eligible</t>
  </si>
  <si>
    <t xml:space="preserve">FEMA-IS1000</t>
  </si>
  <si>
    <t xml:space="preserve">IS-1000 Applicant (Force Account) Equipment</t>
  </si>
  <si>
    <t xml:space="preserve">FEMA EMI</t>
  </si>
  <si>
    <t xml:space="preserve">accessed Oct 2026</t>
  </si>
  <si>
    <t xml:space="preserve">https://emilms.fema.gov/is_1000/groups/247.html</t>
  </si>
  <si>
    <t xml:space="preserve">Intermittent-use standby exception</t>
  </si>
  <si>
    <t xml:space="preserve">EP 1110-1-8 Construction Equipment Ownership &amp; Operating Expense Schedule (pamphlet)</t>
  </si>
  <si>
    <t xml:space="preserve">USACE</t>
  </si>
  <si>
    <t xml:space="preserve">12 Aug 2021</t>
  </si>
  <si>
    <t xml:space="preserve">https://www.publications.usace.army.mil/Portals/76/Users/182/86/2486/EP%201110-1-8_RV1-12.pdf</t>
  </si>
  <si>
    <t xml:space="preserve">Method: depreciation, FCCM, fuel factor 0.34 lb/bhp-hr, standby 0.5xDEPR+FCCM</t>
  </si>
  <si>
    <t xml:space="preserve">CALT-2627</t>
  </si>
  <si>
    <t xml:space="preserve">Caltrans Labor Surcharge &amp; Equipment Rental Rates 2026-27</t>
  </si>
  <si>
    <t xml:space="preserve">Caltrans</t>
  </si>
  <si>
    <t xml:space="preserve">Apr 1 2026-Mar 31 2027</t>
  </si>
  <si>
    <t xml:space="preserve">https://dot.ca.gov/-/media/dot-media/programs/construction/documents/equipment-rental-rates-and-labor-surcharge/book_26_27.pdf</t>
  </si>
  <si>
    <t xml:space="preserve">Delay (standby) and overtime factors; rate inclusions</t>
  </si>
  <si>
    <t xml:space="preserve">CALT-INT</t>
  </si>
  <si>
    <t xml:space="preserve">Caltrans 2026-27 interim (fuel) update</t>
  </si>
  <si>
    <t xml:space="preserve">Sep 1 2026-Mar 31 2027</t>
  </si>
  <si>
    <t xml:space="preserve">https://dot.ca.gov/-/media/dot-media/programs/construction/documents/equipment-rental-rates-and-labor-surcharge/book_26_27_intv2.pdf</t>
  </si>
  <si>
    <t xml:space="preserve">Updated delay/OT factors</t>
  </si>
  <si>
    <t xml:space="preserve">CALT-26V3</t>
  </si>
  <si>
    <t xml:space="preserve">Caltrans Equipment Rental Rates book 26v3</t>
  </si>
  <si>
    <t xml:space="preserve">Apr 1-Aug 31 2026</t>
  </si>
  <si>
    <t xml:space="preserve">https://dot.ca.gov/-/media/dot-media/programs/construction/documents/equipment-rental-rates-and-labor-surcharge/book_26v3.pdf</t>
  </si>
  <si>
    <t xml:space="preserve">Category codes and size bands (taxonomy)</t>
  </si>
  <si>
    <t xml:space="preserve">Cat Performance Handbook fuel consumption tables (VisionLink)</t>
  </si>
  <si>
    <t xml:space="preserve">Caterpillar via Wheeler Cat</t>
  </si>
  <si>
    <t xml:space="preserve">9 Dec 2022</t>
  </si>
  <si>
    <t xml:space="preserve">https://wheelercat.com/wp-content/uploads/2023/01/Cat-Performance-Handbook-from-VST-fuel-consumption-2022-12-09T21-20-09.pdf</t>
  </si>
  <si>
    <t xml:space="preserve">Fuel gal/hr low/med/high by model</t>
  </si>
  <si>
    <t xml:space="preserve">CATPHB46</t>
  </si>
  <si>
    <t xml:space="preserve">Cat PHB Ed. 46 s.25-9 dozer fuel table</t>
  </si>
  <si>
    <t xml:space="preserve">Caterpillar</t>
  </si>
  <si>
    <t xml:space="preserve">Ed. 46</t>
  </si>
  <si>
    <t xml:space="preserve">https://static1.squarespace.com/static/58877529414fb5283ed14a6b/t/58921922893fc04d5f058f32/1485969698763/Fuel+Table+-+Dozers.pdf</t>
  </si>
  <si>
    <t xml:space="preserve">Older dozer fuel ranges; load definitions</t>
  </si>
  <si>
    <t xml:space="preserve">CATPHB50</t>
  </si>
  <si>
    <t xml:space="preserve">Cat Performance Handbook Ed. 50 (front matter only)</t>
  </si>
  <si>
    <t xml:space="preserve">Jun 2022</t>
  </si>
  <si>
    <t xml:space="preserve">https://wheelercat.com/wp-content/uploads/2025/03/Cat-Performance-Handbook-Edition-50-June-2022.pdf</t>
  </si>
  <si>
    <t xml:space="preserve">100% efficiency basis; section locations (curves NOT retrieved)</t>
  </si>
  <si>
    <t xml:space="preserve">EIA-HIST</t>
  </si>
  <si>
    <t xml:space="preserve">EIA US No.2 diesel retail price, annual</t>
  </si>
  <si>
    <t xml:space="preserve">US EIA</t>
  </si>
  <si>
    <t xml:space="preserve">2018-2025</t>
  </si>
  <si>
    <t xml:space="preserve">https://www.eia.gov/dnav/pet/hist/LeafHandler.ashx?n=PET&amp;s=EMD_EPD2D_PTE_NUS_DPG&amp;f=A</t>
  </si>
  <si>
    <t xml:space="preserve">2025 avg $3.660 used for FEMA back-out</t>
  </si>
  <si>
    <t xml:space="preserve">EIA-GDU</t>
  </si>
  <si>
    <t xml:space="preserve">EIA Gasoline and Diesel Fuel Update</t>
  </si>
  <si>
    <t xml:space="preserve">week of Oct 19 2026 (rel. Oct 20 2026)</t>
  </si>
  <si>
    <t xml:space="preserve">https://www.eia.gov/petroleum/gasdiesel/</t>
  </si>
  <si>
    <t xml:space="preserve">US/PADD diesel and gasoline prices</t>
  </si>
  <si>
    <t xml:space="preserve">EW-STBY</t>
  </si>
  <si>
    <t xml:space="preserve">EquipmentWatch: Standby rates</t>
  </si>
  <si>
    <t xml:space="preserve">EquipmentWatch</t>
  </si>
  <si>
    <t xml:space="preserve">https://equipmentwatch.com/resource/standby-rates/</t>
  </si>
  <si>
    <t xml:space="preserve">176 hr/month FHWA basis; standby components</t>
  </si>
  <si>
    <t xml:space="preserve">EquipmentWatch: Calculating time basis of rates</t>
  </si>
  <si>
    <t xml:space="preserve">https://equipmentwatch.com/resource/calculating-time-basis-of-rates/</t>
  </si>
  <si>
    <t xml:space="preserve">8/40/176 hr basis; overtime 1/8,1/40,1/176</t>
  </si>
  <si>
    <t xml:space="preserve">EW-FHWA</t>
  </si>
  <si>
    <t xml:space="preserve">EquipmentWatch: FHWA rate</t>
  </si>
  <si>
    <t xml:space="preserve">mod. Sep 9 2024</t>
  </si>
  <si>
    <t xml:space="preserve">https://equipmentwatch.com/resource/fhwa-rate/</t>
  </si>
  <si>
    <t xml:space="preserve">Regional adjustment applies to ownership only</t>
  </si>
  <si>
    <t xml:space="preserve">EW-REG</t>
  </si>
  <si>
    <t xml:space="preserve">EquipmentWatch: Regional adjustments</t>
  </si>
  <si>
    <t xml:space="preserve">undated</t>
  </si>
  <si>
    <t xml:space="preserve">https://equipmentwatch.com/?p=30581</t>
  </si>
  <si>
    <t xml:space="preserve">State multipliers 82.2%-142.7% (crawler excavators)</t>
  </si>
  <si>
    <t xml:space="preserve">Wheeler Machinery / Cat Rental Store 2025 Rental Rates (UT)</t>
  </si>
  <si>
    <t xml:space="preserve">Wheeler Machinery</t>
  </si>
  <si>
    <t xml:space="preserve">2025 (Mar 2025)</t>
  </si>
  <si>
    <t xml:space="preserve">https://wheelercat.com/wp-content/uploads/2025/03/2025-Construction-Equipment-Rental-Rates.pdf</t>
  </si>
  <si>
    <t xml:space="preserve">Bare day/week/4-week (8/40/176 hr); haulage; protection 16%</t>
  </si>
  <si>
    <t xml:space="preserve">Columbus Equipment rental rate sheet 2025 REVISED 6.25 (OH)</t>
  </si>
  <si>
    <t xml:space="preserve">Columbus Equipment</t>
  </si>
  <si>
    <t xml:space="preserve">https://www.columbusequipment.com/wp-content/uploads/2025/09/CER-Rental-Rate-Sheet-2025_REVISED-6.25.pdf</t>
  </si>
  <si>
    <t xml:space="preserve">Bare day/week/4-week (8/40/160); terms</t>
  </si>
  <si>
    <t xml:space="preserve">Burris Equipment (Alta) Rental Rate Guide (IL)</t>
  </si>
  <si>
    <t xml:space="preserve">Burris Equipment</t>
  </si>
  <si>
    <t xml:space="preserve">https://burris-media-cloud.s3.us-west-2.amazonaws.com/2025/03/Rental-Rate-Guide-Printable.pdf</t>
  </si>
  <si>
    <t xml:space="preserve">Bare day/week/4-week (8/40/160)</t>
  </si>
  <si>
    <t xml:space="preserve">RTL Equipment Rate Sheet Spring 2025 (MN)</t>
  </si>
  <si>
    <t xml:space="preserve">RTL Equipment</t>
  </si>
  <si>
    <t xml:space="preserve">https://www.rtlequipment.com/fckimages/rtlequipment-RentalRateSheet-2025.pdf</t>
  </si>
  <si>
    <t xml:space="preserve">Bare day/week/month</t>
  </si>
  <si>
    <t xml:space="preserve">Nu-Way Winter 2025 rental rates (MO)</t>
  </si>
  <si>
    <t xml:space="preserve">Nu-Way</t>
  </si>
  <si>
    <t xml:space="preserve">eff. Jan 22 2025</t>
  </si>
  <si>
    <t xml:space="preserve">https://nuwayinc.com/Uploaded/Catalog/PDF/rentalrates_January2025.pdf</t>
  </si>
  <si>
    <t xml:space="preserve">Ahearn Rents rates page (MA/RI/NH)</t>
  </si>
  <si>
    <t xml:space="preserve">Ahearn Rents</t>
  </si>
  <si>
    <t xml:space="preserve">undated; read Oct 2026</t>
  </si>
  <si>
    <t xml:space="preserve">https://ahearnrents.com/rates/</t>
  </si>
  <si>
    <t xml:space="preserve">DOZR excavator rental cost guide</t>
  </si>
  <si>
    <t xml:space="preserve">DOZR</t>
  </si>
  <si>
    <t xml:space="preserve">https://dozr.com/blog/excavator-rental-cost</t>
  </si>
  <si>
    <t xml:space="preserve">Marketplace ranges; delivery; LDW 10-15%</t>
  </si>
  <si>
    <t xml:space="preserve">DOZR telehandler rental cost guide</t>
  </si>
  <si>
    <t xml:space="preserve">https://dozr.com/blog/telehandler-rental-cost</t>
  </si>
  <si>
    <t xml:space="preserve">Telehandler ranges; delivery</t>
  </si>
  <si>
    <t xml:space="preserve">DOZR-DZ</t>
  </si>
  <si>
    <t xml:space="preserve">DOZR dozer rental cost guide</t>
  </si>
  <si>
    <t xml:space="preserve">https://dozr.com/blog/dozer-rental-cost</t>
  </si>
  <si>
    <t xml:space="preserve">All-size dozer average</t>
  </si>
  <si>
    <t xml:space="preserve">DOZR-SS</t>
  </si>
  <si>
    <t xml:space="preserve">DOZR skid steer rental cost guide</t>
  </si>
  <si>
    <t xml:space="preserve">Jul 2023</t>
  </si>
  <si>
    <t xml:space="preserve">https://dozr.com/blog/skid-steer-rental-cost</t>
  </si>
  <si>
    <t xml:space="preserve">Older cross-check</t>
  </si>
  <si>
    <t xml:space="preserve">DOZR scissor lift rental cost guide</t>
  </si>
  <si>
    <t xml:space="preserve">https://dozr.com/blog/scissor-lift-rental-cost</t>
  </si>
  <si>
    <t xml:space="preserve">Scissor ranges; delivery</t>
  </si>
  <si>
    <t xml:space="preserve">DOZR boom lift rental cost guide</t>
  </si>
  <si>
    <t xml:space="preserve">https://dozr.com/blog/boom-lift-rental-cost</t>
  </si>
  <si>
    <t xml:space="preserve">Boom ranges; towable; delivery</t>
  </si>
  <si>
    <t xml:space="preserve">rentd.com air compressor rental guide</t>
  </si>
  <si>
    <t xml:space="preserve">rentd</t>
  </si>
  <si>
    <t xml:space="preserve">https://www.rentd.com/air-compressor-rental/</t>
  </si>
  <si>
    <t xml:space="preserve">Compressor ranges; delivery</t>
  </si>
  <si>
    <t xml:space="preserve">Angi excavator rental prices</t>
  </si>
  <si>
    <t xml:space="preserve">Angi</t>
  </si>
  <si>
    <t xml:space="preserve">Oct 19 2026</t>
  </si>
  <si>
    <t xml:space="preserve">https://www.angi.com/articles/excavator-rental-prices.htm</t>
  </si>
  <si>
    <t xml:space="preserve">Consumer ranges; delivery</t>
  </si>
  <si>
    <t xml:space="preserve">North Texas Crane 2025 rate sheet</t>
  </si>
  <si>
    <t xml:space="preserve">North Texas Crane</t>
  </si>
  <si>
    <t xml:space="preserve">https://www.northtexascrane.com/siteart/pdf/2025-Crane-Rental-Rate-Sheet-1.pdf</t>
  </si>
  <si>
    <t xml:space="preserve">Operated crane $/hr, minimums, terms</t>
  </si>
  <si>
    <t xml:space="preserve">DEPC</t>
  </si>
  <si>
    <t xml:space="preserve">Dependable Crane pricing (Sacramento CA)</t>
  </si>
  <si>
    <t xml:space="preserve">Dependable Crane</t>
  </si>
  <si>
    <t xml:space="preserve">mod. Oct 2025</t>
  </si>
  <si>
    <t xml:space="preserve">https://dependablecrane.com/pricing/</t>
  </si>
  <si>
    <t xml:space="preserve">Operated crane $/hr, minimums</t>
  </si>
  <si>
    <t xml:space="preserve">Central Florida Crane Service rate benchmarks</t>
  </si>
  <si>
    <t xml:space="preserve">https://centralfloridacraneservice.com/feeds/blog/crane-rental-rates-operator</t>
  </si>
  <si>
    <t xml:space="preserve">Operated crane bands; minimums; OT</t>
  </si>
  <si>
    <t xml:space="preserve">BigRentz crane rental cost</t>
  </si>
  <si>
    <t xml:space="preserve">BigRentz</t>
  </si>
  <si>
    <t xml:space="preserve">https://www.bigrentz.com/blog/crane-rental-cost</t>
  </si>
  <si>
    <t xml:space="preserve">Crane ranges; tower crane monthly</t>
  </si>
  <si>
    <t xml:space="preserve">Concrete Pumping Ohio rental rates</t>
  </si>
  <si>
    <t xml:space="preserve">Concrete Pumping Ohio</t>
  </si>
  <si>
    <t xml:space="preserve">https://concretepumpingohio.com/rental-rates/</t>
  </si>
  <si>
    <t xml:space="preserve">Operated pump $/hr, $/yd3, travel</t>
  </si>
  <si>
    <t xml:space="preserve">CCE</t>
  </si>
  <si>
    <t xml:space="preserve">CCE News concrete pump rental cost USA</t>
  </si>
  <si>
    <t xml:space="preserve">CCE News</t>
  </si>
  <si>
    <t xml:space="preserve">Mar 23 2026</t>
  </si>
  <si>
    <t xml:space="preserve">https://cceonlinenews.com/concrete/concrete-pump-rental-cost-usa/</t>
  </si>
  <si>
    <t xml:space="preserve">Pump ranges, minimums, surcharges</t>
  </si>
  <si>
    <t xml:space="preserve">MN DLI Region 1 minimum truck rental rates (with driver)</t>
  </si>
  <si>
    <t xml:space="preserve">Minnesota DLI</t>
  </si>
  <si>
    <t xml:space="preserve">Dec 22 2025 / May 1 2026</t>
  </si>
  <si>
    <t xml:space="preserve">https://www.dli.mn.gov/business/employment-practices/prevailing-wage-region-1-minimum-truck-rental-rates</t>
  </si>
  <si>
    <t xml:space="preserve">Operated dump truck $/hr</t>
  </si>
  <si>
    <t xml:space="preserve">DTR</t>
  </si>
  <si>
    <t xml:space="preserve">dumptruckrates.com tri-axle</t>
  </si>
  <si>
    <t xml:space="preserve">dumptruckrates.com</t>
  </si>
  <si>
    <t xml:space="preserve">Sep 23 2026</t>
  </si>
  <si>
    <t xml:space="preserve">https://dumptruckrates.com/trucks/tri-axle-dump-truck/</t>
  </si>
  <si>
    <t xml:space="preserve">Operated dump truck $85-130/hr</t>
  </si>
  <si>
    <t xml:space="preserve">ThePricer office trailer rental costs</t>
  </si>
  <si>
    <t xml:space="preserve">ThePricer</t>
  </si>
  <si>
    <t xml:space="preserve">https://www.thepricer.org/office-trailer-rental-costs/</t>
  </si>
  <si>
    <t xml:space="preserve">Office trailer $/mo; delivery</t>
  </si>
  <si>
    <t xml:space="preserve">Boom &amp; Bucket storage container cost</t>
  </si>
  <si>
    <t xml:space="preserve">Boom &amp; Bucket</t>
  </si>
  <si>
    <t xml:space="preserve">https://www.boomandbucket.com/es/blog/cost-of-storage-containers</t>
  </si>
  <si>
    <t xml:space="preserve">Container $/mo; delivery</t>
  </si>
  <si>
    <t xml:space="preserve">ThePricer temporary fence rental cost</t>
  </si>
  <si>
    <t xml:space="preserve">https://www.thepricer.org/temporary-fence-rental-cost/</t>
  </si>
  <si>
    <t xml:space="preserve">Fence $/lf/mo; gates; delivery</t>
  </si>
  <si>
    <t xml:space="preserve">EquipNearby generator rental guide</t>
  </si>
  <si>
    <t xml:space="preserve">EquipNearby</t>
  </si>
  <si>
    <t xml:space="preserve">Sep 16 2026</t>
  </si>
  <si>
    <t xml:space="preserve">https://equipnearby.com/guides/generator-rental-guide/</t>
  </si>
  <si>
    <t xml:space="preserve">Generator ranges; delivery $125-400</t>
  </si>
  <si>
    <t xml:space="preserve">FAT19</t>
  </si>
  <si>
    <t xml:space="preserve">Florida Air Tool rate sheet (EXCLUDED, 2019)</t>
  </si>
  <si>
    <t xml:space="preserve">Florida Air Tool</t>
  </si>
  <si>
    <t xml:space="preserve">06/06/2019</t>
  </si>
  <si>
    <t xml:space="preserve">https://floridaairtool.com/rate-sheet/</t>
  </si>
  <si>
    <t xml:space="preserve">Shift multipliers only; rates outdated</t>
  </si>
  <si>
    <t xml:space="preserve">United Rentals US Rental Service Terms</t>
  </si>
  <si>
    <t xml:space="preserve">United Rentals</t>
  </si>
  <si>
    <t xml:space="preserve">https://www.unitedrentals.com/legal/rental-service-terms-us</t>
  </si>
  <si>
    <t xml:space="preserve">8/40/160 basis; shifts 1.5x/2x; env. fee 2% cap $99</t>
  </si>
  <si>
    <t xml:space="preserve">PA COSTARS Sunbelt not-to-exceed rate list</t>
  </si>
  <si>
    <t xml:space="preserve">PA DGS / Sunbelt Rentals</t>
  </si>
  <si>
    <t xml:space="preserve">3/15/2023-3/14/2024</t>
  </si>
  <si>
    <t xml:space="preserve">https://www.dgs.internet.state.pa.us/COSTARSElecBiddAdmin/Supplier/DownloadCustomList/4586</t>
  </si>
  <si>
    <t xml:space="preserve">Aerial lift day/week/4-week by class</t>
  </si>
  <si>
    <t xml:space="preserve">KS18</t>
  </si>
  <si>
    <t xml:space="preserve">Kansas DOA rate list (EXCLUDED, 2018)</t>
  </si>
  <si>
    <t xml:space="preserve">Kansas Dept. of Administration</t>
  </si>
  <si>
    <t xml:space="preserve">thru 10/31/2018</t>
  </si>
  <si>
    <t xml:space="preserve">https://admin.ks.gov/media/cms/1d10fe2c-549f-493b-939a-45bd1482fc2d.pdf</t>
  </si>
  <si>
    <t xml:space="preserve">Class names only; rates too old</t>
  </si>
  <si>
    <t xml:space="preserve">BIGR-SC</t>
  </si>
  <si>
    <t xml:space="preserve">BigRentz scissor lift rental cost (23 cities)</t>
  </si>
  <si>
    <t xml:space="preserve">data Dec 2022</t>
  </si>
  <si>
    <t xml:space="preserve">https://www.bigrentz.com/blog/scissor-lift-rental-cost</t>
  </si>
  <si>
    <t xml:space="preserve">Scissor means</t>
  </si>
  <si>
    <t xml:space="preserve">BIGR-BM</t>
  </si>
  <si>
    <t xml:space="preserve">BigRentz boom lift rental cost (23 cities)</t>
  </si>
  <si>
    <t xml:space="preserve">https://www.bigrentz.com/blog/boom-lift-rental-cost</t>
  </si>
  <si>
    <t xml:space="preserve">Boom means</t>
  </si>
  <si>
    <t xml:space="preserve">ScaffoldExchange aerial lift rental cost</t>
  </si>
  <si>
    <t xml:space="preserve">ScaffoldExchange</t>
  </si>
  <si>
    <t xml:space="preserve">Sep 26 2026</t>
  </si>
  <si>
    <t xml:space="preserve">https://scaffoldexchange.com/lifts-and-access/aerial-lift-rental-cost</t>
  </si>
  <si>
    <t xml:space="preserve">2026 aerial ranges; delivery</t>
  </si>
  <si>
    <t xml:space="preserve">LIFTINC</t>
  </si>
  <si>
    <t xml:space="preserve">Lift Inc. Genie slab &amp; RT scissor catalog</t>
  </si>
  <si>
    <t xml:space="preserve">Lift Inc.</t>
  </si>
  <si>
    <t xml:space="preserve">https://www.liftincorporated.adpearance.com/catalog/aerial-and-material-handling-equipment/scissor-lifts/slab-scissor-lifts</t>
  </si>
  <si>
    <t xml:space="preserve">Scissor specs</t>
  </si>
  <si>
    <t xml:space="preserve">LEPCO</t>
  </si>
  <si>
    <t xml:space="preserve">Lepco Rents Genie/JLG boom catalog</t>
  </si>
  <si>
    <t xml:space="preserve">Lepco Rents</t>
  </si>
  <si>
    <t xml:space="preserve">https://lepporents.adpearance.com/catalog/access-equipment/boom-lifts</t>
  </si>
  <si>
    <t xml:space="preserve">Boom specs</t>
  </si>
  <si>
    <t xml:space="preserve">JLG600</t>
  </si>
  <si>
    <t xml:space="preserve">JLG 600 Series spec sheet</t>
  </si>
  <si>
    <t xml:space="preserve">JLG</t>
  </si>
  <si>
    <t xml:space="preserve">A92.20</t>
  </si>
  <si>
    <t xml:space="preserve">https://cdn2.antbuildz.com/images/600%20Series%20Spec%20Sheet%20A9220%20Compliant.pdf</t>
  </si>
  <si>
    <t xml:space="preserve">600S/660SJ specs</t>
  </si>
  <si>
    <t xml:space="preserve">JLG-A92</t>
  </si>
  <si>
    <t xml:space="preserve">JLG new terminology ANSI/CSA</t>
  </si>
  <si>
    <t xml:space="preserve">https://www.jlg.com/en/directaccess/new-terminology-in-the-ansi-and-csa-standards</t>
  </si>
  <si>
    <t xml:space="preserve">MEWP groups/types</t>
  </si>
  <si>
    <t xml:space="preserve">US Army FM 5-434 Earthmoving Operations</t>
  </si>
  <si>
    <t xml:space="preserve">US Army</t>
  </si>
  <si>
    <t xml:space="preserve">Jun 2000</t>
  </si>
  <si>
    <t xml:space="preserve">https://vulcanhammer.net/wp-content/uploads/2017/01/fm5_434.pdf</t>
  </si>
  <si>
    <t xml:space="preserve">Production method, factors, clearing, scraper, soil conversion</t>
  </si>
  <si>
    <t xml:space="preserve">FM 5-434 Ch.8 Excavators</t>
  </si>
  <si>
    <t xml:space="preserve">https://www.globalsecurity.org/military/library/policy/army/fm/5-434/chap8.pdf</t>
  </si>
  <si>
    <t xml:space="preserve">Hoe cycle times, fill factors</t>
  </si>
  <si>
    <t xml:space="preserve">FM 5-434 Ch.11 Soil processing &amp; compaction</t>
  </si>
  <si>
    <t xml:space="preserve">https://pdf4pro.com/view/soil-processing-and-compaction-sweethaven02-com-152702.html</t>
  </si>
  <si>
    <t xml:space="preserve">Water formulas</t>
  </si>
  <si>
    <t xml:space="preserve">USMC Production Estimations instructor outline</t>
  </si>
  <si>
    <t xml:space="preserve">USMC</t>
  </si>
  <si>
    <t xml:space="preserve">https://www.trngcmd.marines.mil/Portals/207/Docs/FLW/PRODUCTION%20ESTIMATIONS%20(Proposed%20Instructor%20Outline).pdf</t>
  </si>
  <si>
    <t xml:space="preserve">Soil conversions, operator factors, RR, scraper</t>
  </si>
  <si>
    <t xml:space="preserve">KSU CE419 Ch.2 (Peurifoy-based)</t>
  </si>
  <si>
    <t xml:space="preserve">King Saud Univ.</t>
  </si>
  <si>
    <t xml:space="preserve">https://faculty.ksu.edu.sa/sites/default/files/2.CE419_Ch2_0.pdf</t>
  </si>
  <si>
    <t xml:space="preserve">Production equation; swell/shrink</t>
  </si>
  <si>
    <t xml:space="preserve">KSU-3</t>
  </si>
  <si>
    <t xml:space="preserve">KSU CE419 Ch.3.1 excavators</t>
  </si>
  <si>
    <t xml:space="preserve">https://faculty.ksu.edu.sa/sites/default/files/3.CE419-Ch3.1.pdf</t>
  </si>
  <si>
    <t xml:space="preserve">Excavator production equation</t>
  </si>
  <si>
    <t xml:space="preserve">KSU CE419 Ch.4.2 dozers</t>
  </si>
  <si>
    <t xml:space="preserve">https://faculty.ksu.edu.sa/sites/default/files/4.CE419-Ch4.2.pdf</t>
  </si>
  <si>
    <t xml:space="preserve">Dozer blade/cycle method; speeds 4/8 km/h; fixed 0.05 min</t>
  </si>
  <si>
    <t xml:space="preserve">KSU Tutorial 3</t>
  </si>
  <si>
    <t xml:space="preserve">https://fac.ksu.edu.sa/sites/default/files/Tutorial%203.pdf</t>
  </si>
  <si>
    <t xml:space="preserve">Trench factor 0.95-1.0; fill factors</t>
  </si>
  <si>
    <t xml:space="preserve">KSU Tutorial 5</t>
  </si>
  <si>
    <t xml:space="preserve">https://faculty.ksu.edu.sa/sites/default/files/Tutorial%205.pdf</t>
  </si>
  <si>
    <t xml:space="preserve">Truck/loader balancing</t>
  </si>
  <si>
    <t xml:space="preserve">KSU-T6</t>
  </si>
  <si>
    <t xml:space="preserve">KSU Tutorial 6</t>
  </si>
  <si>
    <t xml:space="preserve">https://fac.ksu.edu.sa/sites/default/files/tutorial%206.pdf</t>
  </si>
  <si>
    <t xml:space="preserve">Travel time; effective grade; scrapers</t>
  </si>
  <si>
    <t xml:space="preserve">KSU Tutorial 7</t>
  </si>
  <si>
    <t xml:space="preserve">https://fac.ksu.edu.sa/sites/default/files/Tutorial%207.pdf</t>
  </si>
  <si>
    <t xml:space="preserve">Compaction 16.3 formula; grader passes</t>
  </si>
  <si>
    <t xml:space="preserve">KSU-EQ</t>
  </si>
  <si>
    <t xml:space="preserve">KSU CE417 list of equations</t>
  </si>
  <si>
    <t xml:space="preserve">https://fac.ksu.edu.sa/sites/default/files/list_of_equations_for_ce_417.pdf</t>
  </si>
  <si>
    <t xml:space="preserve">Loader/truck/compaction equations</t>
  </si>
  <si>
    <t xml:space="preserve">Cat: Bucket fill factors</t>
  </si>
  <si>
    <t xml:space="preserve">https://www.cat.com/en_US/articles/ci-articles/bucket-fill-factors.html</t>
  </si>
  <si>
    <t xml:space="preserve">Fill factors</t>
  </si>
  <si>
    <t xml:space="preserve">Cat: How to calculate wheel loader productivity</t>
  </si>
  <si>
    <t xml:space="preserve">https://www.cat.com/en_US/articles/for-owners/how-to-calculate-cat-wheel-loader-productivity.html</t>
  </si>
  <si>
    <t xml:space="preserve">Basic cycle 27-33 s; 50-min hour</t>
  </si>
  <si>
    <t xml:space="preserve">Cat: Measure your motor grader productivity</t>
  </si>
  <si>
    <t xml:space="preserve">https://cat.com/en_US/articles/for-owners/measure-your-motor-grader-productivity.html</t>
  </si>
  <si>
    <t xml:space="preserve">Grader area formula, speeds, effective blade</t>
  </si>
  <si>
    <t xml:space="preserve">Open Exam Prep PE Construction: equipment production</t>
  </si>
  <si>
    <t xml:space="preserve">Open Exam Prep</t>
  </si>
  <si>
    <t xml:space="preserve">https://open-exam-prep.com/study-guides/pe-construction/operations-and-methods/equipment-selection-production</t>
  </si>
  <si>
    <t xml:space="preserve">Cycle components; truck fleet example</t>
  </si>
  <si>
    <t xml:space="preserve">GEOM</t>
  </si>
  <si>
    <t xml:space="preserve">Geometrics S-TR15 rippability</t>
  </si>
  <si>
    <t xml:space="preserve">Geometrics</t>
  </si>
  <si>
    <t xml:space="preserve">https://www.geometrics.com/wp-content/uploads/2018/10/S-TR15.pdf</t>
  </si>
  <si>
    <t xml:space="preserve">Indicative ripping BCY/hr vs seismic velocity</t>
  </si>
  <si>
    <t xml:space="preserve">Missouri S&amp;T GE441 compaction lecture</t>
  </si>
  <si>
    <t xml:space="preserve">Missouri S&amp;T</t>
  </si>
  <si>
    <t xml:space="preserve">https://web.mst.edu/rogersda/umrcourses/ge441/online_lectures/compaction/GE441-Lecture2-7.pdf</t>
  </si>
  <si>
    <t xml:space="preserve">Roller selection; trench lifts</t>
  </si>
  <si>
    <t xml:space="preserve">ATE-PLATE</t>
  </si>
  <si>
    <t xml:space="preserve">ATE TP-1830H plate compactor spec</t>
  </si>
  <si>
    <t xml:space="preserve">Jamieson Equipment</t>
  </si>
  <si>
    <t xml:space="preserve">https://catalog.jamiesonequipment.com/printitem/all-categories-vibrators-plate-compactor-vibrators/ate-compactors-tp-series-vibrator-plate-compactors/tp-1830h</t>
  </si>
  <si>
    <t xml:space="preserve">8,550 ft2/hr, 13 in depth, 465 lb</t>
  </si>
  <si>
    <t xml:space="preserve">STORMW</t>
  </si>
  <si>
    <t xml:space="preserve">Stormwater: How to select a soil roller</t>
  </si>
  <si>
    <t xml:space="preserve">Stormwater</t>
  </si>
  <si>
    <t xml:space="preserve">https://stormwater.com/bmps/article/13004765/how-to-select-a-soil-roller</t>
  </si>
  <si>
    <t xml:space="preserve">1 impact per inch; 1,200-2,500 vpm</t>
  </si>
  <si>
    <t xml:space="preserve">CPUC ELM PEA App. M water usage</t>
  </si>
  <si>
    <t xml:space="preserve">CPUC</t>
  </si>
  <si>
    <t xml:space="preserve">https://files.cpuc.ca.gov/Environment/info/aspen/elm/pea/vol8_apx_m_water_usage.pdf</t>
  </si>
  <si>
    <t xml:space="preserve">38.75 gal/CY; dust control gal/acre/day</t>
  </si>
  <si>
    <t xml:space="preserve">EduRev PE Civil formula sheet (secondary)</t>
  </si>
  <si>
    <t xml:space="preserve">EduRev</t>
  </si>
  <si>
    <t xml:space="preserve">https://edurev.in/t/516184/Formula-Sheet-Construction-Methods</t>
  </si>
  <si>
    <t xml:space="preserve">E 0.75-0.90; passes 4-6; swell ranges</t>
  </si>
  <si>
    <t xml:space="preserve">civils.ai soil bulking/swell factor (secondary)</t>
  </si>
  <si>
    <t xml:space="preserve">civils.ai</t>
  </si>
  <si>
    <t xml:space="preserve">https://civils.ai/free-construction-estimating-software/soil-bulking-swell-factor</t>
  </si>
  <si>
    <t xml:space="preserve">Bulking/shrinkage ranges</t>
  </si>
  <si>
    <t xml:space="preserve">WisDOT FDM 19-10-30 production rate table</t>
  </si>
  <si>
    <t xml:space="preserve">WisDOT</t>
  </si>
  <si>
    <t xml:space="preserve">12/2/2022</t>
  </si>
  <si>
    <t xml:space="preserve">https://www.wisconsindot.gov/Documents/doing-bus/eng-consultants/cnslt-rsrces/tools/estimating/production-rate-table.pdf</t>
  </si>
  <si>
    <t xml:space="preserve">Field daily rates (median = typical)</t>
  </si>
  <si>
    <t xml:space="preserve">TxDOT Construction Production Rates</t>
  </si>
  <si>
    <t xml:space="preserve">TxDOT</t>
  </si>
  <si>
    <t xml:space="preserve">Mar 12 2024</t>
  </si>
  <si>
    <t xml:space="preserve">https://ftp.txdot.gov/pub/txdot/cst/cst-production-rates.pdf</t>
  </si>
  <si>
    <t xml:space="preserve">Low/Med/High daily rates</t>
  </si>
  <si>
    <t xml:space="preserve">WSDOT M 22-31.10 Appendix 6</t>
  </si>
  <si>
    <t xml:space="preserve">Feb 2023</t>
  </si>
  <si>
    <t xml:space="preserve">https://appstest.wsdot.wa.gov/publications/manuals/fulltext/M22-31/Appendix6.pdf</t>
  </si>
  <si>
    <t xml:space="preserve">Per 8-hr day rates</t>
  </si>
  <si>
    <t xml:space="preserve">NCDOT Contract Time Guidelines</t>
  </si>
  <si>
    <t xml:space="preserve">structures rev. Jan 5 2016</t>
  </si>
  <si>
    <t xml:space="preserve">https://connect.ncdot.gov/letting/Division%20Letting%20Resources/Contract%20Time%20Guidelines.pdf</t>
  </si>
  <si>
    <t xml:space="preserve">Per working day rates</t>
  </si>
  <si>
    <t xml:space="preserve">FHWA-CFL</t>
  </si>
  <si>
    <t xml:space="preserve">FHWA Central Federal Lands contract time guidelines</t>
  </si>
  <si>
    <t xml:space="preserve">FHWA</t>
  </si>
  <si>
    <t xml:space="preserve">https://highways.dot.gov/sites/fhwa.dot.gov/files/docs/federal-lands/pddm/cfl/27321/cfl_guidelines.pdf</t>
  </si>
  <si>
    <t xml:space="preserve">HACP 1,320-1,980 TON/day</t>
  </si>
  <si>
    <t xml:space="preserve">Penn State Superpave Constructing Quality Asphalt Pavements booklet</t>
  </si>
  <si>
    <t xml:space="preserve">Penn State / PennDOT</t>
  </si>
  <si>
    <t xml:space="preserve">https://www.superpave.psu.edu/assets/docs/2025/Constructing-Quality-Asphalt-Pavements-Checklist-Booklet-2025-FINAL.pdf</t>
  </si>
  <si>
    <t xml:space="preserve">Paver/roller/truck worked example; yield</t>
  </si>
  <si>
    <t xml:space="preserve">AI-ROLL</t>
  </si>
  <si>
    <t xml:space="preserve">Asphalt Institute FAQ: how many rollers</t>
  </si>
  <si>
    <t xml:space="preserve">Asphalt Institute</t>
  </si>
  <si>
    <t xml:space="preserve">https://www.asphaltinstitute.org/faq/how-many-rollers-are-required/</t>
  </si>
  <si>
    <t xml:space="preserve">Roller speed &lt;=3 mph; spreads</t>
  </si>
  <si>
    <t xml:space="preserve">Cat PM310 cold planer product page</t>
  </si>
  <si>
    <t xml:space="preserve">https://www.cat.com/en_US/products/new/equipment/cold-planers/cold-planer/227227255583048.html</t>
  </si>
  <si>
    <t xml:space="preserve">39.4 in width; max 108 fpm</t>
  </si>
  <si>
    <t xml:space="preserve">ForConstructionPros: Placing concrete smarter</t>
  </si>
  <si>
    <t xml:space="preserve">ForConstructionPros</t>
  </si>
  <si>
    <t xml:space="preserve">https://www.forconstructionpros.com/concrete/article/21006661/placing-concrete-smarter</t>
  </si>
  <si>
    <t xml:space="preserve">Placement CY/hr by method</t>
  </si>
  <si>
    <t xml:space="preserve">ACI-S21</t>
  </si>
  <si>
    <t xml:space="preserve">ACI webinar S21 (Connolly) pumping</t>
  </si>
  <si>
    <t xml:space="preserve">ACI</t>
  </si>
  <si>
    <t xml:space="preserve">https://www.concrete.org/portals/0/files/pdf/webinars/ws_S21_Connolly.pdf</t>
  </si>
  <si>
    <t xml:space="preserve">Rated pump ~133 CY/hr; boom 24-42 m</t>
  </si>
  <si>
    <t xml:space="preserve">RER: Trowel power</t>
  </si>
  <si>
    <t xml:space="preserve">Rental Equipment Register</t>
  </si>
  <si>
    <t xml:space="preserve">2002</t>
  </si>
  <si>
    <t xml:space="preserve">https://www.rermag.com/mag/article/20938274/trowel-power</t>
  </si>
  <si>
    <t xml:space="preserve">Trowel SF/day (dated)</t>
  </si>
  <si>
    <t xml:space="preserve">The Driller: Bore planning</t>
  </si>
  <si>
    <t xml:space="preserve">The Driller</t>
  </si>
  <si>
    <t xml:space="preserve">https://thedriller.com/articles/86303-bore-planning</t>
  </si>
  <si>
    <t xml:space="preserve">HDD pullback example; fluid</t>
  </si>
  <si>
    <t xml:space="preserve">DRILLER-SZ</t>
  </si>
  <si>
    <t xml:space="preserve">The Driller: What size HDD rig</t>
  </si>
  <si>
    <t xml:space="preserve">https://thedriller.com/articles/85848-what-size-hdd-rig</t>
  </si>
  <si>
    <t xml:space="preserve">HDD classes by pullback</t>
  </si>
  <si>
    <t xml:space="preserve">GTI vacuum excavation project update</t>
  </si>
  <si>
    <t xml:space="preserve">GTI Energy</t>
  </si>
  <si>
    <t xml:space="preserve">Spring 2019</t>
  </si>
  <si>
    <t xml:space="preserve">https://www.gti.energy/wp-content/uploads/2019/04/08-KeyholeSpring2019-GTI-OTD-Vacuum-Excavation-Project-Update-Presentation.pdf</t>
  </si>
  <si>
    <t xml:space="preserve">Vac-ex ft3/min</t>
  </si>
  <si>
    <t xml:space="preserve">Cleaner.com: complementary pipe bursting rigs</t>
  </si>
  <si>
    <t xml:space="preserve">Cleaner</t>
  </si>
  <si>
    <t xml:space="preserve">Jun 2016</t>
  </si>
  <si>
    <t xml:space="preserve">https://www.cleaner.com/online_exclusives/2016/06/complementary_pipe_bursting_rigs_boost_contractors_productivity</t>
  </si>
  <si>
    <t xml:space="preserve">Bursting LF/day</t>
  </si>
  <si>
    <t xml:space="preserve">IAARC/VTT: crane operations study</t>
  </si>
  <si>
    <t xml:space="preserve">IAARC</t>
  </si>
  <si>
    <t xml:space="preserve">https://www.iaarc.org/publications/fulltext/An_integrated_approach_to_the_development_of_construction_site_crane_operations.PDF</t>
  </si>
  <si>
    <t xml:space="preserve">Tower crane lift times; 70-75% effective</t>
  </si>
  <si>
    <t xml:space="preserve">Projul heavy haul equipment transport guide</t>
  </si>
  <si>
    <t xml:space="preserve">Projul</t>
  </si>
  <si>
    <t xml:space="preserve">Oct 8 2025; mod. Mar 21 2026</t>
  </si>
  <si>
    <t xml:space="preserve">https://projul.com/blog/construction-heavy-haul-equipment-transport-guide/</t>
  </si>
  <si>
    <t xml:space="preserve">Trailer types; legal envelope; escorts</t>
  </si>
  <si>
    <t xml:space="preserve">OTR-LOW</t>
  </si>
  <si>
    <t xml:space="preserve">OTrucking lowboy trucking rates guide</t>
  </si>
  <si>
    <t xml:space="preserve">OTrucking</t>
  </si>
  <si>
    <t xml:space="preserve">Feb 20 2026; upd. Sep 1 2026</t>
  </si>
  <si>
    <t xml:space="preserve">https://otrucking.com/resources/guides/lowboy-trucking-rates/</t>
  </si>
  <si>
    <t xml:space="preserve">Lowboy $/mi, minimums, permits, escorts</t>
  </si>
  <si>
    <t xml:space="preserve">OTR-RGN</t>
  </si>
  <si>
    <t xml:space="preserve">OTrucking RGN trailer rates guide</t>
  </si>
  <si>
    <t xml:space="preserve">https://otrucking.com/resources/guides/rgn-trailer-rates/</t>
  </si>
  <si>
    <t xml:space="preserve">RGN $/mi by permit class; escorts; surveys</t>
  </si>
  <si>
    <t xml:space="preserve">OTR-HOT</t>
  </si>
  <si>
    <t xml:space="preserve">OTrucking hotshot rates per mile</t>
  </si>
  <si>
    <t xml:space="preserve">Feb 20 2026; upd. Oct 4 2026</t>
  </si>
  <si>
    <t xml:space="preserve">https://otrucking.com/resources/guides/hotshot-trucking-rates-per-mile/</t>
  </si>
  <si>
    <t xml:space="preserve">Hotshot $/mi; local flat</t>
  </si>
  <si>
    <t xml:space="preserve">DAT-0926</t>
  </si>
  <si>
    <t xml:space="preserve">DAT truckload rates Sept 2026</t>
  </si>
  <si>
    <t xml:space="preserve">DAT</t>
  </si>
  <si>
    <t xml:space="preserve">Oct 13 2026</t>
  </si>
  <si>
    <t xml:space="preserve">https://www.dat.com/company/news-events/news-releases/dat-truckload-rates-rise-in-september-as-diesel-tops-6-a-gallon</t>
  </si>
  <si>
    <t xml:space="preserve">Flatbed spot $3.61/mi incl. fuel</t>
  </si>
  <si>
    <t xml:space="preserve">TxDMV general single trip permit</t>
  </si>
  <si>
    <t xml:space="preserve">Texas DMV</t>
  </si>
  <si>
    <t xml:space="preserve">https://www.txdmv.gov/motor-carriers/oversize-overweight-permits/general-single-trip</t>
  </si>
  <si>
    <t xml:space="preserve">Permit fee schedule</t>
  </si>
  <si>
    <t xml:space="preserve">23 CFR 658.17 weight limits</t>
  </si>
  <si>
    <t xml:space="preserve">US Code of Federal Regulations</t>
  </si>
  <si>
    <t xml:space="preserve">current</t>
  </si>
  <si>
    <t xml:space="preserve">https://www.law.cornell.edu/cfr/text/23/658.17</t>
  </si>
  <si>
    <t xml:space="preserve">80,000 lb gross; axle limits</t>
  </si>
  <si>
    <t xml:space="preserve">RitchieSpecs Cat 336D L</t>
  </si>
  <si>
    <t xml:space="preserve">RitchieSpecs</t>
  </si>
  <si>
    <t xml:space="preserve">https://www.ritchiespecs.com/model/caterpillar-336d-l-hydraulic-excavator</t>
  </si>
  <si>
    <t xml:space="preserve">Transport width 133.5 in</t>
  </si>
  <si>
    <t xml:space="preserve">CALT-MOB</t>
  </si>
  <si>
    <t xml:space="preserve">Caltrans contract cost memo (mobilization)</t>
  </si>
  <si>
    <t xml:space="preserve">Feb 17 2006</t>
  </si>
  <si>
    <t xml:space="preserve">https://sv08data.dot.ca.gov/contractcost/memo.pdf</t>
  </si>
  <si>
    <t xml:space="preserve">Mobilization ~10% of contract (sanity check)</t>
  </si>
  <si>
    <t xml:space="preserve">RSM-IL25</t>
  </si>
  <si>
    <t xml:space="preserve">RSMeans 2025 City Cost Index, Illinois (student upload)</t>
  </si>
  <si>
    <t xml:space="preserve">Gordian/RSMeans via CliffsNotes</t>
  </si>
  <si>
    <t xml:space="preserve">https://www.cliffsnotes.com/study-notes/28519784</t>
  </si>
  <si>
    <t xml:space="preserve">015433 equipment vs installation index</t>
  </si>
  <si>
    <t xml:space="preserve">GORDIAN</t>
  </si>
  <si>
    <t xml:space="preserve">Gordian City Cost Index page</t>
  </si>
  <si>
    <t xml:space="preserve">Gordian</t>
  </si>
  <si>
    <t xml:space="preserve">https://www.gordian.com/resources/city-cost-index/</t>
  </si>
  <si>
    <t xml:space="preserve">CCI basket incl. 6 equipment items</t>
  </si>
  <si>
    <t xml:space="preserve">CARTER</t>
  </si>
  <si>
    <t xml:space="preserve">Carter Machinery: Cat dozers new names</t>
  </si>
  <si>
    <t xml:space="preserve">Carter Machinery</t>
  </si>
  <si>
    <t xml:space="preserve">https://cartermachinery.com/uncategorized/cat-dozers-new-names-same-great-performance/</t>
  </si>
  <si>
    <t xml:space="preserve">D1-D11 classes</t>
  </si>
  <si>
    <t xml:space="preserve">Ziegler Cat new equipment pages (dozers, excavators, loaders, graders, backhoes, compactors, pavers, telehandlers)</t>
  </si>
  <si>
    <t xml:space="preserve">Ziegler Cat</t>
  </si>
  <si>
    <t xml:space="preserve">https://www.zieglercat.com/equipment/new/dozers</t>
  </si>
  <si>
    <t xml:space="preserve">Model specs: HP, weight, bucket, widths</t>
  </si>
  <si>
    <t xml:space="preserve">CAT-HAUL</t>
  </si>
  <si>
    <t xml:space="preserve">Cat hauling resources</t>
  </si>
  <si>
    <t xml:space="preserve">https://www.cat.com/en_US/by-industry/cross-industry-resources/hauling.html</t>
  </si>
  <si>
    <t xml:space="preserve">ADT/rigid/scraper capacities</t>
  </si>
  <si>
    <t xml:space="preserve">BOBCAT-EX</t>
  </si>
  <si>
    <t xml:space="preserve">Bobcat compact excavator buyer's guide</t>
  </si>
  <si>
    <t xml:space="preserve">Bobcat</t>
  </si>
  <si>
    <t xml:space="preserve">https://www.bobcat.com/na/en/buying-resources/excavators/compact-excavator-buyers-guide/sizes-specifications</t>
  </si>
  <si>
    <t xml:space="preserve">Mini ex classes; tail swing</t>
  </si>
  <si>
    <t xml:space="preserve">URI-CAT</t>
  </si>
  <si>
    <t xml:space="preserve">United Rentals catalog pages (mini ex sizes, earthmoving, compaction, trench safety, telehandlers)</t>
  </si>
  <si>
    <t xml:space="preserve">https://www.unitedrentals.com/marketplace/equipment/earthmoving-equipment</t>
  </si>
  <si>
    <t xml:space="preserve">Class structure</t>
  </si>
  <si>
    <t xml:space="preserve">SKIDSTEERS</t>
  </si>
  <si>
    <t xml:space="preserve">SkidSteers.com sizes / DOZR spec guide</t>
  </si>
  <si>
    <t xml:space="preserve">SkidSteers.com; DOZR</t>
  </si>
  <si>
    <t xml:space="preserve">https://www.skidsteers.com/blog/skid-steer-sizes/</t>
  </si>
  <si>
    <t xml:space="preserve">ROC breakpoints</t>
  </si>
  <si>
    <t xml:space="preserve">CRANE-TYPES</t>
  </si>
  <si>
    <t xml:space="preserve">AllCrane and SANY crane type ranges</t>
  </si>
  <si>
    <t xml:space="preserve">AllCrane; SANY</t>
  </si>
  <si>
    <t xml:space="preserve">https://www.allcrane.com/resources/case-study/article/all-terrain-crane-vs.-truck-crane-vs.-boom-truck</t>
  </si>
  <si>
    <t xml:space="preserve">Crane capacity ranges by type</t>
  </si>
  <si>
    <t xml:space="preserve">PUTZ</t>
  </si>
  <si>
    <t xml:space="preserve">Putzmeister truck-mounted pumps</t>
  </si>
  <si>
    <t xml:space="preserve">Putzmeister</t>
  </si>
  <si>
    <t xml:space="preserve">https://www.putzmeister.com/web/middle-east/products/-/product-navigation/truck_mounted-concrete-pumps</t>
  </si>
  <si>
    <t xml:space="preserve">Boom pump families</t>
  </si>
  <si>
    <t xml:space="preserve">ONECREW</t>
  </si>
  <si>
    <t xml:space="preserve">OneCrew asphalt milling machine guide</t>
  </si>
  <si>
    <t xml:space="preserve">OneCrew</t>
  </si>
  <si>
    <t xml:space="preserve">https://www.getonecrew.com/post/asphalt-milling-machine</t>
  </si>
  <si>
    <t xml:space="preserve">Cold planer classes</t>
  </si>
  <si>
    <t xml:space="preserve">DIESEKO</t>
  </si>
  <si>
    <t xml:space="preserve">Dieseko Group vibratory hammers</t>
  </si>
  <si>
    <t xml:space="preserve">Dieseko</t>
  </si>
  <si>
    <t xml:space="preserve">https://diesekogroup.com/vibratory-hammers/</t>
  </si>
  <si>
    <t xml:space="preserve">Eccentric moment 14-500 kgm</t>
  </si>
  <si>
    <t xml:space="preserve">EIFFEL</t>
  </si>
  <si>
    <t xml:space="preserve">Eiffel Trading: 4 types of pile hammers</t>
  </si>
  <si>
    <t xml:space="preserve">Eiffel Trading</t>
  </si>
  <si>
    <t xml:space="preserve">https://eiffeltrading.com/blog/post/eiffel-101-4-types-of-pile-driving-hammers</t>
  </si>
  <si>
    <t xml:space="preserve">Hammer types</t>
  </si>
  <si>
    <t xml:space="preserve">MODOT</t>
  </si>
  <si>
    <t xml:space="preserve">MoDOT EPG 237.8 contract time</t>
  </si>
  <si>
    <t xml:space="preserve">MoDOT</t>
  </si>
  <si>
    <t xml:space="preserve">https://epgtest.modot.org/files/a/a3/237.8_Contract_Time_Determination.pdf</t>
  </si>
  <si>
    <t xml:space="preserve">Working day definition</t>
  </si>
  <si>
    <t xml:space="preserve">PROFILE-HS</t>
  </si>
  <si>
    <t xml:space="preserve">Profile Products 800-gal hydroseeder calibration</t>
  </si>
  <si>
    <t xml:space="preserve">Profile Products</t>
  </si>
  <si>
    <t xml:space="preserve">https://www.profileproducts.com/wp-content/uploads/2026/03/hydroseeder-calibration-sheet-800gal.pdf</t>
  </si>
  <si>
    <t xml:space="preserve">SF per tank</t>
  </si>
  <si>
    <t xml:space="preserve">FJ Dynamics mini excavator rental cost</t>
  </si>
  <si>
    <t xml:space="preserve">FJ Dynamics</t>
  </si>
  <si>
    <t xml:space="preserve">Apr 25 2025</t>
  </si>
  <si>
    <t xml:space="preserve">https://www.fjdynamics.com/blog/industry-insights-65/mini-excavator-rental-cost-539</t>
  </si>
  <si>
    <t xml:space="preserve">Mini ex delivery $50-150</t>
  </si>
  <si>
    <t xml:space="preserve">FHWA-86</t>
  </si>
  <si>
    <t xml:space="preserve">FHWA memo on USACE schedule</t>
  </si>
  <si>
    <t xml:space="preserve">Aug 22 1986</t>
  </si>
  <si>
    <t xml:space="preserve">https://www.fhwa.dot.gov/construction/contracts/860822.cfm</t>
  </si>
  <si>
    <t xml:space="preserve">USACE schedule accepted without modification</t>
  </si>
  <si>
    <t xml:space="preserve">RER: All over the place (regional rates)</t>
  </si>
  <si>
    <t xml:space="preserve">Feb 1 2001</t>
  </si>
  <si>
    <t xml:space="preserve">https://www.rermag.com/mag/article/20932580/all-over-the-place</t>
  </si>
  <si>
    <t xml:space="preserve">Regional rental volatility (anecdotal)</t>
  </si>
  <si>
    <t xml:space="preserve">ODOT624</t>
  </si>
  <si>
    <t xml:space="preserve">Ohio DOT Item 624 mobilization</t>
  </si>
  <si>
    <t xml:space="preserve">ODOT</t>
  </si>
  <si>
    <t xml:space="preserve">2013 CMS</t>
  </si>
  <si>
    <t xml:space="preserve">https://www.dot.state.oh.us/Divisions/ConstructionMgt/OnlineDocs/Specifications/2013CMS/600/624.htm</t>
  </si>
  <si>
    <t xml:space="preserve">Mobilization payment caps</t>
  </si>
  <si>
    <t xml:space="preserve">ASPHCALC</t>
  </si>
  <si>
    <t xml:space="preserve">asphaltcalculator.me equipment rental (aggregator, low quality)</t>
  </si>
  <si>
    <t xml:space="preserve">asphaltcalculator.me</t>
  </si>
  <si>
    <t xml:space="preserve">2026 undated</t>
  </si>
  <si>
    <t xml:space="preserve">https://asphaltcalculator.me/cost-estimator/equipment-rental</t>
  </si>
  <si>
    <t xml:space="preserve">Paver/miller/roller day ranges</t>
  </si>
  <si>
    <t xml:space="preserve">CTR-4416</t>
  </si>
  <si>
    <t xml:space="preserve">TxDOT CTR 0-4416-1 measured rates (NOT RETRIEVED)</t>
  </si>
  <si>
    <t xml:space="preserve">UT Austin CTR</t>
  </si>
  <si>
    <t xml:space="preserve">https://library.ctr.utexas.edu/ctr-publications/0-4416-1.pdf</t>
  </si>
  <si>
    <t xml:space="preserve">Gap: field-observed rates</t>
  </si>
  <si>
    <t xml:space="preserve">WYDOT-RIP</t>
  </si>
  <si>
    <t xml:space="preserve">WYDOT rock rippability research proposal</t>
  </si>
  <si>
    <t xml:space="preserve">WYDOT</t>
  </si>
  <si>
    <t xml:space="preserve">https://www.dot.state.wy.us/files/live/sites/wydot/files/shared/Planning/Research/Rock%20Rippability.pdf</t>
  </si>
  <si>
    <t xml:space="preserve">Limits of seismic rippability charts</t>
  </si>
  <si>
    <t xml:space="preserve">Construction Equipment: trencher set and speed</t>
  </si>
  <si>
    <t xml:space="preserve">Construction Equipment</t>
  </si>
  <si>
    <t xml:space="preserve">https://www.constructionequipment.com/refine-set-and-speed-profitable-trencher-production</t>
  </si>
  <si>
    <t xml:space="preserve">Trencher operating guidance (no LF/hr)</t>
  </si>
  <si>
    <t xml:space="preserve">SUNBELT-19</t>
  </si>
  <si>
    <t xml:space="preserve">Sunbelt 19 ft scissor page</t>
  </si>
  <si>
    <t xml:space="preserve">Sunbelt Rentals</t>
  </si>
  <si>
    <t xml:space="preserve">https://www.sunbeltrentals.com/equipment-rental/0070025/19-electric-scissor-lift/</t>
  </si>
  <si>
    <t xml:space="preserve">Spec; quote-only pricing</t>
  </si>
  <si>
    <t xml:space="preserve">KFUPM CE353 Ch.4 compaction</t>
  </si>
  <si>
    <t xml:space="preserve">https://faculty.kfupm.edu.sa/ce/nshayea/CE353-071/CE353CH4.pdf</t>
  </si>
  <si>
    <t xml:space="preserve">Typical lift range 6-18 in</t>
  </si>
  <si>
    <t xml:space="preserve">ASCE-HDD</t>
  </si>
  <si>
    <t xml:space="preserve">ASCE Pipelines: HDD productivity case study (paywalled)</t>
  </si>
  <si>
    <t xml:space="preserve">ASCE</t>
  </si>
  <si>
    <t xml:space="preserve">2013</t>
  </si>
  <si>
    <t xml:space="preserve">https://ascelibrary.com/doi/10.1061/9780784412480.079</t>
  </si>
  <si>
    <t xml:space="preserve">Gap: HDD rates by soil</t>
  </si>
  <si>
    <t xml:space="preserve">DEERE-135P</t>
  </si>
  <si>
    <t xml:space="preserve">Deere 135 P-Tier excavator spec</t>
  </si>
  <si>
    <t xml:space="preserve">Deere</t>
  </si>
  <si>
    <t xml:space="preserve">https://www.deere.com/assets/pdfs/common/products/sync/ME135PAJ-135-p-tier-excavator.pdf</t>
  </si>
  <si>
    <t xml:space="preserve">HD buckets 0.47-0.99 yd3; 20 ft dig</t>
  </si>
  <si>
    <t xml:space="preserve">DEERE-210P</t>
  </si>
  <si>
    <t xml:space="preserve">Deere 210 P-Tier excavator spec</t>
  </si>
  <si>
    <t xml:space="preserve">https://www.deere.com/assets/pdfs/common/products/sync/ME210PAU-210-p-tier-excavator.pdf</t>
  </si>
  <si>
    <t xml:space="preserve">Buckets 0.56-1.29 yd3; 21'11" dig</t>
  </si>
  <si>
    <t xml:space="preserve">DEERE-345P</t>
  </si>
  <si>
    <t xml:space="preserve">Deere 345 P-Tier excavator spec</t>
  </si>
  <si>
    <t xml:space="preserve">https://www.deere.com/assets/pdfs/common/products/sync/ME345PAJ-345-p-tier-excavator.pdf</t>
  </si>
  <si>
    <t xml:space="preserve">Buckets 1.11-2.09 yd3</t>
  </si>
  <si>
    <t xml:space="preserve">DEERE-350P</t>
  </si>
  <si>
    <t xml:space="preserve">Deere 350 P-Tier excavator spec</t>
  </si>
  <si>
    <t xml:space="preserve">https://www.deere.com/assets/pdfs/common/products/excavators/350-p-tier-mid-size-excavator-me350mau.pdf</t>
  </si>
  <si>
    <t xml:space="preserve">HD buckets 1.37-2.27 yd3</t>
  </si>
  <si>
    <t xml:space="preserve">KOM-PC360</t>
  </si>
  <si>
    <t xml:space="preserve">Komatsu PC360LC-11 spec (dealer-hosted)</t>
  </si>
  <si>
    <t xml:space="preserve">Komatsu</t>
  </si>
  <si>
    <t xml:space="preserve">https://www.companywrench.com/PDF/KOMATSU_PC360LC-11_SPECS.pdf</t>
  </si>
  <si>
    <t xml:space="preserve">Buckets 0.89-2.56 yd3</t>
  </si>
  <si>
    <t xml:space="preserve">ALLMACH-PC88</t>
  </si>
  <si>
    <t xml:space="preserve">AllMachines Komatsu PC88MR-11 (aggregator)</t>
  </si>
  <si>
    <t xml:space="preserve">AllMachines</t>
  </si>
  <si>
    <t xml:space="preserve">https://www.allmachines.com/excavators/komatsu-pc88mr-11</t>
  </si>
  <si>
    <t xml:space="preserve">Bucket 0.26 yd3; 15 ft dig</t>
  </si>
  <si>
    <t xml:space="preserve">DEERE-35G</t>
  </si>
  <si>
    <t xml:space="preserve">Deere 35G compact excavator spec</t>
  </si>
  <si>
    <t xml:space="preserve">https://www.deere.com/assets/pdfs/common/products/sync/DKAXG35-35G-compact-excavator.pdf</t>
  </si>
  <si>
    <t xml:space="preserve">Spec-basis bucket 0.11 m3 (0.15 yd3); 10 ft dig</t>
  </si>
  <si>
    <t xml:space="preserve">DEERE-RENT</t>
  </si>
  <si>
    <t xml:space="preserve">Deere rental product comparison</t>
  </si>
  <si>
    <t xml:space="preserve">https://www.deere.com/assets/pdfs/common/products/sync/DKCOMPREN-rental-product-comparison.pdf</t>
  </si>
  <si>
    <t xml:space="preserve">Dig depths; backhoe/dozer specs</t>
  </si>
  <si>
    <t xml:space="preserve">DEERE-FLEET</t>
  </si>
  <si>
    <t xml:space="preserve">Deere construction equipment fleet sheet</t>
  </si>
  <si>
    <t xml:space="preserve">https://www.deere.com/assets/pdfs/common/industries/construction/john-deere-construction-equipment-fleet-sheet-dkeceflt.pdf</t>
  </si>
  <si>
    <t xml:space="preserve">Loader buckets; ROC; ADT heaped</t>
  </si>
  <si>
    <t xml:space="preserve">CAT-EXC-PG</t>
  </si>
  <si>
    <t xml:space="preserve">cat.com / Ziegler excavator pages (303.5 CR, 305 CR, 320, 336, 352, 374, 395)</t>
  </si>
  <si>
    <t xml:space="preserve">https://www.cat.com/en_US/products/new/equipment/excavators/large-excavators/126440.html</t>
  </si>
  <si>
    <t xml:space="preserve">Dig depths; example SD buckets 374 4.32 / 395 6.8 yd3</t>
  </si>
  <si>
    <t xml:space="preserve">CAT-DOZ-PG</t>
  </si>
  <si>
    <t xml:space="preserve">cat.com dozer pages D1-D11 (+ Western States D2)</t>
  </si>
  <si>
    <t xml:space="preserve">https://www.cat.com/en_US/products/new/equipment/dozers/large-dozers/115080.html</t>
  </si>
  <si>
    <t xml:space="preserve">SAE J1265 blade capacities; gear speeds D9-D11; D1-D3 max speeds</t>
  </si>
  <si>
    <t xml:space="preserve">CAT-420</t>
  </si>
  <si>
    <t xml:space="preserve">cat.com Cat 420 backhoe loader</t>
  </si>
  <si>
    <t xml:space="preserve">https://www.cat.com/en_US/products/new/equipment/backhoe-loaders/center-pivot-backhoe-loaders/101260.html</t>
  </si>
  <si>
    <t xml:space="preserve">Loader MP bucket 1.25 yd3; 14 ft dig; speeds</t>
  </si>
  <si>
    <t xml:space="preserve">CAT-WL-PG</t>
  </si>
  <si>
    <t xml:space="preserve">Cat wheel loader pages (906 Cleveland Bros, 950 GC, 950, 980 GC, 988)</t>
  </si>
  <si>
    <t xml:space="preserve">https://cat.com/en_US/products/new/equipment/wheel-loaders/medium-wheel-loaders/1000029532.html</t>
  </si>
  <si>
    <t xml:space="preserve">Bucket ranges; gear speeds</t>
  </si>
  <si>
    <t xml:space="preserve">CARLETON-BKT</t>
  </si>
  <si>
    <t xml:space="preserve">Carleton Equipment Bobcat heavy-duty bucket</t>
  </si>
  <si>
    <t xml:space="preserve">Carleton Equipment</t>
  </si>
  <si>
    <t xml:space="preserve">https://carletonequipment.com/products/bucket-heavy-duty-bobcat</t>
  </si>
  <si>
    <t xml:space="preserve">SSL/CTL bucket heaped yd3 by width</t>
  </si>
  <si>
    <t xml:space="preserve">CAT-SCR-PG</t>
  </si>
  <si>
    <t xml:space="preserve">cat.com scraper pages (621, 623, 631, 637, 657)</t>
  </si>
  <si>
    <t xml:space="preserve">https://www.cat.com/en_US/products/new/equipment/wheel-tractor-scrapers/open-bowl-scrapers/125862.html</t>
  </si>
  <si>
    <t xml:space="preserve">Heaped yd3, rated load lb, loaded top speed</t>
  </si>
  <si>
    <t xml:space="preserve">CAT-TRK-PG</t>
  </si>
  <si>
    <t xml:space="preserve">Cat 725 (Cleveland Bros), 745, 772, 773, 777 pages</t>
  </si>
  <si>
    <t xml:space="preserve">https://www.cat.com/en_US/products/new/equipment/articulated-trucks/three-axle-articulated-trucks/1000032934.html</t>
  </si>
  <si>
    <t xml:space="preserve">Payload, heaped SAE 2:1, top speed</t>
  </si>
  <si>
    <t xml:space="preserve">VOLVO-ADT</t>
  </si>
  <si>
    <t xml:space="preserve">Volvo A25G guide, A35G/A40G brochure, US hauler lineup</t>
  </si>
  <si>
    <t xml:space="preserve">Volvo CE</t>
  </si>
  <si>
    <t xml:space="preserve">https://volvoce.com/united-states/en-us/products/articulated-haulers</t>
  </si>
  <si>
    <t xml:space="preserve">Payload and heaped yd3</t>
  </si>
  <si>
    <t xml:space="preserve">CTOS-DUMP</t>
  </si>
  <si>
    <t xml:space="preserve">Custom Truck One Source tandem-axle dump</t>
  </si>
  <si>
    <t xml:space="preserve">Custom Truck One Source</t>
  </si>
  <si>
    <t xml:space="preserve">https://www.customtruck.com/rental/vocational-trucks/dump-trucks/tandem-axle-16-cu-yd-rear-dump-truck/751-0200</t>
  </si>
  <si>
    <t xml:space="preserve">Tandem dumps 10-16 yd3</t>
  </si>
  <si>
    <t xml:space="preserve">TRUXNOW</t>
  </si>
  <si>
    <t xml:space="preserve">TruxNow dump truck fuel blog (low reliability)</t>
  </si>
  <si>
    <t xml:space="preserve">TruxNow</t>
  </si>
  <si>
    <t xml:space="preserve">https://www.truxnow.com/blog/dump-truck-fuel-consumption</t>
  </si>
  <si>
    <t xml:space="preserve">Class 8 dump ~3.2 / 6.2 gal/hr</t>
  </si>
  <si>
    <t xml:space="preserve">CAT-GR-PG</t>
  </si>
  <si>
    <t xml:space="preserve">Cat 140 (cat.com), 160 (Milton Cat), 16 (cat.com) grader pages</t>
  </si>
  <si>
    <t xml:space="preserve">https://www.cat.com/en_US/products/new/equipment/motor-graders/motor-graders/18346813.html</t>
  </si>
  <si>
    <t xml:space="preserve">Moldboard, weight, gear speeds</t>
  </si>
  <si>
    <t xml:space="preserve">CAT-CMP-PG</t>
  </si>
  <si>
    <t xml:space="preserve">Cat compactor pages (CS34 Toromont, CS44B, CS56B Cleveland Bros, CP56B, CS10 GC, CB2.7, CB10, CW34)</t>
  </si>
  <si>
    <t xml:space="preserve">https://www.cat.com/en_US/products/new/equipment/compactors/vibratory-soil-compactors/18558720.html</t>
  </si>
  <si>
    <t xml:space="preserve">Drum widths, weights, max speeds</t>
  </si>
  <si>
    <t xml:space="preserve">RB-HMA</t>
  </si>
  <si>
    <t xml:space="preserve">Roads &amp; Bridges: Compacting HMA pavements Part II</t>
  </si>
  <si>
    <t xml:space="preserve">Roads &amp; Bridges</t>
  </si>
  <si>
    <t xml:space="preserve">https://www.roadsbridges.com/compacting-hot-mix-asphalt-pavements-part-ii</t>
  </si>
  <si>
    <t xml:space="preserve">HMA roller working speeds 2.5-4 mph</t>
  </si>
  <si>
    <t xml:space="preserve">WN-WP1550</t>
  </si>
  <si>
    <t xml:space="preserve">Wacker Neuson WP1550AW plate (Cleveland Bros)</t>
  </si>
  <si>
    <t xml:space="preserve">Wacker Neuson</t>
  </si>
  <si>
    <t xml:space="preserve">https://www.clevelandbrothers.com/products/753750-wp-1550aw</t>
  </si>
  <si>
    <t xml:space="preserve">19.5 in, 100 ft/min, 9,750 ft2/hr, 194 lb</t>
  </si>
  <si>
    <t xml:space="preserve">WN-BS60</t>
  </si>
  <si>
    <t xml:space="preserve">Wacker Neuson BS60-4As rammer data sheet</t>
  </si>
  <si>
    <t xml:space="preserve">https://wackerneuson.com/media/contentserv/464010.pdf</t>
  </si>
  <si>
    <t xml:space="preserve">28.9 ft/min, ~1,590 ft2/hr, 0.26 gal/hr, 159 lb</t>
  </si>
  <si>
    <t xml:space="preserve">GEN-SHEETS</t>
  </si>
  <si>
    <t xml:space="preserve">Generator spec sheets: Atlas Copco QAS 25-45/150-200/250-330/625; Generac MDG75/100/150/250</t>
  </si>
  <si>
    <t xml:space="preserve">Atlas Copco; Generac</t>
  </si>
  <si>
    <t xml:space="preserve">https://www.atlascopco.com/content/dam/atlas-copco/local-countries/united-states/documents/ptna-usa/generators/QAS%20150-200%20JD%20T4F%20Product%20Reference.pdf?.html</t>
  </si>
  <si>
    <t xml:space="preserve">gal/hr at 25/50/75/100% load</t>
  </si>
  <si>
    <t xml:space="preserve">COMP-SHEETS</t>
  </si>
  <si>
    <t xml:space="preserve">Compressor spec sheets: Sullair 185/375/1600H-900XHH; Doosan XHP750/1170; Leppo P185/HP1600</t>
  </si>
  <si>
    <t xml:space="preserve">Sullair; Doosan</t>
  </si>
  <si>
    <t xml:space="preserve">https://america.sullair.com/sites/default/files/2026-08/LIT_185%20Brochure_en.pdf</t>
  </si>
  <si>
    <t xml:space="preserve">Full-load gal/hr</t>
  </si>
  <si>
    <t xml:space="preserve">LT-SHEETS</t>
  </si>
  <si>
    <t xml:space="preserve">Light tower specs: Generac MLT6SMDS; Allmand NLV</t>
  </si>
  <si>
    <t xml:space="preserve">Generac; Allmand</t>
  </si>
  <si>
    <t xml:space="preserve">https://apelectric.com/content/PDF/Generac/mlt6smds_spec_sheet.pdf</t>
  </si>
  <si>
    <t xml:space="preserve">gal/hr lights-only to 100%</t>
  </si>
  <si>
    <t xml:space="preserve">AMT-5588</t>
  </si>
  <si>
    <t xml:space="preserve">AMT/Depco 5588-D6 6 in diesel trash pump spec</t>
  </si>
  <si>
    <t xml:space="preserve">Depco/AMT</t>
  </si>
  <si>
    <t xml:space="preserve">https://www.depcopump.com/datasheets/amt/5588-D6_Spec_Sheet.pdf</t>
  </si>
  <si>
    <t xml:space="preserve">20 gal tank / 12 hr = ~1.7 gal/hr (derived)</t>
  </si>
  <si>
    <t xml:space="preserve">CAT-PM620</t>
  </si>
  <si>
    <t xml:space="preserve">Cat PM620 key features</t>
  </si>
  <si>
    <t xml:space="preserve">2021</t>
  </si>
  <si>
    <t xml:space="preserve">https://www.zeppelin.cz/fileadmin/helios_files/JPG/ToM/Cold_Planer_PM/PM620/PM620-02B_QEHQ2722-01_Key_Features_2021.pdf</t>
  </si>
  <si>
    <t xml:space="preserve">79.1 in width, 630 hp</t>
  </si>
  <si>
    <t xml:space="preserve">SUNBELT-LLA</t>
  </si>
  <si>
    <t xml:space="preserve">Sunbelt Rentals electric scissor size bins (incl. Low-Level Access)</t>
  </si>
  <si>
    <t xml:space="preserve">LLA 1-5, 6-10, 11-15 ft bins</t>
  </si>
  <si>
    <t xml:space="preserve">#</t>
  </si>
  <si>
    <t xml:space="preserve">Area</t>
  </si>
  <si>
    <t xml:space="preserve">Gap / weakness</t>
  </si>
  <si>
    <t xml:space="preserve">Impact on catalog</t>
  </si>
  <si>
    <t xml:space="preserve">Recommended way to close</t>
  </si>
  <si>
    <t xml:space="preserve">Priority</t>
  </si>
  <si>
    <t xml:space="preserve">Cat Performance Handbook dozer push curves; D4 blade capacity; D5-D8 gear speeds and Komatsu dozer specs</t>
  </si>
  <si>
    <t xml:space="preserve">Dozer push/strip/spread rows are first-principles (C) using Cat SAE blade capacities; D4, D6 XE, wheel dozers stay D</t>
  </si>
  <si>
    <t xml:space="preserve">License Cat PHB Ed. 50 (s.16) or Komatsu Specs &amp; Application Handbook</t>
  </si>
  <si>
    <t xml:space="preserve">High</t>
  </si>
  <si>
    <t xml:space="preserve">Average haul road speeds (truck, ADT, scraper); Cat rimpull/retarder curves; Cat PHB s.8 fixed times</t>
  </si>
  <si>
    <t xml:space="preserve">All haul and scraper production rows blank until Settings B22-B27 are entered (capacities now filled)</t>
  </si>
  <si>
    <t xml:space="preserve">Cat PHB s.21 charts, Volvo application guides, or contractor GPS telematics; or estimator default speeds</t>
  </si>
  <si>
    <t xml:space="preserve">Mini (1-2, 5-6 t) and 9-10 t, 45-50 t bucket ranges; Cat 320/336/352 bucket tables; hoe bucket for backhoes; Peurifoy swing-depth table; Cat cycle charts; cycle time above 2.5 CY</t>
  </si>
  <si>
    <t xml:space="preserve">Those rows stay D; large-bucket rows use the 15 s FM cycle (optimistic)</t>
  </si>
  <si>
    <t xml:space="preserve">Dealer bucket charts; Cat spec PDFs; license Peurifoy / Cat PHB s.5</t>
  </si>
  <si>
    <t xml:space="preserve">Trencher LF/hr, saw-cut LF/hr, breaker CY/hr, drilling ft/hr, buggy, laser screed, proof-roll, sweeper, rammer</t>
  </si>
  <si>
    <t xml:space="preserve">Those rows are D</t>
  </si>
  <si>
    <t xml:space="preserve">RSMeans crew daily outputs (license); manufacturer data; IntelCost historical jobs</t>
  </si>
  <si>
    <t xml:space="preserve">RSMeans daily outputs; TxDOT CTR 0-4416-1 measured rates (blocked)</t>
  </si>
  <si>
    <t xml:space="preserve">No crew-level cross-check beyond DOT tables</t>
  </si>
  <si>
    <t xml:space="preserve">RSMeans license; retrieve CTR 0-4416-1</t>
  </si>
  <si>
    <t xml:space="preserve">Owned rates</t>
  </si>
  <si>
    <t xml:space="preserve">USACE EP 1110-1-8 regional dollar tables (12 regions) and Local Area Factors</t>
  </si>
  <si>
    <t xml:space="preserve">No ownership/operating split; no regional owned rates</t>
  </si>
  <si>
    <t xml:space="preserve">Download EP 1110-1-8 Vols 1-12 from nww.usace.army.mil when reachable</t>
  </si>
  <si>
    <t xml:space="preserve">EquipmentWatch / Blue Book (subscription)</t>
  </si>
  <si>
    <t xml:space="preserve">No owned rates for classes FEMA lacks (scissors, telescopic booms, ADTs, rigid trucks, many attachments)</t>
  </si>
  <si>
    <t xml:space="preserve">EquipmentWatch subscription</t>
  </si>
  <si>
    <t xml:space="preserve">FEMA rows not reliably extracted (8573 Cat 450, water trucks 8780/8781/8614, trash pumps 8465-8468, distributors 8580-8583, sweepers, welders, hydroseeders, trenchers 8650-8653, many codes listed as 'Rate not captured')</t>
  </si>
  <si>
    <t xml:space="preserve">Those rows carry FEMA_code with blank rate (D)</t>
  </si>
  <si>
    <t xml:space="preserve">Open the official FEMA 2025 PDF/XLSX and key the missing rows</t>
  </si>
  <si>
    <t xml:space="preserve">FEMA ⚠ suspect values (generators 17-45 kW non-monotonic; pickups non-monotonic; BW120 &lt; BW100; 13 CY mixer 3x 11 CY; pumps $3.86-5.35/hr; 12 in pump $4.75; 125 ft boom; V120 trencher $286; 19 in chipper &lt; 15 in; 130 CFM &gt; 175 CFM)</t>
  </si>
  <si>
    <t xml:space="preserve">Kept as published and flagged</t>
  </si>
  <si>
    <t xml:space="preserve">Verify each against the FEMA PDF before loading to production</t>
  </si>
  <si>
    <t xml:space="preserve">Caltrans 2026-27 dollar rates (columns separated in extraction)</t>
  </si>
  <si>
    <t xml:space="preserve">Second owned-rate source not used</t>
  </si>
  <si>
    <t xml:space="preserve">Re-extract Caltrans book with a table-aware PDF tool</t>
  </si>
  <si>
    <t xml:space="preserve">Rental</t>
  </si>
  <si>
    <t xml:space="preserve">Coastal / Sun Belt coverage: no TX, CA, FL 2025-2026 bare earthwork rate sheets; nationals behind login</t>
  </si>
  <si>
    <t xml:space="preserve">Rental medians lean Midwest/Mountain West</t>
  </si>
  <si>
    <t xml:space="preserve">Quote survey (URI, Sunbelt, Herc, H&amp;E, EquipmentShare) in 3-4 coastal metros</t>
  </si>
  <si>
    <t xml:space="preserve">Scrapers, D7-D11 (D9+ quote only), 65 t+ excavators, graders (Wheeler only), rigid trucks, bare dump trucks, carry-deck cranes, 47-63 m boom pumps, bucket trucks, welders &gt;300 A, message boards, scaffolding systems, spider lifts (COSTARS 'atrium' only)</t>
  </si>
  <si>
    <t xml:space="preserve">Single-source (B) or blank (D)</t>
  </si>
  <si>
    <t xml:space="preserve">Dealer quotes; ARA/Rouse data</t>
  </si>
  <si>
    <t xml:space="preserve">Aerial lift rates partly 2022-2024 (BigRentz Dec 2022; COSTARS 2023-24 contract caps)</t>
  </si>
  <si>
    <t xml:space="preserve">Aerial medians likely understate 2026 rates</t>
  </si>
  <si>
    <t xml:space="preserve">2026 quotes from 2+ national renters</t>
  </si>
  <si>
    <t xml:space="preserve">Damage waiver % for Sunbelt/Herc/H&amp;E not confirmed; 10-16% rests on DOZR + Wheeler</t>
  </si>
  <si>
    <t xml:space="preserve">Add-on % is indicative</t>
  </si>
  <si>
    <t xml:space="preserve">Read current rental contracts</t>
  </si>
  <si>
    <t xml:space="preserve">Low</t>
  </si>
  <si>
    <t xml:space="preserve">Fuel</t>
  </si>
  <si>
    <t xml:space="preserve">No gal/hr for highway dump trucks (only a low-reliability blog 3.2/6.2), 2-4 in trash pumps, aerial lifts, RT forklifts, cranes, concrete pumps, cold planers, many compact machines; generators &gt;500 kW and &lt;20 kW; compressor part-load</t>
  </si>
  <si>
    <t xml:space="preserve">Fuel blank, HP-derived (C) or load-fraction assumption</t>
  </si>
  <si>
    <t xml:space="preserve">Manufacturer spec sheets; telematics</t>
  </si>
  <si>
    <t xml:space="preserve">Cat VisionLink oddities: 308 CR below 305 CR; TL1255 below TL642; scraper low/high inverted (627K, 637K, 657)</t>
  </si>
  <si>
    <t xml:space="preserve">Kept as published; flagged</t>
  </si>
  <si>
    <t xml:space="preserve">Cross-check Cat PHB Ed. 50 fuel tables</t>
  </si>
  <si>
    <t xml:space="preserve">FEMA embedded diesel price not published; EIA 2025 avg assumed</t>
  </si>
  <si>
    <t xml:space="preserve">Ex-fuel rates depend on assumption (&lt;1% sensitivity per notes)</t>
  </si>
  <si>
    <t xml:space="preserve">Ask FEMA/EquipmentWatch for fuel basis</t>
  </si>
  <si>
    <t xml:space="preserve">Taxonomy</t>
  </si>
  <si>
    <t xml:space="preserve">Specs missing: blade capacities, many operating weights/widths (wheel dozers, ADTs, rigid trucks, scrapers, cranes), tower/spider/knuckle crane classes, hammer energy classes, drill rig classes, HDD/vac-ex/pipe-burst sizes, heaters/dehumidifiers/barricades, trench box depth ratings</t>
  </si>
  <si>
    <t xml:space="preserve">Transport class often defaulted; some rows lack defining spec values</t>
  </si>
  <si>
    <t xml:space="preserve">OEM spec sheets (Cat, Komatsu, Deere, Volvo, JLG/Genie, Manitowoc/Liebherr)</t>
  </si>
  <si>
    <t xml:space="preserve">Caltrans size bands after LEADS section truncated; USACE category list not verified</t>
  </si>
  <si>
    <t xml:space="preserve">Some band labels unverified</t>
  </si>
  <si>
    <t xml:space="preserve">Re-extract Caltrans 26v3; obtain USACE EP</t>
  </si>
  <si>
    <t xml:space="preserve">Mob/Demob</t>
  </si>
  <si>
    <t xml:space="preserve">No load/unload hours, truck+driver $/hr, tractor+lowboy tare weights, crane assembly hours/truckloads, verified rental delivery fees by size</t>
  </si>
  <si>
    <t xml:space="preserve">Mob default excludes load/unload; legal-vs-permit split for 20-30 t is 'maybe'</t>
  </si>
  <si>
    <t xml:space="preserve">Hauler and crane-rental quotes; OEM transport manuals</t>
  </si>
  <si>
    <t xml:space="preserve">Haul rates from one trade publisher (OTrucking) with internal inconsistencies; permits verified only for Texas</t>
  </si>
  <si>
    <t xml:space="preserve">Per-mile defaults indicative</t>
  </si>
  <si>
    <t xml:space="preserve">2-3 hauler quotes per transport class; state permit schedules</t>
  </si>
  <si>
    <t xml:space="preserve">RSMeans 015433 equipment index for one state only (secondary copy); Blue Book table undated; no ARA/Rouse regional data</t>
  </si>
  <si>
    <t xml:space="preserve">0.85-1.15 band is inference</t>
  </si>
  <si>
    <t xml:space="preserve">License RSMeans CCI; EquipmentWatch regional table</t>
  </si>
  <si>
    <t xml:space="preserve">No sourced minimum rental periods for most non-crane classes; no dewatering pump-hour guidance; no AWP lift-days norms</t>
  </si>
  <si>
    <t xml:space="preserve">Duration norms are partly inference (C)</t>
  </si>
  <si>
    <t xml:space="preserve">Rental contracts; IntelCost historical jobs</t>
  </si>
  <si>
    <t xml:space="preserve">Live counts (from Equipment / Production)</t>
  </si>
  <si>
    <t xml:space="preserve">Equipment rows with rental confidence D</t>
  </si>
  <si>
    <t xml:space="preserve">Equipment rows with owned confidence D</t>
  </si>
  <si>
    <t xml:space="preserve">Equipment rows with any 'Needs rate' flag</t>
  </si>
  <si>
    <t xml:space="preserve">Equipment rows flagged FEMA ⚠</t>
  </si>
  <si>
    <t xml:space="preserve">Equipment rows needing fuel gal/hr</t>
  </si>
  <si>
    <t xml:space="preserve">Equipment rows flagged non-monotonic</t>
  </si>
  <si>
    <t xml:space="preserve">Production rows at D (no value yet)</t>
  </si>
  <si>
    <t xml:space="preserve">Settings - every derived formula in this workbook reads these cells. Blue = editable input.</t>
  </si>
  <si>
    <t xml:space="preserve">Edit only column B. Leaving a 'NOT IN NOTES' cell blank keeps the dependent rows blank (confidence D) rather than inventing a value.</t>
  </si>
  <si>
    <t xml:space="preserve">Setting</t>
  </si>
  <si>
    <t xml:space="preserve">Source / note</t>
  </si>
  <si>
    <t xml:space="preserve">Fuel price, diesel, user/job ($/gal)</t>
  </si>
  <si>
    <t xml:space="preserve">EIA US avg on-highway diesel, week of Oct 19 2026 (EIA-GDU). Replace with local/off-road price. [EIA-GDU]</t>
  </si>
  <si>
    <t xml:space="preserve">Diesel price used for FEMA fuel back-out ($/gal)</t>
  </si>
  <si>
    <t xml:space="preserve">EIA 2025 annual avg US No.2 diesel retail. FEMA does not publish its fuel basis; 2024 avg 3.760 is the sensitivity. [EIA-HIST]</t>
  </si>
  <si>
    <t xml:space="preserve">Default mob/demob distance (one-way miles)</t>
  </si>
  <si>
    <t xml:space="preserve">Design default chosen by the user. Drives Default_mob/demob on Equipment.</t>
  </si>
  <si>
    <t xml:space="preserve">Job efficiency E (50-min hour)</t>
  </si>
  <si>
    <t xml:space="preserve">FM 5-434 well-managed job 50/60 = 0.83. Calculated production rows multiply by this cell. [FM5434]</t>
  </si>
  <si>
    <t xml:space="preserve">Equipment location factor (bare rate)</t>
  </si>
  <si>
    <t xml:space="preserve">Default 1.00; suggested clamp 0.85-1.15 lower 48 (inference). See Location sheet. Do NOT use the labor factor.</t>
  </si>
  <si>
    <t xml:space="preserve">Fuel price, gasoline, user/job ($/gal)</t>
  </si>
  <si>
    <t xml:space="preserve">EIA US avg regular gasoline, week of Oct 19 2026. [EIA-GDU]</t>
  </si>
  <si>
    <t xml:space="preserve">Gasoline price used for FEMA back-out ($/gal)</t>
  </si>
  <si>
    <t xml:space="preserve">NOT IN NOTES (no 2025 gasoline annual avg gathered). Left blank, so gas-fuelled FEMA rows show no ex-fuel rate. Enter a value to activate.</t>
  </si>
  <si>
    <t xml:space="preserve">Diesel fuel factor, full load (gal per bhp-hr)</t>
  </si>
  <si>
    <t xml:space="preserve">USACE EP 1110-1-8: 0.34 lb/bhp-hr / 7 lb/gal. [USACE-EP]</t>
  </si>
  <si>
    <t xml:space="preserve">Gasoline fuel factor, full load (gal per bhp-hr)</t>
  </si>
  <si>
    <t xml:space="preserve">USACE EP 1110-1-8: 0.55 lb/bhp-hr / 6 lb/gal. [USACE-EP]</t>
  </si>
  <si>
    <t xml:space="preserve">Load factor - low</t>
  </si>
  <si>
    <t xml:space="preserve">Low end of 0.35-0.60 typical (owned_rates notes, derived from Cat tables). [USACE-EP; CATFUEL22]</t>
  </si>
  <si>
    <t xml:space="preserve">Load factor - medium</t>
  </si>
  <si>
    <t xml:space="preserve">Implied D6 average: Cat D6 medium 4.82 gal/hr / (215 hp x 0.0486) = 0.46. [CATFUEL22; USACE-EP]</t>
  </si>
  <si>
    <t xml:space="preserve">Load factor - high</t>
  </si>
  <si>
    <t xml:space="preserve">High end of 0.35-0.60 typical.</t>
  </si>
  <si>
    <t xml:space="preserve">Week / day rental multiplier (derivation default)</t>
  </si>
  <si>
    <t xml:space="preserve">Catalog default: week = 3.0 x day (Cat/Alta dealer formula pricing observed 2.9-3.0). [W25; B25]</t>
  </si>
  <si>
    <t xml:space="preserve">4-week / week rental multiplier (derivation default)</t>
  </si>
  <si>
    <t xml:space="preserve">Catalog default: 4-week = 2.9 x week (dealer sheets 2.9-3.0; Columbus 2.5). [W25; B25; C25]</t>
  </si>
  <si>
    <t xml:space="preserve">Demob / mob factor</t>
  </si>
  <si>
    <t xml:space="preserve">Demob defaults to the same haul as mob; stored separately so it can differ. [OTR-LOW]</t>
  </si>
  <si>
    <t xml:space="preserve">Permit states crossed (default)</t>
  </si>
  <si>
    <t xml:space="preserve">Used by Mob_Demob permit term.</t>
  </si>
  <si>
    <t xml:space="preserve">Production speed inputs</t>
  </si>
  <si>
    <t xml:space="preserve">Haul speed, on-road dump truck LOADED (mph)</t>
  </si>
  <si>
    <t xml:space="preserve">NOT SOURCED - enter. specs_fill gives only top speeds (Cat 725 34 mph etc.) and one rimpull worked example (loaded +2% -&gt; 31 mph max x 0.65-1.19 average factor); no average haul speed basis. Blank = haul rows show D.</t>
  </si>
  <si>
    <t xml:space="preserve">Haul speed, on-road dump truck EMPTY (mph)</t>
  </si>
  <si>
    <t xml:space="preserve">NOT IN NOTES - enter.</t>
  </si>
  <si>
    <t xml:space="preserve">Haul speed, ADT / rigid LOADED (mph)</t>
  </si>
  <si>
    <t xml:space="preserve">NOT SOURCED - enter. Cat PHB s.21 rimpull charts not retrieved; top speeds 34-49 mph are maxima, not averages.</t>
  </si>
  <si>
    <t xml:space="preserve">Haul speed, ADT / rigid EMPTY (mph)</t>
  </si>
  <si>
    <t xml:space="preserve">Scraper haul speed LOADED (mph)</t>
  </si>
  <si>
    <t xml:space="preserve">NOT SOURCED - enter. Cat loaded top speeds 33-34.7 mph are maxima, not cycle averages; empty speed not published.</t>
  </si>
  <si>
    <t xml:space="preserve">Scraper return speed EMPTY (mph)</t>
  </si>
  <si>
    <t xml:space="preserve">Dozer forward (dozing) speed (mph)</t>
  </si>
  <si>
    <t xml:space="preserve">KSU CE419 Ch4.2 Example 4-6: 4.0 km/h = 2.49 mph. [KSU-4]</t>
  </si>
  <si>
    <t xml:space="preserve">Dozer return (reverse) speed (mph)</t>
  </si>
  <si>
    <t xml:space="preserve">KSU CE419 Ch4.2 Example 4-6: 8 km/h = 4.97 mph. [KSU-4]</t>
  </si>
  <si>
    <t xml:space="preserve">Dozer fixed time per cycle (min)</t>
  </si>
  <si>
    <t xml:space="preserve">KSU CE419 Ch4.2 Example 4-6. [KSU-4]</t>
  </si>
  <si>
    <t xml:space="preserve">Compressor fuel: low as fraction of full-load gal/hr</t>
  </si>
  <si>
    <t xml:space="preserve">Assumption: notes say typical jobsite load ~50-70% of full-load gal/hr (not published). [COMP-SHEETS inference]</t>
  </si>
  <si>
    <t xml:space="preserve">Compressor fuel: medium as fraction of full-load gal/hr</t>
  </si>
  <si>
    <t xml:space="preserve">Assumption within the 50-70% band (midpoint).</t>
  </si>
  <si>
    <t xml:space="preserve">Compressor fuel: high as fraction of full-load gal/hr</t>
  </si>
  <si>
    <t xml:space="preserve">Full load as published (upper bound).</t>
  </si>
  <si>
    <t xml:space="preserve">Scraper LCY per heaped yd3 of bowl</t>
  </si>
  <si>
    <t xml:space="preserve">FM 5-434 Cat 621B example: 20 LCY per load from a 24 yd3 heaped bowl = 0.833 (USMC caps 621-class at 22 CY). [FM5434; USMC-PE]</t>
  </si>
  <si>
    <t xml:space="preserve">Material weight for payload limit (lb per LCY)</t>
  </si>
  <si>
    <t xml:space="preserve">FM 5-434 standard material weight behind the dozer curves. Change for heavy material. [FM5434]</t>
  </si>
  <si>
    <t xml:space="preserve">Truck/ADT loading: LCY per loader pass</t>
  </si>
  <si>
    <t xml:space="preserve">Open Exam Prep example: 3 LCY bucket x 0.90 fill = 2.7 LCY per pass. [OEP]</t>
  </si>
  <si>
    <t xml:space="preserve">Truck/ADT loading: minutes per pass</t>
  </si>
  <si>
    <t xml:space="preserve">Open Exam Prep example: 0.5 min excavator cycle. [OEP]</t>
  </si>
</sst>
</file>

<file path=xl/styles.xml><?xml version="1.0" encoding="utf-8"?>
<styleSheet xmlns="http://schemas.openxmlformats.org/spreadsheetml/2006/main">
  <numFmts count="12">
    <numFmt numFmtId="164" formatCode="General"/>
    <numFmt numFmtId="165" formatCode="#,##0"/>
    <numFmt numFmtId="166" formatCode="\$#,##0;&quot;($&quot;#,##0\);\-"/>
    <numFmt numFmtId="167" formatCode="\$#,##0.00;&quot;($&quot;#,##0.00\);\-"/>
    <numFmt numFmtId="168" formatCode="0.00"/>
    <numFmt numFmtId="169" formatCode="#,##0.0"/>
    <numFmt numFmtId="170" formatCode="0"/>
    <numFmt numFmtId="171" formatCode="0.0"/>
    <numFmt numFmtId="172" formatCode="\$0.000"/>
    <numFmt numFmtId="173" formatCode="0.000"/>
    <numFmt numFmtId="174" formatCode="\$#,##0.000"/>
    <numFmt numFmtId="175" formatCode="0.0000"/>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name val="Arial"/>
      <family val="0"/>
      <charset val="1"/>
    </font>
    <font>
      <b val="true"/>
      <sz val="11"/>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sz val="9"/>
      <name val="Arial"/>
      <family val="0"/>
      <charset val="1"/>
    </font>
    <font>
      <sz val="9"/>
      <color rgb="FF0000FF"/>
      <name val="Arial"/>
      <family val="0"/>
      <charset val="1"/>
    </font>
    <font>
      <sz val="10"/>
      <name val="Arial"/>
      <family val="2"/>
    </font>
    <font>
      <i val="true"/>
      <sz val="9"/>
      <name val="Arial"/>
      <family val="0"/>
      <charset val="1"/>
    </font>
    <font>
      <b val="true"/>
      <sz val="12"/>
      <name val="Arial"/>
      <family val="0"/>
      <charset val="1"/>
    </font>
    <font>
      <b val="true"/>
      <sz val="9"/>
      <name val="Arial"/>
      <family val="0"/>
      <charset val="1"/>
    </font>
    <font>
      <sz val="10"/>
      <color rgb="FF000000"/>
      <name val="Arial"/>
      <family val="0"/>
      <charset val="1"/>
    </font>
    <font>
      <b val="true"/>
      <sz val="10"/>
      <color rgb="FFC00000"/>
      <name val="Arial"/>
      <family val="0"/>
      <charset val="1"/>
    </font>
    <font>
      <u val="single"/>
      <sz val="9"/>
      <color rgb="FF0563C1"/>
      <name val="Arial"/>
      <family val="0"/>
      <charset val="1"/>
    </font>
    <font>
      <b val="true"/>
      <sz val="10"/>
      <color rgb="FF0000FF"/>
      <name val="Arial"/>
      <family val="0"/>
      <charset val="1"/>
    </font>
  </fonts>
  <fills count="11">
    <fill>
      <patternFill patternType="none"/>
    </fill>
    <fill>
      <patternFill patternType="gray125"/>
    </fill>
    <fill>
      <patternFill patternType="solid">
        <fgColor rgb="FFC6EFCE"/>
        <bgColor rgb="FFDDEBF7"/>
      </patternFill>
    </fill>
    <fill>
      <patternFill patternType="solid">
        <fgColor rgb="FFDDEBF7"/>
        <bgColor rgb="FFF2F2F2"/>
      </patternFill>
    </fill>
    <fill>
      <patternFill patternType="solid">
        <fgColor rgb="FFFFE699"/>
        <bgColor rgb="FFFFF2CC"/>
      </patternFill>
    </fill>
    <fill>
      <patternFill patternType="solid">
        <fgColor rgb="FFD9D9D9"/>
        <bgColor rgb="FFDDEBF7"/>
      </patternFill>
    </fill>
    <fill>
      <patternFill patternType="solid">
        <fgColor rgb="FF1F3864"/>
        <bgColor rgb="FF333333"/>
      </patternFill>
    </fill>
    <fill>
      <patternFill patternType="solid">
        <fgColor rgb="FFF2F2F2"/>
        <bgColor rgb="FFDDEBF7"/>
      </patternFill>
    </fill>
    <fill>
      <patternFill patternType="solid">
        <fgColor rgb="FFFFFFFF"/>
        <bgColor rgb="FFF2F2F2"/>
      </patternFill>
    </fill>
    <fill>
      <patternFill patternType="solid">
        <fgColor rgb="FFFFF2CC"/>
        <bgColor rgb="FFFCE4D6"/>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9" fillId="6" borderId="0" xfId="0" applyFont="true" applyBorder="false" applyAlignment="true" applyProtection="false">
      <alignment horizontal="general" vertical="center" textRotation="0" wrapText="true" indent="0" shrinkToFit="false"/>
      <protection locked="true" hidden="false"/>
    </xf>
    <xf numFmtId="164" fontId="10" fillId="7" borderId="0" xfId="0" applyFont="true" applyBorder="false" applyAlignment="true" applyProtection="false">
      <alignment horizontal="general" vertical="top"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6" fontId="10" fillId="0" borderId="0" xfId="0" applyFont="true" applyBorder="false" applyAlignment="true" applyProtection="false">
      <alignment horizontal="general" vertical="top" textRotation="0" wrapText="false" indent="0" shrinkToFit="false"/>
      <protection locked="true" hidden="false"/>
    </xf>
    <xf numFmtId="167" fontId="10" fillId="0" borderId="0" xfId="0" applyFont="true" applyBorder="false" applyAlignment="true" applyProtection="false">
      <alignment horizontal="general" vertical="top" textRotation="0" wrapText="false" indent="0" shrinkToFit="false"/>
      <protection locked="true" hidden="false"/>
    </xf>
    <xf numFmtId="167" fontId="11" fillId="0" borderId="0" xfId="0" applyFont="true" applyBorder="fals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6" fontId="11" fillId="0" borderId="0" xfId="0" applyFont="true" applyBorder="false" applyAlignment="true" applyProtection="false">
      <alignment horizontal="general" vertical="top" textRotation="0" wrapText="false" indent="0" shrinkToFit="false"/>
      <protection locked="true" hidden="false"/>
    </xf>
    <xf numFmtId="164" fontId="10" fillId="8" borderId="0" xfId="0" applyFont="true" applyBorder="false" applyAlignment="true" applyProtection="false">
      <alignment horizontal="general" vertical="top" textRotation="0" wrapText="false" indent="0" shrinkToFit="false"/>
      <protection locked="true" hidden="false"/>
    </xf>
    <xf numFmtId="164" fontId="10" fillId="8" borderId="0" xfId="0" applyFont="true" applyBorder="false" applyAlignment="true" applyProtection="false">
      <alignment horizontal="general" vertical="top" textRotation="0" wrapText="true" indent="0" shrinkToFit="false"/>
      <protection locked="true" hidden="false"/>
    </xf>
    <xf numFmtId="164" fontId="11" fillId="9" borderId="0" xfId="0" applyFont="true" applyBorder="fals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4" fontId="10" fillId="9" borderId="0" xfId="0" applyFont="true" applyBorder="false" applyAlignment="true" applyProtection="false">
      <alignment horizontal="general" vertical="top" textRotation="0" wrapText="false" indent="0" shrinkToFit="false"/>
      <protection locked="true" hidden="false"/>
    </xf>
    <xf numFmtId="168" fontId="11" fillId="0" borderId="0" xfId="0" applyFont="true" applyBorder="false" applyAlignment="true" applyProtection="false">
      <alignment horizontal="general" vertical="top" textRotation="0" wrapText="true" indent="0" shrinkToFit="false"/>
      <protection locked="true" hidden="false"/>
    </xf>
    <xf numFmtId="168" fontId="10"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7" fontId="10" fillId="0" borderId="0" xfId="0" applyFont="true" applyBorder="false" applyAlignment="true" applyProtection="false">
      <alignment horizontal="general" vertical="top" textRotation="0" wrapText="true" indent="0" shrinkToFit="false"/>
      <protection locked="true" hidden="false"/>
    </xf>
    <xf numFmtId="166" fontId="10" fillId="0" borderId="0" xfId="0" applyFont="true" applyBorder="false" applyAlignment="true" applyProtection="false">
      <alignment horizontal="general" vertical="top" textRotation="0" wrapText="true" indent="0" shrinkToFit="false"/>
      <protection locked="true" hidden="false"/>
    </xf>
    <xf numFmtId="167" fontId="11" fillId="0" borderId="0" xfId="0" applyFont="true" applyBorder="false" applyAlignment="true" applyProtection="false">
      <alignment horizontal="general" vertical="top" textRotation="0" wrapText="true" indent="0" shrinkToFit="false"/>
      <protection locked="true" hidden="false"/>
    </xf>
    <xf numFmtId="166" fontId="11"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9" borderId="0" xfId="0" applyFont="true" applyBorder="false" applyAlignment="false" applyProtection="false">
      <alignment horizontal="general" vertical="bottom" textRotation="0" wrapText="false" indent="0" shrinkToFit="false"/>
      <protection locked="true" hidden="false"/>
    </xf>
    <xf numFmtId="165" fontId="11" fillId="9" borderId="0" xfId="0" applyFont="true" applyBorder="false" applyAlignment="false" applyProtection="false">
      <alignment horizontal="general" vertical="bottom" textRotation="0" wrapText="false" indent="0" shrinkToFit="false"/>
      <protection locked="true" hidden="false"/>
    </xf>
    <xf numFmtId="170" fontId="11" fillId="9"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false" indent="0" shrinkToFit="false"/>
      <protection locked="true" hidden="false"/>
    </xf>
    <xf numFmtId="174" fontId="19" fillId="9" borderId="0" xfId="0" applyFont="true" applyBorder="false" applyAlignment="false" applyProtection="false">
      <alignment horizontal="general" vertical="bottom" textRotation="0" wrapText="false" indent="0" shrinkToFit="false"/>
      <protection locked="true" hidden="false"/>
    </xf>
    <xf numFmtId="165" fontId="19" fillId="9" borderId="0" xfId="0" applyFont="true" applyBorder="false" applyAlignment="false" applyProtection="false">
      <alignment horizontal="general" vertical="bottom" textRotation="0" wrapText="false" indent="0" shrinkToFit="false"/>
      <protection locked="true" hidden="false"/>
    </xf>
    <xf numFmtId="168" fontId="19" fillId="9" borderId="0" xfId="0" applyFont="true" applyBorder="false" applyAlignment="false" applyProtection="false">
      <alignment horizontal="general" vertical="bottom" textRotation="0" wrapText="false" indent="0" shrinkToFit="false"/>
      <protection locked="true" hidden="false"/>
    </xf>
    <xf numFmtId="174" fontId="19" fillId="10" borderId="0" xfId="0" applyFont="true" applyBorder="false" applyAlignment="false" applyProtection="false">
      <alignment horizontal="general" vertical="bottom" textRotation="0" wrapText="false" indent="0" shrinkToFit="false"/>
      <protection locked="true" hidden="false"/>
    </xf>
    <xf numFmtId="175" fontId="19" fillId="9" borderId="0" xfId="0" applyFont="true" applyBorder="false" applyAlignment="false" applyProtection="false">
      <alignment horizontal="general" vertical="bottom" textRotation="0" wrapText="false" indent="0" shrinkToFit="false"/>
      <protection locked="true" hidden="false"/>
    </xf>
    <xf numFmtId="170" fontId="19" fillId="9"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1" fontId="19" fillId="10" borderId="0" xfId="0" applyFont="true" applyBorder="false" applyAlignment="false" applyProtection="false">
      <alignment horizontal="general" vertical="bottom" textRotation="0" wrapText="false" indent="0" shrinkToFit="false"/>
      <protection locked="true" hidden="false"/>
    </xf>
    <xf numFmtId="173" fontId="19" fillId="9" borderId="0" xfId="0" applyFont="true" applyBorder="false" applyAlignment="false" applyProtection="false">
      <alignment horizontal="general" vertical="bottom" textRotation="0" wrapText="false" indent="0" shrinkToFit="false"/>
      <protection locked="true" hidden="false"/>
    </xf>
    <xf numFmtId="171" fontId="19" fillId="9"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FFE699"/>
          <bgColor rgb="FF000000"/>
        </patternFill>
      </fill>
    </dxf>
    <dxf>
      <fill>
        <patternFill patternType="solid">
          <fgColor rgb="FFC00000"/>
          <bgColor rgb="FF000000"/>
        </patternFill>
      </fill>
    </dxf>
    <dxf>
      <fill>
        <patternFill>
          <bgColor rgb="FFC6EFCE"/>
        </patternFill>
      </fill>
    </dxf>
    <dxf>
      <fill>
        <patternFill>
          <bgColor rgb="FFDDEBF7"/>
        </patternFill>
      </fill>
    </dxf>
    <dxf>
      <fill>
        <patternFill>
          <bgColor rgb="FFFFE699"/>
        </patternFill>
      </fill>
    </dxf>
    <dxf>
      <fill>
        <patternFill>
          <bgColor rgb="FFD9D9D9"/>
        </patternFill>
      </fill>
    </dxf>
    <dxf>
      <font>
        <b val="1"/>
        <color rgb="FFC00000"/>
      </font>
    </dxf>
    <dxf>
      <fill>
        <patternFill patternType="solid">
          <fgColor rgb="FFFFF2CC"/>
          <bgColor rgb="FF000000"/>
        </patternFill>
      </fill>
    </dxf>
    <dxf>
      <fill>
        <patternFill patternType="solid">
          <fgColor rgb="FF0563C1"/>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C6EFCE"/>
      <rgbColor rgb="FFFFE6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hyperlink" Target="https://www.fema.gov/sites/default/files/documents/fema_pa_schedule-equipment-rates_2025.pdf" TargetMode="External"/><Relationship Id="rId2" Type="http://schemas.openxmlformats.org/officeDocument/2006/relationships/hyperlink" Target="https://www.fema.gov/sr/node/500264" TargetMode="External"/><Relationship Id="rId3" Type="http://schemas.openxmlformats.org/officeDocument/2006/relationships/hyperlink" Target="https://emilms.fema.gov/is_1000/groups/247.html" TargetMode="External"/><Relationship Id="rId4" Type="http://schemas.openxmlformats.org/officeDocument/2006/relationships/hyperlink" Target="https://www.publications.usace.army.mil/Portals/76/Users/182/86/2486/EP%201110-1-8_RV1-12.pdf" TargetMode="External"/><Relationship Id="rId5" Type="http://schemas.openxmlformats.org/officeDocument/2006/relationships/hyperlink" Target="https://dot.ca.gov/-/media/dot-media/programs/construction/documents/equipment-rental-rates-and-labor-surcharge/book_26_27.pdf" TargetMode="External"/><Relationship Id="rId6" Type="http://schemas.openxmlformats.org/officeDocument/2006/relationships/hyperlink" Target="https://dot.ca.gov/-/media/dot-media/programs/construction/documents/equipment-rental-rates-and-labor-surcharge/book_26_27_intv2.pdf" TargetMode="External"/><Relationship Id="rId7" Type="http://schemas.openxmlformats.org/officeDocument/2006/relationships/hyperlink" Target="https://dot.ca.gov/-/media/dot-media/programs/construction/documents/equipment-rental-rates-and-labor-surcharge/book_26v3.pdf" TargetMode="External"/><Relationship Id="rId8" Type="http://schemas.openxmlformats.org/officeDocument/2006/relationships/hyperlink" Target="https://wheelercat.com/wp-content/uploads/2023/01/Cat-Performance-Handbook-from-VST-fuel-consumption-2022-12-09T21-20-09.pdf" TargetMode="External"/><Relationship Id="rId9" Type="http://schemas.openxmlformats.org/officeDocument/2006/relationships/hyperlink" Target="https://static1.squarespace.com/static/58877529414fb5283ed14a6b/t/58921922893fc04d5f058f32/1485969698763/Fuel+Table+-+Dozers.pdf" TargetMode="External"/><Relationship Id="rId10" Type="http://schemas.openxmlformats.org/officeDocument/2006/relationships/hyperlink" Target="https://wheelercat.com/wp-content/uploads/2025/03/Cat-Performance-Handbook-Edition-50-June-2022.pdf" TargetMode="External"/><Relationship Id="rId11" Type="http://schemas.openxmlformats.org/officeDocument/2006/relationships/hyperlink" Target="https://www.eia.gov/dnav/pet/hist/LeafHandler.ashx?n=PET&amp;s=EMD_EPD2D_PTE_NUS_DPG&amp;f=A" TargetMode="External"/><Relationship Id="rId12" Type="http://schemas.openxmlformats.org/officeDocument/2006/relationships/hyperlink" Target="https://www.eia.gov/petroleum/gasdiesel/" TargetMode="External"/><Relationship Id="rId13" Type="http://schemas.openxmlformats.org/officeDocument/2006/relationships/hyperlink" Target="https://equipmentwatch.com/resource/standby-rates/" TargetMode="External"/><Relationship Id="rId14" Type="http://schemas.openxmlformats.org/officeDocument/2006/relationships/hyperlink" Target="https://equipmentwatch.com/resource/calculating-time-basis-of-rates/" TargetMode="External"/><Relationship Id="rId15" Type="http://schemas.openxmlformats.org/officeDocument/2006/relationships/hyperlink" Target="https://equipmentwatch.com/resource/fhwa-rate/" TargetMode="External"/><Relationship Id="rId16" Type="http://schemas.openxmlformats.org/officeDocument/2006/relationships/hyperlink" Target="https://equipmentwatch.com/?p=30581" TargetMode="External"/><Relationship Id="rId17" Type="http://schemas.openxmlformats.org/officeDocument/2006/relationships/hyperlink" Target="https://wheelercat.com/wp-content/uploads/2025/03/2025-Construction-Equipment-Rental-Rates.pdf" TargetMode="External"/><Relationship Id="rId18" Type="http://schemas.openxmlformats.org/officeDocument/2006/relationships/hyperlink" Target="https://www.columbusequipment.com/wp-content/uploads/2025/09/CER-Rental-Rate-Sheet-2025_REVISED-6.25.pdf" TargetMode="External"/><Relationship Id="rId19" Type="http://schemas.openxmlformats.org/officeDocument/2006/relationships/hyperlink" Target="https://burris-media-cloud.s3.us-west-2.amazonaws.com/2025/03/Rental-Rate-Guide-Printable.pdf" TargetMode="External"/><Relationship Id="rId20" Type="http://schemas.openxmlformats.org/officeDocument/2006/relationships/hyperlink" Target="https://www.rtlequipment.com/fckimages/rtlequipment-RentalRateSheet-2025.pdf" TargetMode="External"/><Relationship Id="rId21" Type="http://schemas.openxmlformats.org/officeDocument/2006/relationships/hyperlink" Target="https://nuwayinc.com/Uploaded/Catalog/PDF/rentalrates_January2025.pdf" TargetMode="External"/><Relationship Id="rId22" Type="http://schemas.openxmlformats.org/officeDocument/2006/relationships/hyperlink" Target="https://ahearnrents.com/rates/" TargetMode="External"/><Relationship Id="rId23" Type="http://schemas.openxmlformats.org/officeDocument/2006/relationships/hyperlink" Target="https://dozr.com/blog/excavator-rental-cost" TargetMode="External"/><Relationship Id="rId24" Type="http://schemas.openxmlformats.org/officeDocument/2006/relationships/hyperlink" Target="https://dozr.com/blog/telehandler-rental-cost" TargetMode="External"/><Relationship Id="rId25" Type="http://schemas.openxmlformats.org/officeDocument/2006/relationships/hyperlink" Target="https://dozr.com/blog/dozer-rental-cost" TargetMode="External"/><Relationship Id="rId26" Type="http://schemas.openxmlformats.org/officeDocument/2006/relationships/hyperlink" Target="https://dozr.com/blog/skid-steer-rental-cost" TargetMode="External"/><Relationship Id="rId27" Type="http://schemas.openxmlformats.org/officeDocument/2006/relationships/hyperlink" Target="https://dozr.com/blog/scissor-lift-rental-cost" TargetMode="External"/><Relationship Id="rId28" Type="http://schemas.openxmlformats.org/officeDocument/2006/relationships/hyperlink" Target="https://dozr.com/blog/boom-lift-rental-cost" TargetMode="External"/><Relationship Id="rId29" Type="http://schemas.openxmlformats.org/officeDocument/2006/relationships/hyperlink" Target="https://www.rentd.com/air-compressor-rental/" TargetMode="External"/><Relationship Id="rId30" Type="http://schemas.openxmlformats.org/officeDocument/2006/relationships/hyperlink" Target="https://www.angi.com/articles/excavator-rental-prices.htm" TargetMode="External"/><Relationship Id="rId31" Type="http://schemas.openxmlformats.org/officeDocument/2006/relationships/hyperlink" Target="https://www.northtexascrane.com/siteart/pdf/2025-Crane-Rental-Rate-Sheet-1.pdf" TargetMode="External"/><Relationship Id="rId32" Type="http://schemas.openxmlformats.org/officeDocument/2006/relationships/hyperlink" Target="https://dependablecrane.com/pricing/" TargetMode="External"/><Relationship Id="rId33" Type="http://schemas.openxmlformats.org/officeDocument/2006/relationships/hyperlink" Target="https://centralfloridacraneservice.com/feeds/blog/crane-rental-rates-operator" TargetMode="External"/><Relationship Id="rId34" Type="http://schemas.openxmlformats.org/officeDocument/2006/relationships/hyperlink" Target="https://www.bigrentz.com/blog/crane-rental-cost" TargetMode="External"/><Relationship Id="rId35" Type="http://schemas.openxmlformats.org/officeDocument/2006/relationships/hyperlink" Target="https://concretepumpingohio.com/rental-rates/" TargetMode="External"/><Relationship Id="rId36" Type="http://schemas.openxmlformats.org/officeDocument/2006/relationships/hyperlink" Target="https://cceonlinenews.com/concrete/concrete-pump-rental-cost-usa/" TargetMode="External"/><Relationship Id="rId37" Type="http://schemas.openxmlformats.org/officeDocument/2006/relationships/hyperlink" Target="https://www.dli.mn.gov/business/employment-practices/prevailing-wage-region-1-minimum-truck-rental-rates" TargetMode="External"/><Relationship Id="rId38" Type="http://schemas.openxmlformats.org/officeDocument/2006/relationships/hyperlink" Target="https://dumptruckrates.com/trucks/tri-axle-dump-truck/" TargetMode="External"/><Relationship Id="rId39" Type="http://schemas.openxmlformats.org/officeDocument/2006/relationships/hyperlink" Target="https://www.thepricer.org/office-trailer-rental-costs/" TargetMode="External"/><Relationship Id="rId40" Type="http://schemas.openxmlformats.org/officeDocument/2006/relationships/hyperlink" Target="https://www.boomandbucket.com/es/blog/cost-of-storage-containers" TargetMode="External"/><Relationship Id="rId41" Type="http://schemas.openxmlformats.org/officeDocument/2006/relationships/hyperlink" Target="https://www.thepricer.org/temporary-fence-rental-cost/" TargetMode="External"/><Relationship Id="rId42" Type="http://schemas.openxmlformats.org/officeDocument/2006/relationships/hyperlink" Target="https://equipnearby.com/guides/generator-rental-guide/" TargetMode="External"/><Relationship Id="rId43" Type="http://schemas.openxmlformats.org/officeDocument/2006/relationships/hyperlink" Target="https://floridaairtool.com/rate-sheet/" TargetMode="External"/><Relationship Id="rId44" Type="http://schemas.openxmlformats.org/officeDocument/2006/relationships/hyperlink" Target="https://www.unitedrentals.com/legal/rental-service-terms-us" TargetMode="External"/><Relationship Id="rId45" Type="http://schemas.openxmlformats.org/officeDocument/2006/relationships/hyperlink" Target="https://www.dgs.internet.state.pa.us/COSTARSElecBiddAdmin/Supplier/DownloadCustomList/4586" TargetMode="External"/><Relationship Id="rId46" Type="http://schemas.openxmlformats.org/officeDocument/2006/relationships/hyperlink" Target="https://admin.ks.gov/media/cms/1d10fe2c-549f-493b-939a-45bd1482fc2d.pdf" TargetMode="External"/><Relationship Id="rId47" Type="http://schemas.openxmlformats.org/officeDocument/2006/relationships/hyperlink" Target="https://www.bigrentz.com/blog/scissor-lift-rental-cost" TargetMode="External"/><Relationship Id="rId48" Type="http://schemas.openxmlformats.org/officeDocument/2006/relationships/hyperlink" Target="https://www.bigrentz.com/blog/boom-lift-rental-cost" TargetMode="External"/><Relationship Id="rId49" Type="http://schemas.openxmlformats.org/officeDocument/2006/relationships/hyperlink" Target="https://scaffoldexchange.com/lifts-and-access/aerial-lift-rental-cost" TargetMode="External"/><Relationship Id="rId50" Type="http://schemas.openxmlformats.org/officeDocument/2006/relationships/hyperlink" Target="https://www.liftincorporated.adpearance.com/catalog/aerial-and-material-handling-equipment/scissor-lifts/slab-scissor-lifts" TargetMode="External"/><Relationship Id="rId51" Type="http://schemas.openxmlformats.org/officeDocument/2006/relationships/hyperlink" Target="https://lepporents.adpearance.com/catalog/access-equipment/boom-lifts" TargetMode="External"/><Relationship Id="rId52" Type="http://schemas.openxmlformats.org/officeDocument/2006/relationships/hyperlink" Target="https://cdn2.antbuildz.com/images/600%20Series%20Spec%20Sheet%20A9220%20Compliant.pdf" TargetMode="External"/><Relationship Id="rId53" Type="http://schemas.openxmlformats.org/officeDocument/2006/relationships/hyperlink" Target="https://www.jlg.com/en/directaccess/new-terminology-in-the-ansi-and-csa-standards" TargetMode="External"/><Relationship Id="rId54" Type="http://schemas.openxmlformats.org/officeDocument/2006/relationships/hyperlink" Target="https://vulcanhammer.net/wp-content/uploads/2017/01/fm5_434.pdf" TargetMode="External"/><Relationship Id="rId55" Type="http://schemas.openxmlformats.org/officeDocument/2006/relationships/hyperlink" Target="https://www.globalsecurity.org/military/library/policy/army/fm/5-434/chap8.pdf" TargetMode="External"/><Relationship Id="rId56" Type="http://schemas.openxmlformats.org/officeDocument/2006/relationships/hyperlink" Target="https://pdf4pro.com/view/soil-processing-and-compaction-sweethaven02-com-152702.html" TargetMode="External"/><Relationship Id="rId57" Type="http://schemas.openxmlformats.org/officeDocument/2006/relationships/hyperlink" Target="https://www.trngcmd.marines.mil/Portals/207/Docs/FLW/PRODUCTION%20ESTIMATIONS%20(Proposed%20Instructor%20Outline).pdf" TargetMode="External"/><Relationship Id="rId58" Type="http://schemas.openxmlformats.org/officeDocument/2006/relationships/hyperlink" Target="https://faculty.ksu.edu.sa/sites/default/files/2.CE419_Ch2_0.pdf" TargetMode="External"/><Relationship Id="rId59" Type="http://schemas.openxmlformats.org/officeDocument/2006/relationships/hyperlink" Target="https://faculty.ksu.edu.sa/sites/default/files/3.CE419-Ch3.1.pdf" TargetMode="External"/><Relationship Id="rId60" Type="http://schemas.openxmlformats.org/officeDocument/2006/relationships/hyperlink" Target="https://faculty.ksu.edu.sa/sites/default/files/4.CE419-Ch4.2.pdf" TargetMode="External"/><Relationship Id="rId61" Type="http://schemas.openxmlformats.org/officeDocument/2006/relationships/hyperlink" Target="https://fac.ksu.edu.sa/sites/default/files/Tutorial%203.pdf" TargetMode="External"/><Relationship Id="rId62" Type="http://schemas.openxmlformats.org/officeDocument/2006/relationships/hyperlink" Target="https://faculty.ksu.edu.sa/sites/default/files/Tutorial%205.pdf" TargetMode="External"/><Relationship Id="rId63" Type="http://schemas.openxmlformats.org/officeDocument/2006/relationships/hyperlink" Target="https://fac.ksu.edu.sa/sites/default/files/tutorial%206.pdf" TargetMode="External"/><Relationship Id="rId64" Type="http://schemas.openxmlformats.org/officeDocument/2006/relationships/hyperlink" Target="https://fac.ksu.edu.sa/sites/default/files/Tutorial%207.pdf" TargetMode="External"/><Relationship Id="rId65" Type="http://schemas.openxmlformats.org/officeDocument/2006/relationships/hyperlink" Target="https://fac.ksu.edu.sa/sites/default/files/list_of_equations_for_ce_417.pdf" TargetMode="External"/><Relationship Id="rId66" Type="http://schemas.openxmlformats.org/officeDocument/2006/relationships/hyperlink" Target="https://www.cat.com/en_US/articles/ci-articles/bucket-fill-factors.html" TargetMode="External"/><Relationship Id="rId67" Type="http://schemas.openxmlformats.org/officeDocument/2006/relationships/hyperlink" Target="https://www.cat.com/en_US/articles/for-owners/how-to-calculate-cat-wheel-loader-productivity.html" TargetMode="External"/><Relationship Id="rId68" Type="http://schemas.openxmlformats.org/officeDocument/2006/relationships/hyperlink" Target="https://cat.com/en_US/articles/for-owners/measure-your-motor-grader-productivity.html" TargetMode="External"/><Relationship Id="rId69" Type="http://schemas.openxmlformats.org/officeDocument/2006/relationships/hyperlink" Target="https://open-exam-prep.com/study-guides/pe-construction/operations-and-methods/equipment-selection-production" TargetMode="External"/><Relationship Id="rId70" Type="http://schemas.openxmlformats.org/officeDocument/2006/relationships/hyperlink" Target="https://www.geometrics.com/wp-content/uploads/2018/10/S-TR15.pdf" TargetMode="External"/><Relationship Id="rId71" Type="http://schemas.openxmlformats.org/officeDocument/2006/relationships/hyperlink" Target="https://web.mst.edu/rogersda/umrcourses/ge441/online_lectures/compaction/GE441-Lecture2-7.pdf" TargetMode="External"/><Relationship Id="rId72" Type="http://schemas.openxmlformats.org/officeDocument/2006/relationships/hyperlink" Target="https://catalog.jamiesonequipment.com/printitem/all-categories-vibrators-plate-compactor-vibrators/ate-compactors-tp-series-vibrator-plate-compactors/tp-1830h" TargetMode="External"/><Relationship Id="rId73" Type="http://schemas.openxmlformats.org/officeDocument/2006/relationships/hyperlink" Target="https://stormwater.com/bmps/article/13004765/how-to-select-a-soil-roller" TargetMode="External"/><Relationship Id="rId74" Type="http://schemas.openxmlformats.org/officeDocument/2006/relationships/hyperlink" Target="https://files.cpuc.ca.gov/Environment/info/aspen/elm/pea/vol8_apx_m_water_usage.pdf" TargetMode="External"/><Relationship Id="rId75" Type="http://schemas.openxmlformats.org/officeDocument/2006/relationships/hyperlink" Target="https://edurev.in/t/516184/Formula-Sheet-Construction-Methods" TargetMode="External"/><Relationship Id="rId76" Type="http://schemas.openxmlformats.org/officeDocument/2006/relationships/hyperlink" Target="https://civils.ai/free-construction-estimating-software/soil-bulking-swell-factor" TargetMode="External"/><Relationship Id="rId77" Type="http://schemas.openxmlformats.org/officeDocument/2006/relationships/hyperlink" Target="https://www.wisconsindot.gov/Documents/doing-bus/eng-consultants/cnslt-rsrces/tools/estimating/production-rate-table.pdf" TargetMode="External"/><Relationship Id="rId78" Type="http://schemas.openxmlformats.org/officeDocument/2006/relationships/hyperlink" Target="https://ftp.txdot.gov/pub/txdot/cst/cst-production-rates.pdf" TargetMode="External"/><Relationship Id="rId79" Type="http://schemas.openxmlformats.org/officeDocument/2006/relationships/hyperlink" Target="https://appstest.wsdot.wa.gov/publications/manuals/fulltext/M22-31/Appendix6.pdf" TargetMode="External"/><Relationship Id="rId80" Type="http://schemas.openxmlformats.org/officeDocument/2006/relationships/hyperlink" Target="https://connect.ncdot.gov/letting/Division%20Letting%20Resources/Contract%20Time%20Guidelines.pdf" TargetMode="External"/><Relationship Id="rId81" Type="http://schemas.openxmlformats.org/officeDocument/2006/relationships/hyperlink" Target="https://highways.dot.gov/sites/fhwa.dot.gov/files/docs/federal-lands/pddm/cfl/27321/cfl_guidelines.pdf" TargetMode="External"/><Relationship Id="rId82" Type="http://schemas.openxmlformats.org/officeDocument/2006/relationships/hyperlink" Target="https://www.superpave.psu.edu/assets/docs/2025/Constructing-Quality-Asphalt-Pavements-Checklist-Booklet-2025-FINAL.pdf" TargetMode="External"/><Relationship Id="rId83" Type="http://schemas.openxmlformats.org/officeDocument/2006/relationships/hyperlink" Target="https://www.asphaltinstitute.org/faq/how-many-rollers-are-required/" TargetMode="External"/><Relationship Id="rId84" Type="http://schemas.openxmlformats.org/officeDocument/2006/relationships/hyperlink" Target="https://www.cat.com/en_US/products/new/equipment/cold-planers/cold-planer/227227255583048.html" TargetMode="External"/><Relationship Id="rId85" Type="http://schemas.openxmlformats.org/officeDocument/2006/relationships/hyperlink" Target="https://www.forconstructionpros.com/concrete/article/21006661/placing-concrete-smarter" TargetMode="External"/><Relationship Id="rId86" Type="http://schemas.openxmlformats.org/officeDocument/2006/relationships/hyperlink" Target="https://www.concrete.org/portals/0/files/pdf/webinars/ws_S21_Connolly.pdf" TargetMode="External"/><Relationship Id="rId87" Type="http://schemas.openxmlformats.org/officeDocument/2006/relationships/hyperlink" Target="https://www.rermag.com/mag/article/20938274/trowel-power" TargetMode="External"/><Relationship Id="rId88" Type="http://schemas.openxmlformats.org/officeDocument/2006/relationships/hyperlink" Target="https://thedriller.com/articles/86303-bore-planning" TargetMode="External"/><Relationship Id="rId89" Type="http://schemas.openxmlformats.org/officeDocument/2006/relationships/hyperlink" Target="https://thedriller.com/articles/85848-what-size-hdd-rig" TargetMode="External"/><Relationship Id="rId90" Type="http://schemas.openxmlformats.org/officeDocument/2006/relationships/hyperlink" Target="https://www.gti.energy/wp-content/uploads/2019/04/08-KeyholeSpring2019-GTI-OTD-Vacuum-Excavation-Project-Update-Presentation.pdf" TargetMode="External"/><Relationship Id="rId91" Type="http://schemas.openxmlformats.org/officeDocument/2006/relationships/hyperlink" Target="https://www.cleaner.com/online_exclusives/2016/06/complementary_pipe_bursting_rigs_boost_contractors_productivity" TargetMode="External"/><Relationship Id="rId92" Type="http://schemas.openxmlformats.org/officeDocument/2006/relationships/hyperlink" Target="https://www.iaarc.org/publications/fulltext/An_integrated_approach_to_the_development_of_construction_site_crane_operations.PDF" TargetMode="External"/><Relationship Id="rId93" Type="http://schemas.openxmlformats.org/officeDocument/2006/relationships/hyperlink" Target="https://projul.com/blog/construction-heavy-haul-equipment-transport-guide/" TargetMode="External"/><Relationship Id="rId94" Type="http://schemas.openxmlformats.org/officeDocument/2006/relationships/hyperlink" Target="https://otrucking.com/resources/guides/lowboy-trucking-rates/" TargetMode="External"/><Relationship Id="rId95" Type="http://schemas.openxmlformats.org/officeDocument/2006/relationships/hyperlink" Target="https://otrucking.com/resources/guides/rgn-trailer-rates/" TargetMode="External"/><Relationship Id="rId96" Type="http://schemas.openxmlformats.org/officeDocument/2006/relationships/hyperlink" Target="https://otrucking.com/resources/guides/hotshot-trucking-rates-per-mile/" TargetMode="External"/><Relationship Id="rId97" Type="http://schemas.openxmlformats.org/officeDocument/2006/relationships/hyperlink" Target="https://www.dat.com/company/news-events/news-releases/dat-truckload-rates-rise-in-september-as-diesel-tops-6-a-gallon" TargetMode="External"/><Relationship Id="rId98" Type="http://schemas.openxmlformats.org/officeDocument/2006/relationships/hyperlink" Target="https://www.txdmv.gov/motor-carriers/oversize-overweight-permits/general-single-trip" TargetMode="External"/><Relationship Id="rId99" Type="http://schemas.openxmlformats.org/officeDocument/2006/relationships/hyperlink" Target="https://www.law.cornell.edu/cfr/text/23/658.17" TargetMode="External"/><Relationship Id="rId100" Type="http://schemas.openxmlformats.org/officeDocument/2006/relationships/hyperlink" Target="https://www.ritchiespecs.com/model/caterpillar-336d-l-hydraulic-excavator" TargetMode="External"/><Relationship Id="rId101" Type="http://schemas.openxmlformats.org/officeDocument/2006/relationships/hyperlink" Target="https://sv08data.dot.ca.gov/contractcost/memo.pdf" TargetMode="External"/><Relationship Id="rId102" Type="http://schemas.openxmlformats.org/officeDocument/2006/relationships/hyperlink" Target="https://www.cliffsnotes.com/study-notes/28519784" TargetMode="External"/><Relationship Id="rId103" Type="http://schemas.openxmlformats.org/officeDocument/2006/relationships/hyperlink" Target="https://www.gordian.com/resources/city-cost-index/" TargetMode="External"/><Relationship Id="rId104" Type="http://schemas.openxmlformats.org/officeDocument/2006/relationships/hyperlink" Target="https://cartermachinery.com/uncategorized/cat-dozers-new-names-same-great-performance/" TargetMode="External"/><Relationship Id="rId105" Type="http://schemas.openxmlformats.org/officeDocument/2006/relationships/hyperlink" Target="https://www.zieglercat.com/equipment/new/dozers" TargetMode="External"/><Relationship Id="rId106" Type="http://schemas.openxmlformats.org/officeDocument/2006/relationships/hyperlink" Target="https://www.cat.com/en_US/by-industry/cross-industry-resources/hauling.html" TargetMode="External"/><Relationship Id="rId107" Type="http://schemas.openxmlformats.org/officeDocument/2006/relationships/hyperlink" Target="https://www.bobcat.com/na/en/buying-resources/excavators/compact-excavator-buyers-guide/sizes-specifications" TargetMode="External"/><Relationship Id="rId108" Type="http://schemas.openxmlformats.org/officeDocument/2006/relationships/hyperlink" Target="https://www.unitedrentals.com/marketplace/equipment/earthmoving-equipment" TargetMode="External"/><Relationship Id="rId109" Type="http://schemas.openxmlformats.org/officeDocument/2006/relationships/hyperlink" Target="https://www.skidsteers.com/blog/skid-steer-sizes/" TargetMode="External"/><Relationship Id="rId110" Type="http://schemas.openxmlformats.org/officeDocument/2006/relationships/hyperlink" Target="https://www.allcrane.com/resources/case-study/article/all-terrain-crane-vs.-truck-crane-vs.-boom-truck" TargetMode="External"/><Relationship Id="rId111" Type="http://schemas.openxmlformats.org/officeDocument/2006/relationships/hyperlink" Target="https://www.putzmeister.com/web/middle-east/products/-/product-navigation/truck_mounted-concrete-pumps" TargetMode="External"/><Relationship Id="rId112" Type="http://schemas.openxmlformats.org/officeDocument/2006/relationships/hyperlink" Target="https://www.getonecrew.com/post/asphalt-milling-machine" TargetMode="External"/><Relationship Id="rId113" Type="http://schemas.openxmlformats.org/officeDocument/2006/relationships/hyperlink" Target="https://diesekogroup.com/vibratory-hammers/" TargetMode="External"/><Relationship Id="rId114" Type="http://schemas.openxmlformats.org/officeDocument/2006/relationships/hyperlink" Target="https://eiffeltrading.com/blog/post/eiffel-101-4-types-of-pile-driving-hammers" TargetMode="External"/><Relationship Id="rId115" Type="http://schemas.openxmlformats.org/officeDocument/2006/relationships/hyperlink" Target="https://epgtest.modot.org/files/a/a3/237.8_Contract_Time_Determination.pdf" TargetMode="External"/><Relationship Id="rId116" Type="http://schemas.openxmlformats.org/officeDocument/2006/relationships/hyperlink" Target="https://www.profileproducts.com/wp-content/uploads/2026/03/hydroseeder-calibration-sheet-800gal.pdf" TargetMode="External"/><Relationship Id="rId117" Type="http://schemas.openxmlformats.org/officeDocument/2006/relationships/hyperlink" Target="https://www.fjdynamics.com/blog/industry-insights-65/mini-excavator-rental-cost-539" TargetMode="External"/><Relationship Id="rId118" Type="http://schemas.openxmlformats.org/officeDocument/2006/relationships/hyperlink" Target="https://www.fhwa.dot.gov/construction/contracts/860822.cfm" TargetMode="External"/><Relationship Id="rId119" Type="http://schemas.openxmlformats.org/officeDocument/2006/relationships/hyperlink" Target="https://www.rermag.com/mag/article/20932580/all-over-the-place" TargetMode="External"/><Relationship Id="rId120" Type="http://schemas.openxmlformats.org/officeDocument/2006/relationships/hyperlink" Target="https://www.dot.state.oh.us/Divisions/ConstructionMgt/OnlineDocs/Specifications/2013CMS/600/624.htm" TargetMode="External"/><Relationship Id="rId121" Type="http://schemas.openxmlformats.org/officeDocument/2006/relationships/hyperlink" Target="https://asphaltcalculator.me/cost-estimator/equipment-rental" TargetMode="External"/><Relationship Id="rId122" Type="http://schemas.openxmlformats.org/officeDocument/2006/relationships/hyperlink" Target="https://library.ctr.utexas.edu/ctr-publications/0-4416-1.pdf" TargetMode="External"/><Relationship Id="rId123" Type="http://schemas.openxmlformats.org/officeDocument/2006/relationships/hyperlink" Target="https://www.dot.state.wy.us/files/live/sites/wydot/files/shared/Planning/Research/Rock%20Rippability.pdf" TargetMode="External"/><Relationship Id="rId124" Type="http://schemas.openxmlformats.org/officeDocument/2006/relationships/hyperlink" Target="https://www.constructionequipment.com/refine-set-and-speed-profitable-trencher-production" TargetMode="External"/><Relationship Id="rId125" Type="http://schemas.openxmlformats.org/officeDocument/2006/relationships/hyperlink" Target="https://www.sunbeltrentals.com/equipment-rental/0070025/19-electric-scissor-lift/" TargetMode="External"/><Relationship Id="rId126" Type="http://schemas.openxmlformats.org/officeDocument/2006/relationships/hyperlink" Target="https://faculty.kfupm.edu.sa/ce/nshayea/CE353-071/CE353CH4.pdf" TargetMode="External"/><Relationship Id="rId127" Type="http://schemas.openxmlformats.org/officeDocument/2006/relationships/hyperlink" Target="https://ascelibrary.com/doi/10.1061/9780784412480.079" TargetMode="External"/><Relationship Id="rId128" Type="http://schemas.openxmlformats.org/officeDocument/2006/relationships/hyperlink" Target="https://www.deere.com/assets/pdfs/common/products/sync/ME135PAJ-135-p-tier-excavator.pdf" TargetMode="External"/><Relationship Id="rId129" Type="http://schemas.openxmlformats.org/officeDocument/2006/relationships/hyperlink" Target="https://www.deere.com/assets/pdfs/common/products/sync/ME210PAU-210-p-tier-excavator.pdf" TargetMode="External"/><Relationship Id="rId130" Type="http://schemas.openxmlformats.org/officeDocument/2006/relationships/hyperlink" Target="https://www.deere.com/assets/pdfs/common/products/sync/ME345PAJ-345-p-tier-excavator.pdf" TargetMode="External"/><Relationship Id="rId131" Type="http://schemas.openxmlformats.org/officeDocument/2006/relationships/hyperlink" Target="https://www.deere.com/assets/pdfs/common/products/excavators/350-p-tier-mid-size-excavator-me350mau.pdf" TargetMode="External"/><Relationship Id="rId132" Type="http://schemas.openxmlformats.org/officeDocument/2006/relationships/hyperlink" Target="https://www.companywrench.com/PDF/KOMATSU_PC360LC-11_SPECS.pdf" TargetMode="External"/><Relationship Id="rId133" Type="http://schemas.openxmlformats.org/officeDocument/2006/relationships/hyperlink" Target="https://www.allmachines.com/excavators/komatsu-pc88mr-11" TargetMode="External"/><Relationship Id="rId134" Type="http://schemas.openxmlformats.org/officeDocument/2006/relationships/hyperlink" Target="https://www.deere.com/assets/pdfs/common/products/sync/DKAXG35-35G-compact-excavator.pdf" TargetMode="External"/><Relationship Id="rId135" Type="http://schemas.openxmlformats.org/officeDocument/2006/relationships/hyperlink" Target="https://www.deere.com/assets/pdfs/common/products/sync/DKCOMPREN-rental-product-comparison.pdf" TargetMode="External"/><Relationship Id="rId136" Type="http://schemas.openxmlformats.org/officeDocument/2006/relationships/hyperlink" Target="https://www.deere.com/assets/pdfs/common/industries/construction/john-deere-construction-equipment-fleet-sheet-dkeceflt.pdf" TargetMode="External"/><Relationship Id="rId137" Type="http://schemas.openxmlformats.org/officeDocument/2006/relationships/hyperlink" Target="https://www.cat.com/en_US/products/new/equipment/excavators/large-excavators/126440.html" TargetMode="External"/><Relationship Id="rId138" Type="http://schemas.openxmlformats.org/officeDocument/2006/relationships/hyperlink" Target="https://www.cat.com/en_US/products/new/equipment/dozers/large-dozers/115080.html" TargetMode="External"/><Relationship Id="rId139" Type="http://schemas.openxmlformats.org/officeDocument/2006/relationships/hyperlink" Target="https://www.cat.com/en_US/products/new/equipment/backhoe-loaders/center-pivot-backhoe-loaders/101260.html" TargetMode="External"/><Relationship Id="rId140" Type="http://schemas.openxmlformats.org/officeDocument/2006/relationships/hyperlink" Target="https://cat.com/en_US/products/new/equipment/wheel-loaders/medium-wheel-loaders/1000029532.html" TargetMode="External"/><Relationship Id="rId141" Type="http://schemas.openxmlformats.org/officeDocument/2006/relationships/hyperlink" Target="https://carletonequipment.com/products/bucket-heavy-duty-bobcat" TargetMode="External"/><Relationship Id="rId142" Type="http://schemas.openxmlformats.org/officeDocument/2006/relationships/hyperlink" Target="https://www.cat.com/en_US/products/new/equipment/wheel-tractor-scrapers/open-bowl-scrapers/125862.html" TargetMode="External"/><Relationship Id="rId143" Type="http://schemas.openxmlformats.org/officeDocument/2006/relationships/hyperlink" Target="https://www.cat.com/en_US/products/new/equipment/articulated-trucks/three-axle-articulated-trucks/1000032934.html" TargetMode="External"/><Relationship Id="rId144" Type="http://schemas.openxmlformats.org/officeDocument/2006/relationships/hyperlink" Target="https://volvoce.com/united-states/en-us/products/articulated-haulers" TargetMode="External"/><Relationship Id="rId145" Type="http://schemas.openxmlformats.org/officeDocument/2006/relationships/hyperlink" Target="https://www.customtruck.com/rental/vocational-trucks/dump-trucks/tandem-axle-16-cu-yd-rear-dump-truck/751-0200" TargetMode="External"/><Relationship Id="rId146" Type="http://schemas.openxmlformats.org/officeDocument/2006/relationships/hyperlink" Target="https://www.truxnow.com/blog/dump-truck-fuel-consumption" TargetMode="External"/><Relationship Id="rId147" Type="http://schemas.openxmlformats.org/officeDocument/2006/relationships/hyperlink" Target="https://www.cat.com/en_US/products/new/equipment/motor-graders/motor-graders/18346813.html" TargetMode="External"/><Relationship Id="rId148" Type="http://schemas.openxmlformats.org/officeDocument/2006/relationships/hyperlink" Target="https://www.cat.com/en_US/products/new/equipment/compactors/vibratory-soil-compactors/18558720.html" TargetMode="External"/><Relationship Id="rId149" Type="http://schemas.openxmlformats.org/officeDocument/2006/relationships/hyperlink" Target="https://www.roadsbridges.com/compacting-hot-mix-asphalt-pavements-part-ii" TargetMode="External"/><Relationship Id="rId150" Type="http://schemas.openxmlformats.org/officeDocument/2006/relationships/hyperlink" Target="https://www.clevelandbrothers.com/products/753750-wp-1550aw" TargetMode="External"/><Relationship Id="rId151" Type="http://schemas.openxmlformats.org/officeDocument/2006/relationships/hyperlink" Target="https://wackerneuson.com/media/contentserv/464010.pdf" TargetMode="External"/><Relationship Id="rId152" Type="http://schemas.openxmlformats.org/officeDocument/2006/relationships/hyperlink" Target="https://www.atlascopco.com/content/dam/atlas-copco/local-countries/united-states/documents/ptna-usa/generators/QAS%20150-200%20JD%20T4F%20Product%20Reference.pdf?.html" TargetMode="External"/><Relationship Id="rId153" Type="http://schemas.openxmlformats.org/officeDocument/2006/relationships/hyperlink" Target="https://america.sullair.com/sites/default/files/2026-08/LIT_185%20Brochure_en.pdf" TargetMode="External"/><Relationship Id="rId154" Type="http://schemas.openxmlformats.org/officeDocument/2006/relationships/hyperlink" Target="https://apelectric.com/content/PDF/Generac/mlt6smds_spec_sheet.pdf" TargetMode="External"/><Relationship Id="rId155" Type="http://schemas.openxmlformats.org/officeDocument/2006/relationships/hyperlink" Target="https://www.depcopump.com/datasheets/amt/5588-D6_Spec_Sheet.pdf" TargetMode="External"/><Relationship Id="rId156" Type="http://schemas.openxmlformats.org/officeDocument/2006/relationships/hyperlink" Target="https://www.zeppelin.cz/fileadmin/helios_files/JPG/ToM/Cold_Planer_PM/PM620/PM620-02B_QEHQ2722-01_Key_Features_2021.pdf" TargetMode="External"/><Relationship Id="rId157" Type="http://schemas.openxmlformats.org/officeDocument/2006/relationships/hyperlink" Target="https://www.sunbeltrentals.com/equipment-rental/0070025/19-electric-scissor-lift/" TargetMode="External"/><Relationship Id="rId158"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23.85" hidden="false" customHeight="false" outlineLevel="0" collapsed="false">
      <c r="A6" s="4" t="s">
        <v>5</v>
      </c>
      <c r="B6" s="5" t="s">
        <v>6</v>
      </c>
    </row>
    <row r="7" customFormat="false" ht="35.05" hidden="false" customHeight="false" outlineLevel="0" collapsed="false">
      <c r="A7" s="4" t="s">
        <v>7</v>
      </c>
      <c r="B7" s="5" t="s">
        <v>8</v>
      </c>
    </row>
    <row r="8" customFormat="false" ht="102.2" hidden="false" customHeight="false" outlineLevel="0" collapsed="false">
      <c r="A8" s="4" t="s">
        <v>9</v>
      </c>
      <c r="B8" s="5" t="s">
        <v>10</v>
      </c>
    </row>
    <row r="10" customFormat="false" ht="15" hidden="false" customHeight="false" outlineLevel="0" collapsed="false">
      <c r="A10" s="3" t="s">
        <v>11</v>
      </c>
    </row>
    <row r="11" customFormat="false" ht="15" hidden="false" customHeight="false" outlineLevel="0" collapsed="false">
      <c r="A11" s="4" t="s">
        <v>12</v>
      </c>
      <c r="B11" s="5" t="s">
        <v>13</v>
      </c>
    </row>
    <row r="12" customFormat="false" ht="15" hidden="false" customHeight="false" outlineLevel="0" collapsed="false">
      <c r="A12" s="4" t="s">
        <v>14</v>
      </c>
      <c r="B12" s="5" t="s">
        <v>15</v>
      </c>
    </row>
    <row r="13" customFormat="false" ht="23.85" hidden="false" customHeight="false" outlineLevel="0" collapsed="false">
      <c r="A13" s="4" t="s">
        <v>16</v>
      </c>
      <c r="B13" s="5" t="s">
        <v>17</v>
      </c>
    </row>
    <row r="14" customFormat="false" ht="23.85" hidden="false" customHeight="false" outlineLevel="0" collapsed="false">
      <c r="A14" s="4" t="s">
        <v>18</v>
      </c>
      <c r="B14" s="5" t="s">
        <v>19</v>
      </c>
    </row>
    <row r="15" customFormat="false" ht="15" hidden="false" customHeight="false" outlineLevel="0" collapsed="false">
      <c r="A15" s="4" t="s">
        <v>20</v>
      </c>
      <c r="B15" s="5" t="s">
        <v>21</v>
      </c>
    </row>
    <row r="16" customFormat="false" ht="23.85" hidden="false" customHeight="false" outlineLevel="0" collapsed="false">
      <c r="A16" s="4" t="s">
        <v>22</v>
      </c>
      <c r="B16" s="5" t="s">
        <v>23</v>
      </c>
    </row>
    <row r="17" customFormat="false" ht="15" hidden="false" customHeight="false" outlineLevel="0" collapsed="false">
      <c r="A17" s="4" t="s">
        <v>24</v>
      </c>
      <c r="B17" s="5" t="s">
        <v>25</v>
      </c>
    </row>
    <row r="18" customFormat="false" ht="15" hidden="false" customHeight="false" outlineLevel="0" collapsed="false">
      <c r="A18" s="4" t="s">
        <v>26</v>
      </c>
      <c r="B18" s="5" t="s">
        <v>27</v>
      </c>
    </row>
    <row r="19" customFormat="false" ht="15" hidden="false" customHeight="false" outlineLevel="0" collapsed="false">
      <c r="A19" s="4" t="s">
        <v>28</v>
      </c>
      <c r="B19" s="5" t="s">
        <v>29</v>
      </c>
    </row>
    <row r="20" customFormat="false" ht="15" hidden="false" customHeight="false" outlineLevel="0" collapsed="false">
      <c r="A20" s="4" t="s">
        <v>30</v>
      </c>
      <c r="B20" s="5" t="s">
        <v>31</v>
      </c>
    </row>
    <row r="21" customFormat="false" ht="15" hidden="false" customHeight="false" outlineLevel="0" collapsed="false">
      <c r="A21" s="4" t="s">
        <v>32</v>
      </c>
      <c r="B21" s="5" t="s">
        <v>33</v>
      </c>
    </row>
    <row r="22" customFormat="false" ht="23.85" hidden="false" customHeight="false" outlineLevel="0" collapsed="false">
      <c r="A22" s="4" t="s">
        <v>34</v>
      </c>
      <c r="B22" s="5" t="s">
        <v>35</v>
      </c>
    </row>
    <row r="24" customFormat="false" ht="15" hidden="false" customHeight="false" outlineLevel="0" collapsed="false">
      <c r="A24" s="3" t="s">
        <v>36</v>
      </c>
    </row>
    <row r="25" customFormat="false" ht="35.05" hidden="false" customHeight="false" outlineLevel="0" collapsed="false">
      <c r="A25" s="6" t="s">
        <v>37</v>
      </c>
      <c r="B25" s="5" t="s">
        <v>38</v>
      </c>
    </row>
    <row r="26" customFormat="false" ht="15" hidden="false" customHeight="false" outlineLevel="0" collapsed="false">
      <c r="A26" s="7" t="s">
        <v>39</v>
      </c>
      <c r="B26" s="5" t="s">
        <v>40</v>
      </c>
    </row>
    <row r="27" customFormat="false" ht="23.85" hidden="false" customHeight="false" outlineLevel="0" collapsed="false">
      <c r="A27" s="8" t="s">
        <v>41</v>
      </c>
      <c r="B27" s="5" t="s">
        <v>42</v>
      </c>
    </row>
    <row r="28" customFormat="false" ht="23.85" hidden="false" customHeight="false" outlineLevel="0" collapsed="false">
      <c r="A28" s="9" t="s">
        <v>43</v>
      </c>
      <c r="B28" s="5" t="s">
        <v>44</v>
      </c>
    </row>
    <row r="30" customFormat="false" ht="15" hidden="false" customHeight="false" outlineLevel="0" collapsed="false">
      <c r="A30" s="3" t="s">
        <v>45</v>
      </c>
    </row>
    <row r="31" customFormat="false" ht="15" hidden="false" customHeight="false" outlineLevel="0" collapsed="false">
      <c r="A31" s="4" t="s">
        <v>46</v>
      </c>
      <c r="B31" s="5" t="s">
        <v>47</v>
      </c>
    </row>
    <row r="32" customFormat="false" ht="23.85" hidden="false" customHeight="false" outlineLevel="0" collapsed="false">
      <c r="A32" s="4" t="s">
        <v>48</v>
      </c>
      <c r="B32" s="5" t="s">
        <v>49</v>
      </c>
    </row>
    <row r="33" customFormat="false" ht="23.85" hidden="false" customHeight="false" outlineLevel="0" collapsed="false">
      <c r="A33" s="4" t="s">
        <v>50</v>
      </c>
      <c r="B33" s="5" t="s">
        <v>51</v>
      </c>
    </row>
    <row r="34" customFormat="false" ht="15" hidden="false" customHeight="false" outlineLevel="0" collapsed="false">
      <c r="A34" s="4" t="s">
        <v>52</v>
      </c>
      <c r="B34" s="5" t="s">
        <v>53</v>
      </c>
    </row>
    <row r="35" customFormat="false" ht="15" hidden="false" customHeight="false" outlineLevel="0" collapsed="false">
      <c r="A35" s="4" t="s">
        <v>54</v>
      </c>
      <c r="B35" s="5" t="s">
        <v>55</v>
      </c>
    </row>
    <row r="36" customFormat="false" ht="23.85" hidden="false" customHeight="false" outlineLevel="0" collapsed="false">
      <c r="A36" s="4" t="s">
        <v>56</v>
      </c>
      <c r="B36" s="5" t="s">
        <v>57</v>
      </c>
    </row>
    <row r="37" customFormat="false" ht="15" hidden="false" customHeight="false" outlineLevel="0" collapsed="false">
      <c r="A37" s="4" t="s">
        <v>58</v>
      </c>
      <c r="B37" s="5" t="s">
        <v>59</v>
      </c>
    </row>
    <row r="38" customFormat="false" ht="15" hidden="false" customHeight="false" outlineLevel="0" collapsed="false">
      <c r="A38" s="4" t="s">
        <v>60</v>
      </c>
      <c r="B38" s="5" t="s">
        <v>61</v>
      </c>
    </row>
    <row r="39" customFormat="false" ht="15" hidden="false" customHeight="false" outlineLevel="0" collapsed="false">
      <c r="A39" s="4" t="s">
        <v>62</v>
      </c>
      <c r="B39" s="5" t="s">
        <v>63</v>
      </c>
    </row>
    <row r="40" customFormat="false" ht="15" hidden="false" customHeight="false" outlineLevel="0" collapsed="false">
      <c r="A40" s="4" t="s">
        <v>64</v>
      </c>
      <c r="B40" s="5" t="s">
        <v>65</v>
      </c>
    </row>
    <row r="41" customFormat="false" ht="23.85" hidden="false" customHeight="false" outlineLevel="0" collapsed="false">
      <c r="A41" s="4" t="s">
        <v>66</v>
      </c>
      <c r="B41" s="5" t="s">
        <v>67</v>
      </c>
    </row>
    <row r="42" customFormat="false" ht="15" hidden="false" customHeight="false" outlineLevel="0" collapsed="false">
      <c r="A42" s="4" t="s">
        <v>68</v>
      </c>
      <c r="B42" s="5" t="s">
        <v>69</v>
      </c>
    </row>
    <row r="43" customFormat="false" ht="23.85" hidden="false" customHeight="false" outlineLevel="0" collapsed="false">
      <c r="A43" s="4" t="s">
        <v>70</v>
      </c>
      <c r="B43" s="5" t="s">
        <v>71</v>
      </c>
    </row>
    <row r="44" customFormat="false" ht="23.85" hidden="false" customHeight="false" outlineLevel="0" collapsed="false">
      <c r="A44" s="4" t="s">
        <v>72</v>
      </c>
      <c r="B44" s="5" t="s">
        <v>73</v>
      </c>
    </row>
    <row r="45" customFormat="false" ht="35.05" hidden="false" customHeight="false" outlineLevel="0" collapsed="false">
      <c r="A45" s="4" t="s">
        <v>74</v>
      </c>
      <c r="B45" s="5" t="s">
        <v>75</v>
      </c>
    </row>
    <row r="46" customFormat="false" ht="23.85" hidden="false" customHeight="false" outlineLevel="0" collapsed="false">
      <c r="A46" s="4" t="s">
        <v>76</v>
      </c>
      <c r="B46" s="5" t="s">
        <v>77</v>
      </c>
    </row>
    <row r="47" customFormat="false" ht="15" hidden="false" customHeight="false" outlineLevel="0" collapsed="false">
      <c r="A47" s="4" t="s">
        <v>78</v>
      </c>
      <c r="B47" s="5" t="s">
        <v>79</v>
      </c>
    </row>
    <row r="48" customFormat="false" ht="15" hidden="false" customHeight="false" outlineLevel="0" collapsed="false">
      <c r="A48" s="4" t="s">
        <v>80</v>
      </c>
      <c r="B48" s="5" t="s">
        <v>81</v>
      </c>
    </row>
    <row r="49" customFormat="false" ht="15" hidden="false" customHeight="false" outlineLevel="0" collapsed="false">
      <c r="A49" s="4" t="s">
        <v>82</v>
      </c>
      <c r="B49" s="5" t="s">
        <v>83</v>
      </c>
    </row>
    <row r="50" customFormat="false" ht="15" hidden="false" customHeight="false" outlineLevel="0" collapsed="false">
      <c r="A50" s="4" t="s">
        <v>84</v>
      </c>
      <c r="B50" s="5" t="s">
        <v>85</v>
      </c>
    </row>
    <row r="51" customFormat="false" ht="15" hidden="false" customHeight="false" outlineLevel="0" collapsed="false">
      <c r="A51" s="4" t="s">
        <v>86</v>
      </c>
      <c r="B51" s="5" t="s">
        <v>87</v>
      </c>
    </row>
    <row r="52" customFormat="false" ht="23.85" hidden="false" customHeight="false" outlineLevel="0" collapsed="false">
      <c r="A52" s="4" t="s">
        <v>88</v>
      </c>
      <c r="B52" s="5" t="s">
        <v>89</v>
      </c>
    </row>
    <row r="53" customFormat="false" ht="23.85" hidden="false" customHeight="false" outlineLevel="0" collapsed="false">
      <c r="A53" s="4" t="s">
        <v>90</v>
      </c>
      <c r="B53" s="5" t="s">
        <v>91</v>
      </c>
    </row>
    <row r="54" customFormat="false" ht="15" hidden="false" customHeight="false" outlineLevel="0" collapsed="false">
      <c r="A54" s="4" t="s">
        <v>16</v>
      </c>
      <c r="B54" s="5" t="s">
        <v>92</v>
      </c>
    </row>
    <row r="55" customFormat="false" ht="15" hidden="false" customHeight="false" outlineLevel="0" collapsed="false">
      <c r="A55" s="4" t="s">
        <v>93</v>
      </c>
      <c r="B55" s="5" t="s">
        <v>94</v>
      </c>
    </row>
    <row r="57" customFormat="false" ht="15" hidden="false" customHeight="false" outlineLevel="0" collapsed="false">
      <c r="A57" s="3" t="s">
        <v>95</v>
      </c>
    </row>
    <row r="58" customFormat="false" ht="23.85" hidden="false" customHeight="false" outlineLevel="0" collapsed="false">
      <c r="A58" s="4" t="s">
        <v>96</v>
      </c>
      <c r="B58" s="5" t="s">
        <v>97</v>
      </c>
    </row>
    <row r="59" customFormat="false" ht="23.85" hidden="false" customHeight="false" outlineLevel="0" collapsed="false">
      <c r="A59" s="4" t="s">
        <v>98</v>
      </c>
      <c r="B59" s="5" t="s">
        <v>99</v>
      </c>
    </row>
    <row r="60" customFormat="false" ht="23.85" hidden="false" customHeight="false" outlineLevel="0" collapsed="false">
      <c r="A60" s="4" t="s">
        <v>100</v>
      </c>
      <c r="B60" s="5" t="s">
        <v>101</v>
      </c>
    </row>
    <row r="61" customFormat="false" ht="15" hidden="false" customHeight="false" outlineLevel="0" collapsed="false">
      <c r="A61" s="4" t="s">
        <v>102</v>
      </c>
      <c r="B61" s="5" t="s">
        <v>103</v>
      </c>
    </row>
    <row r="62" customFormat="false" ht="15" hidden="false" customHeight="false" outlineLevel="0" collapsed="false">
      <c r="A62" s="4" t="s">
        <v>104</v>
      </c>
      <c r="B62" s="5" t="s">
        <v>105</v>
      </c>
    </row>
    <row r="64" customFormat="false" ht="15" hidden="false" customHeight="false" outlineLevel="0" collapsed="false">
      <c r="A64" s="3" t="s">
        <v>106</v>
      </c>
    </row>
    <row r="65" customFormat="false" ht="23.85" hidden="false" customHeight="false" outlineLevel="0" collapsed="false">
      <c r="A65" s="4" t="s">
        <v>107</v>
      </c>
      <c r="B65" s="5" t="s">
        <v>108</v>
      </c>
    </row>
    <row r="66" customFormat="false" ht="15" hidden="false" customHeight="false" outlineLevel="0" collapsed="false">
      <c r="A66" s="4" t="s">
        <v>109</v>
      </c>
      <c r="B66" s="5" t="s">
        <v>110</v>
      </c>
    </row>
    <row r="67" customFormat="false" ht="23.85" hidden="false" customHeight="false" outlineLevel="0" collapsed="false">
      <c r="A67" s="4" t="s">
        <v>111</v>
      </c>
      <c r="B67" s="5" t="s">
        <v>112</v>
      </c>
    </row>
    <row r="68" customFormat="false" ht="23.85" hidden="false" customHeight="false" outlineLevel="0" collapsed="false">
      <c r="A68" s="4" t="s">
        <v>113</v>
      </c>
      <c r="B68" s="5" t="s">
        <v>114</v>
      </c>
    </row>
    <row r="69" customFormat="false" ht="57.45" hidden="false" customHeight="false" outlineLevel="0" collapsed="false">
      <c r="A69" s="4" t="s">
        <v>18</v>
      </c>
      <c r="B69" s="5" t="s">
        <v>115</v>
      </c>
    </row>
    <row r="70" customFormat="false" ht="15" hidden="false" customHeight="false" outlineLevel="0" collapsed="false">
      <c r="A70" s="4" t="s">
        <v>28</v>
      </c>
      <c r="B70" s="5" t="s">
        <v>116</v>
      </c>
    </row>
    <row r="71" customFormat="false" ht="15" hidden="false" customHeight="false" outlineLevel="0" collapsed="false">
      <c r="A71" s="4" t="s">
        <v>117</v>
      </c>
      <c r="B71" s="5" t="s">
        <v>118</v>
      </c>
    </row>
    <row r="72" customFormat="false" ht="15" hidden="false" customHeight="false" outlineLevel="0" collapsed="false">
      <c r="A72" s="4" t="s">
        <v>119</v>
      </c>
      <c r="B72" s="5" t="s">
        <v>120</v>
      </c>
    </row>
    <row r="73" customFormat="false" ht="23.85" hidden="false" customHeight="false" outlineLevel="0" collapsed="false">
      <c r="A73" s="4" t="s">
        <v>121</v>
      </c>
      <c r="B73" s="5" t="s">
        <v>122</v>
      </c>
    </row>
    <row r="74" customFormat="false" ht="23.85" hidden="false" customHeight="false" outlineLevel="0" collapsed="false">
      <c r="A74" s="4" t="s">
        <v>123</v>
      </c>
      <c r="B74" s="5" t="s">
        <v>124</v>
      </c>
    </row>
    <row r="75" customFormat="false" ht="35.05" hidden="false" customHeight="false" outlineLevel="0" collapsed="false">
      <c r="A75" s="4" t="s">
        <v>125</v>
      </c>
      <c r="B75" s="5" t="s">
        <v>126</v>
      </c>
    </row>
    <row r="76" customFormat="false" ht="15" hidden="false" customHeight="false" outlineLevel="0" collapsed="false">
      <c r="A76" s="4" t="s">
        <v>127</v>
      </c>
      <c r="B76" s="5" t="s">
        <v>128</v>
      </c>
    </row>
    <row r="78" customFormat="false" ht="15" hidden="false" customHeight="false" outlineLevel="0" collapsed="false">
      <c r="A78" s="3" t="s">
        <v>129</v>
      </c>
    </row>
    <row r="79" customFormat="false" ht="15" hidden="false" customHeight="false" outlineLevel="0" collapsed="false">
      <c r="A79" s="4" t="s">
        <v>130</v>
      </c>
      <c r="B79" s="5" t="s">
        <v>131</v>
      </c>
    </row>
    <row r="80" customFormat="false" ht="15" hidden="false" customHeight="false" outlineLevel="0" collapsed="false">
      <c r="A80" s="4" t="s">
        <v>132</v>
      </c>
      <c r="B80" s="5" t="s">
        <v>133</v>
      </c>
    </row>
    <row r="81" customFormat="false" ht="15" hidden="false" customHeight="false" outlineLevel="0" collapsed="false">
      <c r="A81" s="4" t="s">
        <v>134</v>
      </c>
      <c r="B81" s="5" t="s">
        <v>135</v>
      </c>
    </row>
    <row r="82" customFormat="false" ht="15" hidden="false" customHeight="false" outlineLevel="0" collapsed="false">
      <c r="A82" s="4" t="s">
        <v>136</v>
      </c>
      <c r="B82" s="5" t="s">
        <v>137</v>
      </c>
    </row>
    <row r="83" customFormat="false" ht="15" hidden="false" customHeight="false" outlineLevel="0" collapsed="false">
      <c r="A83" s="4" t="s">
        <v>138</v>
      </c>
      <c r="B83" s="5"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4" min="3" style="0" width="24"/>
    <col collapsed="false" customWidth="true" hidden="false" outlineLevel="0" max="5" min="5" style="0" width="30"/>
    <col collapsed="false" customWidth="true" hidden="false" outlineLevel="0" max="6" min="6" style="0" width="18"/>
    <col collapsed="false" customWidth="true" hidden="false" outlineLevel="0" max="7" min="7" style="0" width="10"/>
    <col collapsed="false" customWidth="true" hidden="false" outlineLevel="0" max="8" min="8" style="0" width="8"/>
    <col collapsed="false" customWidth="true" hidden="false" outlineLevel="0" max="9" min="9" style="0" width="34"/>
    <col collapsed="false" customWidth="true" hidden="false" outlineLevel="0" max="10" min="10" style="0" width="11"/>
    <col collapsed="false" customWidth="true" hidden="false" outlineLevel="0" max="11" min="11" style="0" width="8"/>
    <col collapsed="false" customWidth="true" hidden="false" outlineLevel="0" max="12" min="12" style="0" width="18"/>
    <col collapsed="false" customWidth="true" hidden="false" outlineLevel="0" max="13" min="13" style="0" width="9"/>
    <col collapsed="false" customWidth="true" hidden="false" outlineLevel="0" max="14" min="14" style="0" width="10"/>
    <col collapsed="false" customWidth="true" hidden="false" outlineLevel="0" max="15" min="15" style="0" width="26"/>
    <col collapsed="false" customWidth="true" hidden="false" outlineLevel="0" max="16" min="16" style="0" width="12"/>
    <col collapsed="false" customWidth="true" hidden="false" outlineLevel="0" max="18" min="17" style="0" width="10"/>
    <col collapsed="false" customWidth="true" hidden="false" outlineLevel="0" max="19" min="19" style="0" width="11"/>
    <col collapsed="false" customWidth="true" hidden="false" outlineLevel="0" max="21" min="20" style="0" width="10"/>
    <col collapsed="false" customWidth="true" hidden="false" outlineLevel="0" max="22" min="22" style="0" width="9"/>
    <col collapsed="false" customWidth="true" hidden="false" outlineLevel="0" max="23" min="23" style="0" width="10"/>
    <col collapsed="false" customWidth="true" hidden="false" outlineLevel="0" max="24" min="24" style="0" width="9"/>
    <col collapsed="false" customWidth="true" hidden="false" outlineLevel="0" max="25" min="25" style="0" width="18"/>
    <col collapsed="false" customWidth="true" hidden="false" outlineLevel="0" max="26" min="26" style="0" width="14"/>
    <col collapsed="false" customWidth="true" hidden="false" outlineLevel="0" max="28" min="27" style="0" width="9"/>
    <col collapsed="false" customWidth="true" hidden="false" outlineLevel="0" max="29" min="29" style="0" width="11"/>
    <col collapsed="false" customWidth="true" hidden="false" outlineLevel="0" max="30" min="30" style="0" width="12"/>
    <col collapsed="false" customWidth="true" hidden="false" outlineLevel="0" max="33" min="31" style="0" width="8"/>
    <col collapsed="false" customWidth="true" hidden="false" outlineLevel="0" max="34" min="34" style="0" width="26"/>
    <col collapsed="false" customWidth="true" hidden="false" outlineLevel="0" max="35" min="35" style="0" width="11"/>
    <col collapsed="false" customWidth="true" hidden="false" outlineLevel="0" max="36" min="36" style="0" width="9"/>
    <col collapsed="false" customWidth="true" hidden="false" outlineLevel="0" max="37" min="37" style="0" width="10"/>
    <col collapsed="false" customWidth="true" hidden="false" outlineLevel="0" max="38" min="38" style="0" width="50"/>
    <col collapsed="false" customWidth="true" hidden="false" outlineLevel="0" max="39" min="39" style="0" width="16"/>
    <col collapsed="false" customWidth="true" hidden="false" outlineLevel="0" max="40" min="40" style="0" width="11"/>
    <col collapsed="false" customWidth="true" hidden="false" outlineLevel="0" max="41" min="41" style="0" width="9"/>
    <col collapsed="false" customWidth="true" hidden="false" outlineLevel="0" max="42" min="42" style="0" width="8"/>
    <col collapsed="false" customWidth="true" hidden="false" outlineLevel="0" max="44" min="43" style="0" width="11"/>
    <col collapsed="false" customWidth="true" hidden="false" outlineLevel="0" max="45" min="45" style="0" width="30"/>
    <col collapsed="false" customWidth="true" hidden="false" outlineLevel="0" max="46" min="46" style="0" width="70"/>
    <col collapsed="false" customWidth="true" hidden="false" outlineLevel="0" max="47" min="47" style="0" width="34"/>
  </cols>
  <sheetData>
    <row r="1" customFormat="false" ht="42" hidden="false" customHeight="true" outlineLevel="0" collapsed="false">
      <c r="A1" s="10" t="s">
        <v>46</v>
      </c>
      <c r="B1" s="10" t="s">
        <v>140</v>
      </c>
      <c r="C1" s="10" t="s">
        <v>141</v>
      </c>
      <c r="D1" s="10" t="s">
        <v>142</v>
      </c>
      <c r="E1" s="10" t="s">
        <v>143</v>
      </c>
      <c r="F1" s="10" t="s">
        <v>144</v>
      </c>
      <c r="G1" s="10" t="s">
        <v>145</v>
      </c>
      <c r="H1" s="10" t="s">
        <v>146</v>
      </c>
      <c r="I1" s="10" t="s">
        <v>52</v>
      </c>
      <c r="J1" s="10" t="s">
        <v>147</v>
      </c>
      <c r="K1" s="10" t="s">
        <v>148</v>
      </c>
      <c r="L1" s="10" t="s">
        <v>149</v>
      </c>
      <c r="M1" s="10" t="s">
        <v>150</v>
      </c>
      <c r="N1" s="10" t="s">
        <v>58</v>
      </c>
      <c r="O1" s="10" t="s">
        <v>60</v>
      </c>
      <c r="P1" s="10" t="s">
        <v>62</v>
      </c>
      <c r="Q1" s="10" t="s">
        <v>151</v>
      </c>
      <c r="R1" s="10" t="s">
        <v>152</v>
      </c>
      <c r="S1" s="10" t="s">
        <v>153</v>
      </c>
      <c r="T1" s="10" t="s">
        <v>154</v>
      </c>
      <c r="U1" s="10" t="s">
        <v>155</v>
      </c>
      <c r="V1" s="10" t="s">
        <v>68</v>
      </c>
      <c r="W1" s="10" t="s">
        <v>156</v>
      </c>
      <c r="X1" s="10" t="s">
        <v>157</v>
      </c>
      <c r="Y1" s="10" t="s">
        <v>158</v>
      </c>
      <c r="Z1" s="10" t="s">
        <v>159</v>
      </c>
      <c r="AA1" s="10" t="s">
        <v>160</v>
      </c>
      <c r="AB1" s="10" t="s">
        <v>161</v>
      </c>
      <c r="AC1" s="10" t="s">
        <v>162</v>
      </c>
      <c r="AD1" s="10" t="s">
        <v>163</v>
      </c>
      <c r="AE1" s="10" t="s">
        <v>164</v>
      </c>
      <c r="AF1" s="10" t="s">
        <v>165</v>
      </c>
      <c r="AG1" s="10" t="s">
        <v>166</v>
      </c>
      <c r="AH1" s="10" t="s">
        <v>167</v>
      </c>
      <c r="AI1" s="10" t="s">
        <v>78</v>
      </c>
      <c r="AJ1" s="10" t="s">
        <v>80</v>
      </c>
      <c r="AK1" s="10" t="s">
        <v>82</v>
      </c>
      <c r="AL1" s="10" t="s">
        <v>84</v>
      </c>
      <c r="AM1" s="10" t="s">
        <v>86</v>
      </c>
      <c r="AN1" s="10" t="s">
        <v>168</v>
      </c>
      <c r="AO1" s="10" t="s">
        <v>169</v>
      </c>
      <c r="AP1" s="10" t="s">
        <v>170</v>
      </c>
      <c r="AQ1" s="10" t="s">
        <v>171</v>
      </c>
      <c r="AR1" s="10" t="s">
        <v>172</v>
      </c>
      <c r="AS1" s="10" t="s">
        <v>16</v>
      </c>
      <c r="AT1" s="10" t="s">
        <v>173</v>
      </c>
      <c r="AU1" s="10" t="s">
        <v>174</v>
      </c>
    </row>
    <row r="2" customFormat="false" ht="64.15" hidden="false" customHeight="false" outlineLevel="0" collapsed="false">
      <c r="A2" s="11" t="s">
        <v>175</v>
      </c>
      <c r="B2" s="11" t="s">
        <v>176</v>
      </c>
      <c r="C2" s="11" t="s">
        <v>177</v>
      </c>
      <c r="D2" s="11" t="s">
        <v>178</v>
      </c>
      <c r="E2" s="12" t="s">
        <v>179</v>
      </c>
      <c r="F2" s="13" t="s">
        <v>180</v>
      </c>
      <c r="G2" s="13" t="n">
        <v>80</v>
      </c>
      <c r="H2" s="13" t="s">
        <v>181</v>
      </c>
      <c r="I2" s="14" t="s">
        <v>182</v>
      </c>
      <c r="J2" s="15" t="n">
        <v>17855</v>
      </c>
      <c r="K2" s="13" t="n">
        <v>80</v>
      </c>
      <c r="L2" s="13" t="s">
        <v>183</v>
      </c>
      <c r="M2" s="13"/>
      <c r="N2" s="13" t="s">
        <v>184</v>
      </c>
      <c r="O2" s="13" t="s">
        <v>185</v>
      </c>
      <c r="P2" s="13" t="s">
        <v>186</v>
      </c>
      <c r="Q2" s="16"/>
      <c r="R2" s="16"/>
      <c r="S2" s="16"/>
      <c r="T2" s="16"/>
      <c r="U2" s="16"/>
      <c r="V2" s="13" t="s">
        <v>187</v>
      </c>
      <c r="W2" s="17"/>
      <c r="X2" s="13"/>
      <c r="Y2" s="13"/>
      <c r="Z2" s="13"/>
      <c r="AA2" s="13" t="s">
        <v>188</v>
      </c>
      <c r="AB2" s="13" t="s">
        <v>189</v>
      </c>
      <c r="AC2" s="18" t="n">
        <v>47.73</v>
      </c>
      <c r="AD2" s="13" t="s">
        <v>190</v>
      </c>
      <c r="AE2" s="19" t="n">
        <f aca="false">ROUND(K2*Settings!$B$11*Settings!$B$13,2)</f>
        <v>1.36</v>
      </c>
      <c r="AF2" s="19" t="n">
        <f aca="false">ROUND(K2*Settings!$B$11*Settings!$B$14,2)</f>
        <v>1.79</v>
      </c>
      <c r="AG2" s="19" t="n">
        <f aca="false">ROUND(K2*Settings!$B$11*Settings!$B$15,2)</f>
        <v>2.33</v>
      </c>
      <c r="AH2" s="13" t="s">
        <v>191</v>
      </c>
      <c r="AI2" s="17" t="n">
        <f aca="false">IF(OR(AC2="",AF2="",Settings!$B$5=""),"",ROUND(AC2-AF2*Settings!$B$5,2))</f>
        <v>41.18</v>
      </c>
      <c r="AJ2" s="13" t="s">
        <v>192</v>
      </c>
      <c r="AK2" s="13" t="s">
        <v>193</v>
      </c>
      <c r="AL2" s="14" t="s">
        <v>194</v>
      </c>
      <c r="AM2" s="13" t="s">
        <v>195</v>
      </c>
      <c r="AN2" s="15" t="n">
        <v>17855</v>
      </c>
      <c r="AO2" s="13"/>
      <c r="AP2" s="13" t="s">
        <v>196</v>
      </c>
      <c r="AQ2" s="16" t="n">
        <f aca="false">IFERROR(IF(AND(INDEX(Mob_Demob!$D$6:$D$14,MATCH(AM2,Mob_Demob!$A$6:$A$14,0))="",INDEX(Mob_Demob!$G$6:$G$14,MATCH(AM2,Mob_Demob!$A$6:$A$14,0))=""),"",ROUND(MAX(N(INDEX(Mob_Demob!$G$6:$G$14,MATCH(AM2,Mob_Demob!$A$6:$A$14,0))),N(INDEX(Mob_Demob!$D$6:$D$14,MATCH(AM2,Mob_Demob!$A$6:$A$14,0)))*Settings!$B$6)+IF(AP2="Y",N(INDEX(Mob_Demob!$I$6:$I$14,MATCH(AM2,Mob_Demob!$A$6:$A$14,0)))*Settings!$B$19,0)+N(INDEX(Mob_Demob!$L$6:$L$14,MATCH(AM2,Mob_Demob!$A$6:$A$14,0)))*N(INDEX(Mob_Demob!$K$6:$K$14,MATCH(AM2,Mob_Demob!$A$6:$A$14,0)))*Settings!$B$6+N(INDEX(Mob_Demob!$M$6:$M$14,MATCH(AM2,Mob_Demob!$A$6:$A$14,0)))*N(INDEX(Mob_Demob!$N$6:$N$14,MATCH(AM2,Mob_Demob!$A$6:$A$14,0))),0)),"")</f>
        <v>500</v>
      </c>
      <c r="AR2" s="16" t="n">
        <f aca="false">IF(AQ2="","",ROUND(AQ2*Settings!$B$18,0))</f>
        <v>500</v>
      </c>
      <c r="AS2" s="13" t="s">
        <v>197</v>
      </c>
      <c r="AT2" s="14" t="s">
        <v>198</v>
      </c>
      <c r="AU2" s="14" t="s">
        <v>199</v>
      </c>
    </row>
    <row r="3" customFormat="false" ht="64.15" hidden="false" customHeight="false" outlineLevel="0" collapsed="false">
      <c r="A3" s="11" t="s">
        <v>200</v>
      </c>
      <c r="B3" s="11" t="s">
        <v>176</v>
      </c>
      <c r="C3" s="11" t="s">
        <v>177</v>
      </c>
      <c r="D3" s="11" t="s">
        <v>178</v>
      </c>
      <c r="E3" s="12" t="s">
        <v>201</v>
      </c>
      <c r="F3" s="13" t="s">
        <v>202</v>
      </c>
      <c r="G3" s="13" t="n">
        <v>85</v>
      </c>
      <c r="H3" s="13" t="s">
        <v>181</v>
      </c>
      <c r="I3" s="14" t="s">
        <v>203</v>
      </c>
      <c r="J3" s="15" t="n">
        <v>18382</v>
      </c>
      <c r="K3" s="13" t="n">
        <v>92</v>
      </c>
      <c r="L3" s="13" t="s">
        <v>204</v>
      </c>
      <c r="M3" s="13"/>
      <c r="N3" s="13" t="s">
        <v>184</v>
      </c>
      <c r="O3" s="13" t="s">
        <v>185</v>
      </c>
      <c r="P3" s="13" t="s">
        <v>186</v>
      </c>
      <c r="Q3" s="16"/>
      <c r="R3" s="16"/>
      <c r="S3" s="16"/>
      <c r="T3" s="16"/>
      <c r="U3" s="16"/>
      <c r="V3" s="13" t="s">
        <v>187</v>
      </c>
      <c r="W3" s="17"/>
      <c r="X3" s="13"/>
      <c r="Y3" s="13"/>
      <c r="Z3" s="13"/>
      <c r="AA3" s="13" t="s">
        <v>188</v>
      </c>
      <c r="AB3" s="13"/>
      <c r="AC3" s="17" t="n">
        <f aca="false">ROUND(AC2+(AC4-AC2)*(K3-K2)/(K4-K2),2)</f>
        <v>55.96</v>
      </c>
      <c r="AD3" s="13" t="s">
        <v>205</v>
      </c>
      <c r="AE3" s="19" t="n">
        <f aca="false">ROUND(K3*Settings!$B$11*Settings!$B$13,2)</f>
        <v>1.56</v>
      </c>
      <c r="AF3" s="19" t="n">
        <f aca="false">ROUND(K3*Settings!$B$11*Settings!$B$14,2)</f>
        <v>2.06</v>
      </c>
      <c r="AG3" s="19" t="n">
        <f aca="false">ROUND(K3*Settings!$B$11*Settings!$B$15,2)</f>
        <v>2.68</v>
      </c>
      <c r="AH3" s="13" t="s">
        <v>191</v>
      </c>
      <c r="AI3" s="17" t="n">
        <f aca="false">IF(OR(AC3="",AF3="",Settings!$B$5=""),"",ROUND(AC3-AF3*Settings!$B$5,2))</f>
        <v>48.42</v>
      </c>
      <c r="AJ3" s="13" t="s">
        <v>193</v>
      </c>
      <c r="AK3" s="13" t="s">
        <v>193</v>
      </c>
      <c r="AL3" s="14" t="s">
        <v>194</v>
      </c>
      <c r="AM3" s="13" t="s">
        <v>195</v>
      </c>
      <c r="AN3" s="15" t="n">
        <v>18382</v>
      </c>
      <c r="AO3" s="13"/>
      <c r="AP3" s="13" t="s">
        <v>196</v>
      </c>
      <c r="AQ3" s="16" t="n">
        <f aca="false">IFERROR(IF(AND(INDEX(Mob_Demob!$D$6:$D$14,MATCH(AM3,Mob_Demob!$A$6:$A$14,0))="",INDEX(Mob_Demob!$G$6:$G$14,MATCH(AM3,Mob_Demob!$A$6:$A$14,0))=""),"",ROUND(MAX(N(INDEX(Mob_Demob!$G$6:$G$14,MATCH(AM3,Mob_Demob!$A$6:$A$14,0))),N(INDEX(Mob_Demob!$D$6:$D$14,MATCH(AM3,Mob_Demob!$A$6:$A$14,0)))*Settings!$B$6)+IF(AP3="Y",N(INDEX(Mob_Demob!$I$6:$I$14,MATCH(AM3,Mob_Demob!$A$6:$A$14,0)))*Settings!$B$19,0)+N(INDEX(Mob_Demob!$L$6:$L$14,MATCH(AM3,Mob_Demob!$A$6:$A$14,0)))*N(INDEX(Mob_Demob!$K$6:$K$14,MATCH(AM3,Mob_Demob!$A$6:$A$14,0)))*Settings!$B$6+N(INDEX(Mob_Demob!$M$6:$M$14,MATCH(AM3,Mob_Demob!$A$6:$A$14,0)))*N(INDEX(Mob_Demob!$N$6:$N$14,MATCH(AM3,Mob_Demob!$A$6:$A$14,0))),0)),"")</f>
        <v>500</v>
      </c>
      <c r="AR3" s="16" t="n">
        <f aca="false">IF(AQ3="","",ROUND(AQ3*Settings!$B$18,0))</f>
        <v>500</v>
      </c>
      <c r="AS3" s="13" t="s">
        <v>197</v>
      </c>
      <c r="AT3" s="14" t="s">
        <v>206</v>
      </c>
      <c r="AU3" s="14" t="s">
        <v>199</v>
      </c>
    </row>
    <row r="4" customFormat="false" ht="64.15" hidden="false" customHeight="false" outlineLevel="0" collapsed="false">
      <c r="A4" s="11" t="s">
        <v>207</v>
      </c>
      <c r="B4" s="11" t="s">
        <v>176</v>
      </c>
      <c r="C4" s="11" t="s">
        <v>177</v>
      </c>
      <c r="D4" s="11" t="s">
        <v>178</v>
      </c>
      <c r="E4" s="12" t="s">
        <v>208</v>
      </c>
      <c r="F4" s="13" t="s">
        <v>180</v>
      </c>
      <c r="G4" s="13" t="n">
        <v>104</v>
      </c>
      <c r="H4" s="13" t="s">
        <v>181</v>
      </c>
      <c r="I4" s="14" t="s">
        <v>209</v>
      </c>
      <c r="J4" s="15" t="n">
        <v>20640</v>
      </c>
      <c r="K4" s="13" t="n">
        <v>104</v>
      </c>
      <c r="L4" s="13" t="s">
        <v>210</v>
      </c>
      <c r="M4" s="13"/>
      <c r="N4" s="13" t="s">
        <v>184</v>
      </c>
      <c r="O4" s="13" t="s">
        <v>185</v>
      </c>
      <c r="P4" s="13" t="s">
        <v>186</v>
      </c>
      <c r="Q4" s="20" t="n">
        <v>875</v>
      </c>
      <c r="R4" s="20" t="n">
        <v>2629</v>
      </c>
      <c r="S4" s="20" t="n">
        <v>6900</v>
      </c>
      <c r="T4" s="20" t="n">
        <v>5413</v>
      </c>
      <c r="U4" s="20" t="n">
        <v>7623</v>
      </c>
      <c r="V4" s="13" t="s">
        <v>187</v>
      </c>
      <c r="W4" s="17"/>
      <c r="X4" s="13"/>
      <c r="Y4" s="13" t="s">
        <v>211</v>
      </c>
      <c r="Z4" s="13" t="s">
        <v>212</v>
      </c>
      <c r="AA4" s="13" t="s">
        <v>213</v>
      </c>
      <c r="AB4" s="13" t="s">
        <v>214</v>
      </c>
      <c r="AC4" s="18" t="n">
        <v>64.18</v>
      </c>
      <c r="AD4" s="13" t="s">
        <v>190</v>
      </c>
      <c r="AE4" s="19" t="n">
        <v>1.51</v>
      </c>
      <c r="AF4" s="19" t="n">
        <v>1.93</v>
      </c>
      <c r="AG4" s="19" t="n">
        <v>2.36</v>
      </c>
      <c r="AH4" s="13" t="s">
        <v>215</v>
      </c>
      <c r="AI4" s="17" t="n">
        <f aca="false">IF(OR(AC4="",AF4="",Settings!$B$5=""),"",ROUND(AC4-AF4*Settings!$B$5,2))</f>
        <v>57.12</v>
      </c>
      <c r="AJ4" s="13" t="s">
        <v>192</v>
      </c>
      <c r="AK4" s="13" t="s">
        <v>193</v>
      </c>
      <c r="AL4" s="14" t="s">
        <v>194</v>
      </c>
      <c r="AM4" s="13" t="s">
        <v>216</v>
      </c>
      <c r="AN4" s="15" t="n">
        <v>20640</v>
      </c>
      <c r="AO4" s="13"/>
      <c r="AP4" s="13" t="s">
        <v>196</v>
      </c>
      <c r="AQ4" s="16" t="n">
        <f aca="false">IFERROR(IF(AND(INDEX(Mob_Demob!$D$6:$D$14,MATCH(AM4,Mob_Demob!$A$6:$A$14,0))="",INDEX(Mob_Demob!$G$6:$G$14,MATCH(AM4,Mob_Demob!$A$6:$A$14,0))=""),"",ROUND(MAX(N(INDEX(Mob_Demob!$G$6:$G$14,MATCH(AM4,Mob_Demob!$A$6:$A$14,0))),N(INDEX(Mob_Demob!$D$6:$D$14,MATCH(AM4,Mob_Demob!$A$6:$A$14,0)))*Settings!$B$6)+IF(AP4="Y",N(INDEX(Mob_Demob!$I$6:$I$14,MATCH(AM4,Mob_Demob!$A$6:$A$14,0)))*Settings!$B$19,0)+N(INDEX(Mob_Demob!$L$6:$L$14,MATCH(AM4,Mob_Demob!$A$6:$A$14,0)))*N(INDEX(Mob_Demob!$K$6:$K$14,MATCH(AM4,Mob_Demob!$A$6:$A$14,0)))*Settings!$B$6+N(INDEX(Mob_Demob!$M$6:$M$14,MATCH(AM4,Mob_Demob!$A$6:$A$14,0)))*N(INDEX(Mob_Demob!$N$6:$N$14,MATCH(AM4,Mob_Demob!$A$6:$A$14,0))),0)),"")</f>
        <v>550</v>
      </c>
      <c r="AR4" s="16" t="n">
        <f aca="false">IF(AQ4="","",ROUND(AQ4*Settings!$B$18,0))</f>
        <v>550</v>
      </c>
      <c r="AS4" s="13" t="s">
        <v>217</v>
      </c>
      <c r="AT4" s="14" t="s">
        <v>218</v>
      </c>
      <c r="AU4" s="14"/>
    </row>
    <row r="5" customFormat="false" ht="64.15" hidden="false" customHeight="false" outlineLevel="0" collapsed="false">
      <c r="A5" s="11" t="s">
        <v>219</v>
      </c>
      <c r="B5" s="11" t="s">
        <v>176</v>
      </c>
      <c r="C5" s="11" t="s">
        <v>177</v>
      </c>
      <c r="D5" s="11" t="s">
        <v>220</v>
      </c>
      <c r="E5" s="12" t="s">
        <v>221</v>
      </c>
      <c r="F5" s="13" t="s">
        <v>180</v>
      </c>
      <c r="G5" s="13" t="n">
        <v>130</v>
      </c>
      <c r="H5" s="13" t="s">
        <v>181</v>
      </c>
      <c r="I5" s="14" t="s">
        <v>222</v>
      </c>
      <c r="J5" s="15" t="n">
        <v>29259</v>
      </c>
      <c r="K5" s="13" t="n">
        <v>130</v>
      </c>
      <c r="L5" s="13"/>
      <c r="M5" s="13"/>
      <c r="N5" s="13" t="s">
        <v>184</v>
      </c>
      <c r="O5" s="13" t="s">
        <v>185</v>
      </c>
      <c r="P5" s="13" t="s">
        <v>186</v>
      </c>
      <c r="Q5" s="20" t="n">
        <v>1142</v>
      </c>
      <c r="R5" s="20" t="n">
        <v>3062</v>
      </c>
      <c r="S5" s="20" t="n">
        <v>8302</v>
      </c>
      <c r="T5" s="20" t="n">
        <v>7075</v>
      </c>
      <c r="U5" s="20" t="n">
        <v>9529</v>
      </c>
      <c r="V5" s="13" t="s">
        <v>187</v>
      </c>
      <c r="W5" s="17"/>
      <c r="X5" s="13"/>
      <c r="Y5" s="13" t="s">
        <v>223</v>
      </c>
      <c r="Z5" s="13" t="s">
        <v>212</v>
      </c>
      <c r="AA5" s="13" t="s">
        <v>213</v>
      </c>
      <c r="AB5" s="13" t="s">
        <v>224</v>
      </c>
      <c r="AC5" s="18" t="n">
        <v>86.7</v>
      </c>
      <c r="AD5" s="13" t="s">
        <v>190</v>
      </c>
      <c r="AE5" s="19" t="n">
        <v>2.19</v>
      </c>
      <c r="AF5" s="19" t="n">
        <v>2.85</v>
      </c>
      <c r="AG5" s="19" t="n">
        <v>3.5</v>
      </c>
      <c r="AH5" s="13" t="s">
        <v>225</v>
      </c>
      <c r="AI5" s="17" t="n">
        <f aca="false">IF(OR(AC5="",AF5="",Settings!$B$5=""),"",ROUND(AC5-AF5*Settings!$B$5,2))</f>
        <v>76.27</v>
      </c>
      <c r="AJ5" s="13" t="s">
        <v>192</v>
      </c>
      <c r="AK5" s="13" t="s">
        <v>193</v>
      </c>
      <c r="AL5" s="14" t="s">
        <v>194</v>
      </c>
      <c r="AM5" s="13" t="s">
        <v>216</v>
      </c>
      <c r="AN5" s="15" t="n">
        <v>29259</v>
      </c>
      <c r="AO5" s="13"/>
      <c r="AP5" s="13" t="s">
        <v>196</v>
      </c>
      <c r="AQ5" s="16" t="n">
        <f aca="false">IFERROR(IF(AND(INDEX(Mob_Demob!$D$6:$D$14,MATCH(AM5,Mob_Demob!$A$6:$A$14,0))="",INDEX(Mob_Demob!$G$6:$G$14,MATCH(AM5,Mob_Demob!$A$6:$A$14,0))=""),"",ROUND(MAX(N(INDEX(Mob_Demob!$G$6:$G$14,MATCH(AM5,Mob_Demob!$A$6:$A$14,0))),N(INDEX(Mob_Demob!$D$6:$D$14,MATCH(AM5,Mob_Demob!$A$6:$A$14,0)))*Settings!$B$6)+IF(AP5="Y",N(INDEX(Mob_Demob!$I$6:$I$14,MATCH(AM5,Mob_Demob!$A$6:$A$14,0)))*Settings!$B$19,0)+N(INDEX(Mob_Demob!$L$6:$L$14,MATCH(AM5,Mob_Demob!$A$6:$A$14,0)))*N(INDEX(Mob_Demob!$K$6:$K$14,MATCH(AM5,Mob_Demob!$A$6:$A$14,0)))*Settings!$B$6+N(INDEX(Mob_Demob!$M$6:$M$14,MATCH(AM5,Mob_Demob!$A$6:$A$14,0)))*N(INDEX(Mob_Demob!$N$6:$N$14,MATCH(AM5,Mob_Demob!$A$6:$A$14,0))),0)),"")</f>
        <v>550</v>
      </c>
      <c r="AR5" s="16" t="n">
        <f aca="false">IF(AQ5="","",ROUND(AQ5*Settings!$B$18,0))</f>
        <v>550</v>
      </c>
      <c r="AS5" s="13" t="s">
        <v>226</v>
      </c>
      <c r="AT5" s="14" t="s">
        <v>227</v>
      </c>
      <c r="AU5" s="14"/>
    </row>
    <row r="6" customFormat="false" ht="64.15" hidden="false" customHeight="false" outlineLevel="0" collapsed="false">
      <c r="A6" s="11" t="s">
        <v>228</v>
      </c>
      <c r="B6" s="11" t="s">
        <v>176</v>
      </c>
      <c r="C6" s="11" t="s">
        <v>177</v>
      </c>
      <c r="D6" s="11" t="s">
        <v>220</v>
      </c>
      <c r="E6" s="12" t="s">
        <v>229</v>
      </c>
      <c r="F6" s="13" t="s">
        <v>180</v>
      </c>
      <c r="G6" s="13" t="n">
        <v>170</v>
      </c>
      <c r="H6" s="13" t="s">
        <v>181</v>
      </c>
      <c r="I6" s="14" t="s">
        <v>230</v>
      </c>
      <c r="J6" s="15" t="n">
        <v>42263</v>
      </c>
      <c r="K6" s="13" t="n">
        <v>170</v>
      </c>
      <c r="L6" s="13" t="s">
        <v>231</v>
      </c>
      <c r="M6" s="13"/>
      <c r="N6" s="13" t="s">
        <v>184</v>
      </c>
      <c r="O6" s="13" t="s">
        <v>185</v>
      </c>
      <c r="P6" s="13" t="s">
        <v>186</v>
      </c>
      <c r="Q6" s="20" t="n">
        <v>1554</v>
      </c>
      <c r="R6" s="20" t="n">
        <v>4210</v>
      </c>
      <c r="S6" s="20" t="n">
        <v>11461</v>
      </c>
      <c r="T6" s="20" t="n">
        <v>9200</v>
      </c>
      <c r="U6" s="20" t="n">
        <v>13721</v>
      </c>
      <c r="V6" s="13" t="s">
        <v>187</v>
      </c>
      <c r="W6" s="17"/>
      <c r="X6" s="13"/>
      <c r="Y6" s="13" t="s">
        <v>223</v>
      </c>
      <c r="Z6" s="13" t="s">
        <v>212</v>
      </c>
      <c r="AA6" s="13" t="s">
        <v>213</v>
      </c>
      <c r="AB6" s="13"/>
      <c r="AC6" s="17" t="n">
        <f aca="false">ROUND(AC5+(AC7-AC5)*(K6-K5)/(K7-K5),2)</f>
        <v>109.5</v>
      </c>
      <c r="AD6" s="13" t="s">
        <v>205</v>
      </c>
      <c r="AE6" s="19" t="n">
        <v>3.18</v>
      </c>
      <c r="AF6" s="19" t="n">
        <v>4.12</v>
      </c>
      <c r="AG6" s="19" t="n">
        <v>5.06</v>
      </c>
      <c r="AH6" s="13" t="s">
        <v>232</v>
      </c>
      <c r="AI6" s="17" t="n">
        <f aca="false">IF(OR(AC6="",AF6="",Settings!$B$5=""),"",ROUND(AC6-AF6*Settings!$B$5,2))</f>
        <v>94.42</v>
      </c>
      <c r="AJ6" s="13" t="s">
        <v>193</v>
      </c>
      <c r="AK6" s="13" t="s">
        <v>193</v>
      </c>
      <c r="AL6" s="14" t="s">
        <v>194</v>
      </c>
      <c r="AM6" s="13" t="s">
        <v>216</v>
      </c>
      <c r="AN6" s="15" t="n">
        <v>42263</v>
      </c>
      <c r="AO6" s="13"/>
      <c r="AP6" s="13" t="s">
        <v>196</v>
      </c>
      <c r="AQ6" s="16" t="n">
        <f aca="false">IFERROR(IF(AND(INDEX(Mob_Demob!$D$6:$D$14,MATCH(AM6,Mob_Demob!$A$6:$A$14,0))="",INDEX(Mob_Demob!$G$6:$G$14,MATCH(AM6,Mob_Demob!$A$6:$A$14,0))=""),"",ROUND(MAX(N(INDEX(Mob_Demob!$G$6:$G$14,MATCH(AM6,Mob_Demob!$A$6:$A$14,0))),N(INDEX(Mob_Demob!$D$6:$D$14,MATCH(AM6,Mob_Demob!$A$6:$A$14,0)))*Settings!$B$6)+IF(AP6="Y",N(INDEX(Mob_Demob!$I$6:$I$14,MATCH(AM6,Mob_Demob!$A$6:$A$14,0)))*Settings!$B$19,0)+N(INDEX(Mob_Demob!$L$6:$L$14,MATCH(AM6,Mob_Demob!$A$6:$A$14,0)))*N(INDEX(Mob_Demob!$K$6:$K$14,MATCH(AM6,Mob_Demob!$A$6:$A$14,0)))*Settings!$B$6+N(INDEX(Mob_Demob!$M$6:$M$14,MATCH(AM6,Mob_Demob!$A$6:$A$14,0)))*N(INDEX(Mob_Demob!$N$6:$N$14,MATCH(AM6,Mob_Demob!$A$6:$A$14,0))),0)),"")</f>
        <v>550</v>
      </c>
      <c r="AR6" s="16" t="n">
        <f aca="false">IF(AQ6="","",ROUND(AQ6*Settings!$B$18,0))</f>
        <v>550</v>
      </c>
      <c r="AS6" s="13" t="s">
        <v>233</v>
      </c>
      <c r="AT6" s="14" t="s">
        <v>234</v>
      </c>
      <c r="AU6" s="14"/>
    </row>
    <row r="7" customFormat="false" ht="64.15" hidden="false" customHeight="false" outlineLevel="0" collapsed="false">
      <c r="A7" s="11" t="s">
        <v>235</v>
      </c>
      <c r="B7" s="11" t="s">
        <v>176</v>
      </c>
      <c r="C7" s="11" t="s">
        <v>177</v>
      </c>
      <c r="D7" s="11" t="s">
        <v>220</v>
      </c>
      <c r="E7" s="12" t="s">
        <v>236</v>
      </c>
      <c r="F7" s="13" t="s">
        <v>180</v>
      </c>
      <c r="G7" s="13" t="n">
        <v>215</v>
      </c>
      <c r="H7" s="13" t="s">
        <v>181</v>
      </c>
      <c r="I7" s="14" t="s">
        <v>237</v>
      </c>
      <c r="J7" s="15" t="n">
        <v>50733</v>
      </c>
      <c r="K7" s="13" t="n">
        <v>215</v>
      </c>
      <c r="L7" s="13" t="s">
        <v>238</v>
      </c>
      <c r="M7" s="13"/>
      <c r="N7" s="13" t="s">
        <v>184</v>
      </c>
      <c r="O7" s="13" t="s">
        <v>185</v>
      </c>
      <c r="P7" s="13" t="s">
        <v>186</v>
      </c>
      <c r="Q7" s="20" t="n">
        <v>2111</v>
      </c>
      <c r="R7" s="20" t="n">
        <v>5730</v>
      </c>
      <c r="S7" s="20" t="n">
        <v>15656</v>
      </c>
      <c r="T7" s="20" t="n">
        <v>12000</v>
      </c>
      <c r="U7" s="20" t="n">
        <v>19312</v>
      </c>
      <c r="V7" s="13" t="s">
        <v>187</v>
      </c>
      <c r="W7" s="17"/>
      <c r="X7" s="13"/>
      <c r="Y7" s="13" t="s">
        <v>223</v>
      </c>
      <c r="Z7" s="13" t="s">
        <v>212</v>
      </c>
      <c r="AA7" s="13" t="s">
        <v>213</v>
      </c>
      <c r="AB7" s="13" t="s">
        <v>239</v>
      </c>
      <c r="AC7" s="18" t="n">
        <v>135.15</v>
      </c>
      <c r="AD7" s="13" t="s">
        <v>190</v>
      </c>
      <c r="AE7" s="19" t="n">
        <v>3.74</v>
      </c>
      <c r="AF7" s="19" t="n">
        <v>4.82</v>
      </c>
      <c r="AG7" s="19" t="n">
        <v>5.9</v>
      </c>
      <c r="AH7" s="13" t="s">
        <v>240</v>
      </c>
      <c r="AI7" s="17" t="n">
        <f aca="false">IF(OR(AC7="",AF7="",Settings!$B$5=""),"",ROUND(AC7-AF7*Settings!$B$5,2))</f>
        <v>117.51</v>
      </c>
      <c r="AJ7" s="13" t="s">
        <v>192</v>
      </c>
      <c r="AK7" s="13" t="s">
        <v>193</v>
      </c>
      <c r="AL7" s="14" t="s">
        <v>194</v>
      </c>
      <c r="AM7" s="13" t="s">
        <v>216</v>
      </c>
      <c r="AN7" s="15" t="n">
        <v>50733</v>
      </c>
      <c r="AO7" s="13"/>
      <c r="AP7" s="13" t="s">
        <v>241</v>
      </c>
      <c r="AQ7" s="16" t="n">
        <f aca="false">IFERROR(IF(AND(INDEX(Mob_Demob!$D$6:$D$14,MATCH(AM7,Mob_Demob!$A$6:$A$14,0))="",INDEX(Mob_Demob!$G$6:$G$14,MATCH(AM7,Mob_Demob!$A$6:$A$14,0))=""),"",ROUND(MAX(N(INDEX(Mob_Demob!$G$6:$G$14,MATCH(AM7,Mob_Demob!$A$6:$A$14,0))),N(INDEX(Mob_Demob!$D$6:$D$14,MATCH(AM7,Mob_Demob!$A$6:$A$14,0)))*Settings!$B$6)+IF(AP7="Y",N(INDEX(Mob_Demob!$I$6:$I$14,MATCH(AM7,Mob_Demob!$A$6:$A$14,0)))*Settings!$B$19,0)+N(INDEX(Mob_Demob!$L$6:$L$14,MATCH(AM7,Mob_Demob!$A$6:$A$14,0)))*N(INDEX(Mob_Demob!$K$6:$K$14,MATCH(AM7,Mob_Demob!$A$6:$A$14,0)))*Settings!$B$6+N(INDEX(Mob_Demob!$M$6:$M$14,MATCH(AM7,Mob_Demob!$A$6:$A$14,0)))*N(INDEX(Mob_Demob!$N$6:$N$14,MATCH(AM7,Mob_Demob!$A$6:$A$14,0))),0)),"")</f>
        <v>550</v>
      </c>
      <c r="AR7" s="16" t="n">
        <f aca="false">IF(AQ7="","",ROUND(AQ7*Settings!$B$18,0))</f>
        <v>550</v>
      </c>
      <c r="AS7" s="13" t="s">
        <v>233</v>
      </c>
      <c r="AT7" s="14" t="s">
        <v>242</v>
      </c>
      <c r="AU7" s="14"/>
    </row>
    <row r="8" customFormat="false" ht="64.15" hidden="false" customHeight="false" outlineLevel="0" collapsed="false">
      <c r="A8" s="11" t="s">
        <v>243</v>
      </c>
      <c r="B8" s="11" t="s">
        <v>176</v>
      </c>
      <c r="C8" s="11" t="s">
        <v>177</v>
      </c>
      <c r="D8" s="11" t="s">
        <v>244</v>
      </c>
      <c r="E8" s="12" t="s">
        <v>245</v>
      </c>
      <c r="F8" s="13" t="s">
        <v>180</v>
      </c>
      <c r="G8" s="13" t="n">
        <v>215</v>
      </c>
      <c r="H8" s="13" t="s">
        <v>181</v>
      </c>
      <c r="I8" s="14" t="s">
        <v>246</v>
      </c>
      <c r="J8" s="15" t="n">
        <v>51333</v>
      </c>
      <c r="K8" s="13" t="n">
        <v>215</v>
      </c>
      <c r="L8" s="13"/>
      <c r="M8" s="13"/>
      <c r="N8" s="13" t="s">
        <v>247</v>
      </c>
      <c r="O8" s="13" t="s">
        <v>185</v>
      </c>
      <c r="P8" s="13" t="s">
        <v>186</v>
      </c>
      <c r="Q8" s="16"/>
      <c r="R8" s="16"/>
      <c r="S8" s="16"/>
      <c r="T8" s="16"/>
      <c r="U8" s="16"/>
      <c r="V8" s="13" t="s">
        <v>187</v>
      </c>
      <c r="W8" s="17"/>
      <c r="X8" s="13"/>
      <c r="Y8" s="13"/>
      <c r="Z8" s="13"/>
      <c r="AA8" s="13" t="s">
        <v>188</v>
      </c>
      <c r="AB8" s="13"/>
      <c r="AC8" s="17"/>
      <c r="AD8" s="13"/>
      <c r="AE8" s="19" t="n">
        <v>3.59</v>
      </c>
      <c r="AF8" s="19" t="n">
        <v>4.6</v>
      </c>
      <c r="AG8" s="19" t="n">
        <v>5.61</v>
      </c>
      <c r="AH8" s="13" t="s">
        <v>248</v>
      </c>
      <c r="AI8" s="17"/>
      <c r="AJ8" s="13" t="s">
        <v>188</v>
      </c>
      <c r="AK8" s="13" t="s">
        <v>188</v>
      </c>
      <c r="AL8" s="14" t="s">
        <v>194</v>
      </c>
      <c r="AM8" s="13" t="s">
        <v>216</v>
      </c>
      <c r="AN8" s="15" t="n">
        <v>51333</v>
      </c>
      <c r="AO8" s="13"/>
      <c r="AP8" s="13" t="s">
        <v>241</v>
      </c>
      <c r="AQ8" s="16" t="n">
        <f aca="false">IFERROR(IF(AND(INDEX(Mob_Demob!$D$6:$D$14,MATCH(AM8,Mob_Demob!$A$6:$A$14,0))="",INDEX(Mob_Demob!$G$6:$G$14,MATCH(AM8,Mob_Demob!$A$6:$A$14,0))=""),"",ROUND(MAX(N(INDEX(Mob_Demob!$G$6:$G$14,MATCH(AM8,Mob_Demob!$A$6:$A$14,0))),N(INDEX(Mob_Demob!$D$6:$D$14,MATCH(AM8,Mob_Demob!$A$6:$A$14,0)))*Settings!$B$6)+IF(AP8="Y",N(INDEX(Mob_Demob!$I$6:$I$14,MATCH(AM8,Mob_Demob!$A$6:$A$14,0)))*Settings!$B$19,0)+N(INDEX(Mob_Demob!$L$6:$L$14,MATCH(AM8,Mob_Demob!$A$6:$A$14,0)))*N(INDEX(Mob_Demob!$K$6:$K$14,MATCH(AM8,Mob_Demob!$A$6:$A$14,0)))*Settings!$B$6+N(INDEX(Mob_Demob!$M$6:$M$14,MATCH(AM8,Mob_Demob!$A$6:$A$14,0)))*N(INDEX(Mob_Demob!$N$6:$N$14,MATCH(AM8,Mob_Demob!$A$6:$A$14,0))),0)),"")</f>
        <v>550</v>
      </c>
      <c r="AR8" s="16" t="n">
        <f aca="false">IF(AQ8="","",ROUND(AQ8*Settings!$B$18,0))</f>
        <v>550</v>
      </c>
      <c r="AS8" s="13" t="s">
        <v>249</v>
      </c>
      <c r="AT8" s="14" t="s">
        <v>250</v>
      </c>
      <c r="AU8" s="14" t="s">
        <v>251</v>
      </c>
    </row>
    <row r="9" customFormat="false" ht="64.15" hidden="false" customHeight="false" outlineLevel="0" collapsed="false">
      <c r="A9" s="11" t="s">
        <v>252</v>
      </c>
      <c r="B9" s="11" t="s">
        <v>176</v>
      </c>
      <c r="C9" s="11" t="s">
        <v>177</v>
      </c>
      <c r="D9" s="11" t="s">
        <v>253</v>
      </c>
      <c r="E9" s="12" t="s">
        <v>254</v>
      </c>
      <c r="F9" s="13" t="s">
        <v>255</v>
      </c>
      <c r="G9" s="13" t="s">
        <v>256</v>
      </c>
      <c r="H9" s="13"/>
      <c r="I9" s="14" t="s">
        <v>257</v>
      </c>
      <c r="J9" s="15"/>
      <c r="K9" s="13"/>
      <c r="L9" s="13" t="s">
        <v>258</v>
      </c>
      <c r="M9" s="13"/>
      <c r="N9" s="13" t="s">
        <v>184</v>
      </c>
      <c r="O9" s="13" t="s">
        <v>185</v>
      </c>
      <c r="P9" s="13" t="s">
        <v>186</v>
      </c>
      <c r="Q9" s="20" t="n">
        <v>2372</v>
      </c>
      <c r="R9" s="20" t="n">
        <v>6878</v>
      </c>
      <c r="S9" s="20" t="n">
        <v>19947</v>
      </c>
      <c r="T9" s="16"/>
      <c r="U9" s="16"/>
      <c r="V9" s="13" t="s">
        <v>187</v>
      </c>
      <c r="W9" s="17"/>
      <c r="X9" s="13"/>
      <c r="Y9" s="13" t="s">
        <v>259</v>
      </c>
      <c r="Z9" s="13" t="s">
        <v>260</v>
      </c>
      <c r="AA9" s="13" t="s">
        <v>192</v>
      </c>
      <c r="AB9" s="13"/>
      <c r="AC9" s="17"/>
      <c r="AD9" s="13"/>
      <c r="AE9" s="19"/>
      <c r="AF9" s="19"/>
      <c r="AG9" s="19"/>
      <c r="AH9" s="13"/>
      <c r="AI9" s="17"/>
      <c r="AJ9" s="13" t="s">
        <v>188</v>
      </c>
      <c r="AK9" s="13" t="s">
        <v>188</v>
      </c>
      <c r="AL9" s="14" t="s">
        <v>194</v>
      </c>
      <c r="AM9" s="13" t="s">
        <v>216</v>
      </c>
      <c r="AN9" s="15"/>
      <c r="AO9" s="13"/>
      <c r="AP9" s="13" t="s">
        <v>241</v>
      </c>
      <c r="AQ9" s="16" t="n">
        <f aca="false">IFERROR(IF(AND(INDEX(Mob_Demob!$D$6:$D$14,MATCH(AM9,Mob_Demob!$A$6:$A$14,0))="",INDEX(Mob_Demob!$G$6:$G$14,MATCH(AM9,Mob_Demob!$A$6:$A$14,0))=""),"",ROUND(MAX(N(INDEX(Mob_Demob!$G$6:$G$14,MATCH(AM9,Mob_Demob!$A$6:$A$14,0))),N(INDEX(Mob_Demob!$D$6:$D$14,MATCH(AM9,Mob_Demob!$A$6:$A$14,0)))*Settings!$B$6)+IF(AP9="Y",N(INDEX(Mob_Demob!$I$6:$I$14,MATCH(AM9,Mob_Demob!$A$6:$A$14,0)))*Settings!$B$19,0)+N(INDEX(Mob_Demob!$L$6:$L$14,MATCH(AM9,Mob_Demob!$A$6:$A$14,0)))*N(INDEX(Mob_Demob!$K$6:$K$14,MATCH(AM9,Mob_Demob!$A$6:$A$14,0)))*Settings!$B$6+N(INDEX(Mob_Demob!$M$6:$M$14,MATCH(AM9,Mob_Demob!$A$6:$A$14,0)))*N(INDEX(Mob_Demob!$N$6:$N$14,MATCH(AM9,Mob_Demob!$A$6:$A$14,0))),0)),"")</f>
        <v>550</v>
      </c>
      <c r="AR9" s="16" t="n">
        <f aca="false">IF(AQ9="","",ROUND(AQ9*Settings!$B$18,0))</f>
        <v>550</v>
      </c>
      <c r="AS9" s="13" t="s">
        <v>197</v>
      </c>
      <c r="AT9" s="14" t="s">
        <v>261</v>
      </c>
      <c r="AU9" s="14" t="s">
        <v>262</v>
      </c>
    </row>
    <row r="10" customFormat="false" ht="64.15" hidden="false" customHeight="false" outlineLevel="0" collapsed="false">
      <c r="A10" s="11" t="s">
        <v>263</v>
      </c>
      <c r="B10" s="11" t="s">
        <v>176</v>
      </c>
      <c r="C10" s="11" t="s">
        <v>177</v>
      </c>
      <c r="D10" s="11" t="s">
        <v>220</v>
      </c>
      <c r="E10" s="12" t="s">
        <v>264</v>
      </c>
      <c r="F10" s="13" t="s">
        <v>180</v>
      </c>
      <c r="G10" s="13" t="n">
        <v>265</v>
      </c>
      <c r="H10" s="13" t="s">
        <v>181</v>
      </c>
      <c r="I10" s="14" t="s">
        <v>265</v>
      </c>
      <c r="J10" s="15" t="n">
        <v>65644</v>
      </c>
      <c r="K10" s="13" t="n">
        <v>265</v>
      </c>
      <c r="L10" s="13" t="s">
        <v>266</v>
      </c>
      <c r="M10" s="13"/>
      <c r="N10" s="13" t="s">
        <v>184</v>
      </c>
      <c r="O10" s="13" t="s">
        <v>185</v>
      </c>
      <c r="P10" s="13" t="s">
        <v>186</v>
      </c>
      <c r="Q10" s="20" t="n">
        <v>2973</v>
      </c>
      <c r="R10" s="20" t="n">
        <v>8623</v>
      </c>
      <c r="S10" s="20" t="n">
        <v>25006</v>
      </c>
      <c r="T10" s="16"/>
      <c r="U10" s="16"/>
      <c r="V10" s="13" t="s">
        <v>187</v>
      </c>
      <c r="W10" s="17"/>
      <c r="X10" s="13"/>
      <c r="Y10" s="13" t="s">
        <v>259</v>
      </c>
      <c r="Z10" s="13" t="s">
        <v>260</v>
      </c>
      <c r="AA10" s="13" t="s">
        <v>192</v>
      </c>
      <c r="AB10" s="13"/>
      <c r="AC10" s="17" t="n">
        <f aca="false">ROUND(AC7+(AC11-AC7)*(K10-K7)/(K11-K7),2)</f>
        <v>161.61</v>
      </c>
      <c r="AD10" s="13" t="s">
        <v>205</v>
      </c>
      <c r="AE10" s="19" t="n">
        <v>4.4</v>
      </c>
      <c r="AF10" s="19" t="n">
        <v>5.71</v>
      </c>
      <c r="AG10" s="19" t="n">
        <v>7.02</v>
      </c>
      <c r="AH10" s="13" t="s">
        <v>267</v>
      </c>
      <c r="AI10" s="17" t="n">
        <f aca="false">IF(OR(AC10="",AF10="",Settings!$B$5=""),"",ROUND(AC10-AF10*Settings!$B$5,2))</f>
        <v>140.71</v>
      </c>
      <c r="AJ10" s="13" t="s">
        <v>193</v>
      </c>
      <c r="AK10" s="13" t="s">
        <v>193</v>
      </c>
      <c r="AL10" s="14" t="s">
        <v>194</v>
      </c>
      <c r="AM10" s="13" t="s">
        <v>268</v>
      </c>
      <c r="AN10" s="15" t="n">
        <v>65644</v>
      </c>
      <c r="AO10" s="13"/>
      <c r="AP10" s="13" t="s">
        <v>269</v>
      </c>
      <c r="AQ10" s="16" t="n">
        <f aca="false">IFERROR(IF(AND(INDEX(Mob_Demob!$D$6:$D$14,MATCH(AM10,Mob_Demob!$A$6:$A$14,0))="",INDEX(Mob_Demob!$G$6:$G$14,MATCH(AM10,Mob_Demob!$A$6:$A$14,0))=""),"",ROUND(MAX(N(INDEX(Mob_Demob!$G$6:$G$14,MATCH(AM10,Mob_Demob!$A$6:$A$14,0))),N(INDEX(Mob_Demob!$D$6:$D$14,MATCH(AM10,Mob_Demob!$A$6:$A$14,0)))*Settings!$B$6)+IF(AP10="Y",N(INDEX(Mob_Demob!$I$6:$I$14,MATCH(AM10,Mob_Demob!$A$6:$A$14,0)))*Settings!$B$19,0)+N(INDEX(Mob_Demob!$L$6:$L$14,MATCH(AM10,Mob_Demob!$A$6:$A$14,0)))*N(INDEX(Mob_Demob!$K$6:$K$14,MATCH(AM10,Mob_Demob!$A$6:$A$14,0)))*Settings!$B$6+N(INDEX(Mob_Demob!$M$6:$M$14,MATCH(AM10,Mob_Demob!$A$6:$A$14,0)))*N(INDEX(Mob_Demob!$N$6:$N$14,MATCH(AM10,Mob_Demob!$A$6:$A$14,0))),0)),"")</f>
        <v>1800</v>
      </c>
      <c r="AR10" s="16" t="n">
        <f aca="false">IF(AQ10="","",ROUND(AQ10*Settings!$B$18,0))</f>
        <v>1800</v>
      </c>
      <c r="AS10" s="13" t="s">
        <v>233</v>
      </c>
      <c r="AT10" s="14" t="s">
        <v>270</v>
      </c>
      <c r="AU10" s="14"/>
    </row>
    <row r="11" customFormat="false" ht="64.15" hidden="false" customHeight="false" outlineLevel="0" collapsed="false">
      <c r="A11" s="11" t="s">
        <v>271</v>
      </c>
      <c r="B11" s="11" t="s">
        <v>176</v>
      </c>
      <c r="C11" s="11" t="s">
        <v>177</v>
      </c>
      <c r="D11" s="11" t="s">
        <v>272</v>
      </c>
      <c r="E11" s="12" t="s">
        <v>273</v>
      </c>
      <c r="F11" s="13" t="s">
        <v>180</v>
      </c>
      <c r="G11" s="13" t="n">
        <v>363</v>
      </c>
      <c r="H11" s="13" t="s">
        <v>181</v>
      </c>
      <c r="I11" s="14" t="s">
        <v>274</v>
      </c>
      <c r="J11" s="15" t="n">
        <v>87083</v>
      </c>
      <c r="K11" s="13" t="n">
        <v>363</v>
      </c>
      <c r="L11" s="13" t="s">
        <v>275</v>
      </c>
      <c r="M11" s="13"/>
      <c r="N11" s="13" t="s">
        <v>184</v>
      </c>
      <c r="O11" s="13" t="s">
        <v>185</v>
      </c>
      <c r="P11" s="13" t="s">
        <v>186</v>
      </c>
      <c r="Q11" s="20" t="n">
        <v>4170</v>
      </c>
      <c r="R11" s="20" t="n">
        <v>12092</v>
      </c>
      <c r="S11" s="20" t="n">
        <v>35066</v>
      </c>
      <c r="T11" s="16"/>
      <c r="U11" s="16"/>
      <c r="V11" s="13" t="s">
        <v>187</v>
      </c>
      <c r="W11" s="17"/>
      <c r="X11" s="13"/>
      <c r="Y11" s="13" t="s">
        <v>259</v>
      </c>
      <c r="Z11" s="13" t="s">
        <v>260</v>
      </c>
      <c r="AA11" s="13" t="s">
        <v>192</v>
      </c>
      <c r="AB11" s="13" t="s">
        <v>276</v>
      </c>
      <c r="AC11" s="18" t="n">
        <v>213.48</v>
      </c>
      <c r="AD11" s="13" t="s">
        <v>190</v>
      </c>
      <c r="AE11" s="19" t="n">
        <v>6.54</v>
      </c>
      <c r="AF11" s="19" t="n">
        <v>8.59</v>
      </c>
      <c r="AG11" s="19" t="n">
        <v>10.64</v>
      </c>
      <c r="AH11" s="13" t="s">
        <v>277</v>
      </c>
      <c r="AI11" s="17" t="n">
        <f aca="false">IF(OR(AC11="",AF11="",Settings!$B$5=""),"",ROUND(AC11-AF11*Settings!$B$5,2))</f>
        <v>182.04</v>
      </c>
      <c r="AJ11" s="13" t="s">
        <v>192</v>
      </c>
      <c r="AK11" s="13" t="s">
        <v>193</v>
      </c>
      <c r="AL11" s="14" t="s">
        <v>194</v>
      </c>
      <c r="AM11" s="13" t="s">
        <v>268</v>
      </c>
      <c r="AN11" s="15" t="n">
        <v>87083</v>
      </c>
      <c r="AO11" s="13"/>
      <c r="AP11" s="13" t="s">
        <v>269</v>
      </c>
      <c r="AQ11" s="16" t="n">
        <f aca="false">IFERROR(IF(AND(INDEX(Mob_Demob!$D$6:$D$14,MATCH(AM11,Mob_Demob!$A$6:$A$14,0))="",INDEX(Mob_Demob!$G$6:$G$14,MATCH(AM11,Mob_Demob!$A$6:$A$14,0))=""),"",ROUND(MAX(N(INDEX(Mob_Demob!$G$6:$G$14,MATCH(AM11,Mob_Demob!$A$6:$A$14,0))),N(INDEX(Mob_Demob!$D$6:$D$14,MATCH(AM11,Mob_Demob!$A$6:$A$14,0)))*Settings!$B$6)+IF(AP11="Y",N(INDEX(Mob_Demob!$I$6:$I$14,MATCH(AM11,Mob_Demob!$A$6:$A$14,0)))*Settings!$B$19,0)+N(INDEX(Mob_Demob!$L$6:$L$14,MATCH(AM11,Mob_Demob!$A$6:$A$14,0)))*N(INDEX(Mob_Demob!$K$6:$K$14,MATCH(AM11,Mob_Demob!$A$6:$A$14,0)))*Settings!$B$6+N(INDEX(Mob_Demob!$M$6:$M$14,MATCH(AM11,Mob_Demob!$A$6:$A$14,0)))*N(INDEX(Mob_Demob!$N$6:$N$14,MATCH(AM11,Mob_Demob!$A$6:$A$14,0))),0)),"")</f>
        <v>1800</v>
      </c>
      <c r="AR11" s="16" t="n">
        <f aca="false">IF(AQ11="","",ROUND(AQ11*Settings!$B$18,0))</f>
        <v>1800</v>
      </c>
      <c r="AS11" s="13" t="s">
        <v>278</v>
      </c>
      <c r="AT11" s="14" t="s">
        <v>279</v>
      </c>
      <c r="AU11" s="14"/>
    </row>
    <row r="12" customFormat="false" ht="64.15" hidden="false" customHeight="false" outlineLevel="0" collapsed="false">
      <c r="A12" s="11" t="s">
        <v>280</v>
      </c>
      <c r="B12" s="11" t="s">
        <v>176</v>
      </c>
      <c r="C12" s="11" t="s">
        <v>177</v>
      </c>
      <c r="D12" s="11" t="s">
        <v>272</v>
      </c>
      <c r="E12" s="12" t="s">
        <v>281</v>
      </c>
      <c r="F12" s="13" t="s">
        <v>180</v>
      </c>
      <c r="G12" s="13" t="n">
        <v>452</v>
      </c>
      <c r="H12" s="13" t="s">
        <v>181</v>
      </c>
      <c r="I12" s="14" t="s">
        <v>282</v>
      </c>
      <c r="J12" s="15" t="n">
        <v>110205</v>
      </c>
      <c r="K12" s="13" t="n">
        <v>452</v>
      </c>
      <c r="L12" s="13" t="s">
        <v>283</v>
      </c>
      <c r="M12" s="13"/>
      <c r="N12" s="13" t="s">
        <v>184</v>
      </c>
      <c r="O12" s="13" t="s">
        <v>185</v>
      </c>
      <c r="P12" s="13" t="s">
        <v>186</v>
      </c>
      <c r="Q12" s="16"/>
      <c r="R12" s="16"/>
      <c r="S12" s="16"/>
      <c r="T12" s="16"/>
      <c r="U12" s="16"/>
      <c r="V12" s="13" t="s">
        <v>187</v>
      </c>
      <c r="W12" s="17"/>
      <c r="X12" s="13"/>
      <c r="Y12" s="13"/>
      <c r="Z12" s="13"/>
      <c r="AA12" s="13" t="s">
        <v>188</v>
      </c>
      <c r="AB12" s="13" t="s">
        <v>284</v>
      </c>
      <c r="AC12" s="18" t="n">
        <v>360.3</v>
      </c>
      <c r="AD12" s="13" t="s">
        <v>190</v>
      </c>
      <c r="AE12" s="19" t="n">
        <v>7.93</v>
      </c>
      <c r="AF12" s="19" t="n">
        <v>10.38</v>
      </c>
      <c r="AG12" s="19" t="n">
        <v>12.82</v>
      </c>
      <c r="AH12" s="13" t="s">
        <v>285</v>
      </c>
      <c r="AI12" s="17" t="n">
        <f aca="false">IF(OR(AC12="",AF12="",Settings!$B$5=""),"",ROUND(AC12-AF12*Settings!$B$5,2))</f>
        <v>322.31</v>
      </c>
      <c r="AJ12" s="13" t="s">
        <v>192</v>
      </c>
      <c r="AK12" s="13" t="s">
        <v>193</v>
      </c>
      <c r="AL12" s="14" t="s">
        <v>194</v>
      </c>
      <c r="AM12" s="13" t="s">
        <v>286</v>
      </c>
      <c r="AN12" s="15" t="n">
        <v>110205</v>
      </c>
      <c r="AO12" s="13"/>
      <c r="AP12" s="13" t="s">
        <v>269</v>
      </c>
      <c r="AQ12" s="16" t="n">
        <f aca="false">IFERROR(IF(AND(INDEX(Mob_Demob!$D$6:$D$14,MATCH(AM12,Mob_Demob!$A$6:$A$14,0))="",INDEX(Mob_Demob!$G$6:$G$14,MATCH(AM12,Mob_Demob!$A$6:$A$14,0))=""),"",ROUND(MAX(N(INDEX(Mob_Demob!$G$6:$G$14,MATCH(AM12,Mob_Demob!$A$6:$A$14,0))),N(INDEX(Mob_Demob!$D$6:$D$14,MATCH(AM12,Mob_Demob!$A$6:$A$14,0)))*Settings!$B$6)+IF(AP12="Y",N(INDEX(Mob_Demob!$I$6:$I$14,MATCH(AM12,Mob_Demob!$A$6:$A$14,0)))*Settings!$B$19,0)+N(INDEX(Mob_Demob!$L$6:$L$14,MATCH(AM12,Mob_Demob!$A$6:$A$14,0)))*N(INDEX(Mob_Demob!$K$6:$K$14,MATCH(AM12,Mob_Demob!$A$6:$A$14,0)))*Settings!$B$6+N(INDEX(Mob_Demob!$M$6:$M$14,MATCH(AM12,Mob_Demob!$A$6:$A$14,0)))*N(INDEX(Mob_Demob!$N$6:$N$14,MATCH(AM12,Mob_Demob!$A$6:$A$14,0))),0)),"")</f>
        <v>1913</v>
      </c>
      <c r="AR12" s="16" t="n">
        <f aca="false">IF(AQ12="","",ROUND(AQ12*Settings!$B$18,0))</f>
        <v>1913</v>
      </c>
      <c r="AS12" s="13" t="s">
        <v>287</v>
      </c>
      <c r="AT12" s="14" t="s">
        <v>288</v>
      </c>
      <c r="AU12" s="14" t="s">
        <v>199</v>
      </c>
    </row>
    <row r="13" customFormat="false" ht="64.15" hidden="false" customHeight="false" outlineLevel="0" collapsed="false">
      <c r="A13" s="11" t="s">
        <v>289</v>
      </c>
      <c r="B13" s="11" t="s">
        <v>176</v>
      </c>
      <c r="C13" s="11" t="s">
        <v>177</v>
      </c>
      <c r="D13" s="11" t="s">
        <v>272</v>
      </c>
      <c r="E13" s="12" t="s">
        <v>290</v>
      </c>
      <c r="F13" s="13" t="s">
        <v>180</v>
      </c>
      <c r="G13" s="13" t="n">
        <v>602</v>
      </c>
      <c r="H13" s="13" t="s">
        <v>181</v>
      </c>
      <c r="I13" s="14" t="s">
        <v>291</v>
      </c>
      <c r="J13" s="15" t="n">
        <v>154888</v>
      </c>
      <c r="K13" s="13" t="n">
        <v>602</v>
      </c>
      <c r="L13" s="13" t="s">
        <v>292</v>
      </c>
      <c r="M13" s="13"/>
      <c r="N13" s="13" t="s">
        <v>184</v>
      </c>
      <c r="O13" s="13" t="s">
        <v>185</v>
      </c>
      <c r="P13" s="13" t="s">
        <v>186</v>
      </c>
      <c r="Q13" s="16"/>
      <c r="R13" s="16"/>
      <c r="S13" s="16"/>
      <c r="T13" s="16"/>
      <c r="U13" s="16"/>
      <c r="V13" s="13" t="s">
        <v>187</v>
      </c>
      <c r="W13" s="17"/>
      <c r="X13" s="13"/>
      <c r="Y13" s="13"/>
      <c r="Z13" s="13"/>
      <c r="AA13" s="13" t="s">
        <v>188</v>
      </c>
      <c r="AB13" s="13"/>
      <c r="AC13" s="17" t="n">
        <f aca="false">ROUND(AC12+(AC14-AC12)*(K13-K12)/(K14-K12),2)</f>
        <v>431.85</v>
      </c>
      <c r="AD13" s="13" t="s">
        <v>205</v>
      </c>
      <c r="AE13" s="19" t="n">
        <v>11.46</v>
      </c>
      <c r="AF13" s="19" t="n">
        <v>15.09</v>
      </c>
      <c r="AG13" s="19" t="n">
        <v>18.73</v>
      </c>
      <c r="AH13" s="13" t="s">
        <v>293</v>
      </c>
      <c r="AI13" s="17" t="n">
        <f aca="false">IF(OR(AC13="",AF13="",Settings!$B$5=""),"",ROUND(AC13-AF13*Settings!$B$5,2))</f>
        <v>376.62</v>
      </c>
      <c r="AJ13" s="13" t="s">
        <v>193</v>
      </c>
      <c r="AK13" s="13" t="s">
        <v>193</v>
      </c>
      <c r="AL13" s="14" t="s">
        <v>194</v>
      </c>
      <c r="AM13" s="13" t="s">
        <v>286</v>
      </c>
      <c r="AN13" s="15" t="n">
        <v>154888</v>
      </c>
      <c r="AO13" s="13"/>
      <c r="AP13" s="13" t="s">
        <v>269</v>
      </c>
      <c r="AQ13" s="16" t="n">
        <f aca="false">IFERROR(IF(AND(INDEX(Mob_Demob!$D$6:$D$14,MATCH(AM13,Mob_Demob!$A$6:$A$14,0))="",INDEX(Mob_Demob!$G$6:$G$14,MATCH(AM13,Mob_Demob!$A$6:$A$14,0))=""),"",ROUND(MAX(N(INDEX(Mob_Demob!$G$6:$G$14,MATCH(AM13,Mob_Demob!$A$6:$A$14,0))),N(INDEX(Mob_Demob!$D$6:$D$14,MATCH(AM13,Mob_Demob!$A$6:$A$14,0)))*Settings!$B$6)+IF(AP13="Y",N(INDEX(Mob_Demob!$I$6:$I$14,MATCH(AM13,Mob_Demob!$A$6:$A$14,0)))*Settings!$B$19,0)+N(INDEX(Mob_Demob!$L$6:$L$14,MATCH(AM13,Mob_Demob!$A$6:$A$14,0)))*N(INDEX(Mob_Demob!$K$6:$K$14,MATCH(AM13,Mob_Demob!$A$6:$A$14,0)))*Settings!$B$6+N(INDEX(Mob_Demob!$M$6:$M$14,MATCH(AM13,Mob_Demob!$A$6:$A$14,0)))*N(INDEX(Mob_Demob!$N$6:$N$14,MATCH(AM13,Mob_Demob!$A$6:$A$14,0))),0)),"")</f>
        <v>1913</v>
      </c>
      <c r="AR13" s="16" t="n">
        <f aca="false">IF(AQ13="","",ROUND(AQ13*Settings!$B$18,0))</f>
        <v>1913</v>
      </c>
      <c r="AS13" s="13" t="s">
        <v>294</v>
      </c>
      <c r="AT13" s="14" t="s">
        <v>295</v>
      </c>
      <c r="AU13" s="14" t="s">
        <v>199</v>
      </c>
    </row>
    <row r="14" customFormat="false" ht="64.15" hidden="false" customHeight="false" outlineLevel="0" collapsed="false">
      <c r="A14" s="11" t="s">
        <v>296</v>
      </c>
      <c r="B14" s="11" t="s">
        <v>176</v>
      </c>
      <c r="C14" s="11" t="s">
        <v>177</v>
      </c>
      <c r="D14" s="11" t="s">
        <v>272</v>
      </c>
      <c r="E14" s="12" t="s">
        <v>297</v>
      </c>
      <c r="F14" s="13" t="s">
        <v>180</v>
      </c>
      <c r="G14" s="13" t="n">
        <v>850</v>
      </c>
      <c r="H14" s="13" t="s">
        <v>181</v>
      </c>
      <c r="I14" s="14" t="s">
        <v>298</v>
      </c>
      <c r="J14" s="15" t="n">
        <v>235507</v>
      </c>
      <c r="K14" s="13" t="n">
        <v>850</v>
      </c>
      <c r="L14" s="13" t="s">
        <v>299</v>
      </c>
      <c r="M14" s="13"/>
      <c r="N14" s="13" t="s">
        <v>184</v>
      </c>
      <c r="O14" s="13" t="s">
        <v>185</v>
      </c>
      <c r="P14" s="13" t="s">
        <v>186</v>
      </c>
      <c r="Q14" s="16"/>
      <c r="R14" s="16"/>
      <c r="S14" s="16"/>
      <c r="T14" s="16"/>
      <c r="U14" s="16"/>
      <c r="V14" s="13" t="s">
        <v>187</v>
      </c>
      <c r="W14" s="17"/>
      <c r="X14" s="13"/>
      <c r="Y14" s="13"/>
      <c r="Z14" s="13"/>
      <c r="AA14" s="13" t="s">
        <v>188</v>
      </c>
      <c r="AB14" s="13" t="s">
        <v>300</v>
      </c>
      <c r="AC14" s="18" t="n">
        <v>550.14</v>
      </c>
      <c r="AD14" s="13" t="s">
        <v>190</v>
      </c>
      <c r="AE14" s="19" t="n">
        <v>15.45</v>
      </c>
      <c r="AF14" s="19" t="n">
        <v>20.52</v>
      </c>
      <c r="AG14" s="19" t="n">
        <v>25.59</v>
      </c>
      <c r="AH14" s="13" t="s">
        <v>301</v>
      </c>
      <c r="AI14" s="17" t="n">
        <f aca="false">IF(OR(AC14="",AF14="",Settings!$B$5=""),"",ROUND(AC14-AF14*Settings!$B$5,2))</f>
        <v>475.04</v>
      </c>
      <c r="AJ14" s="13" t="s">
        <v>192</v>
      </c>
      <c r="AK14" s="13" t="s">
        <v>193</v>
      </c>
      <c r="AL14" s="14" t="s">
        <v>194</v>
      </c>
      <c r="AM14" s="13" t="s">
        <v>286</v>
      </c>
      <c r="AN14" s="15" t="n">
        <v>235507</v>
      </c>
      <c r="AO14" s="13"/>
      <c r="AP14" s="13" t="s">
        <v>269</v>
      </c>
      <c r="AQ14" s="16" t="n">
        <f aca="false">IFERROR(IF(AND(INDEX(Mob_Demob!$D$6:$D$14,MATCH(AM14,Mob_Demob!$A$6:$A$14,0))="",INDEX(Mob_Demob!$G$6:$G$14,MATCH(AM14,Mob_Demob!$A$6:$A$14,0))=""),"",ROUND(MAX(N(INDEX(Mob_Demob!$G$6:$G$14,MATCH(AM14,Mob_Demob!$A$6:$A$14,0))),N(INDEX(Mob_Demob!$D$6:$D$14,MATCH(AM14,Mob_Demob!$A$6:$A$14,0)))*Settings!$B$6)+IF(AP14="Y",N(INDEX(Mob_Demob!$I$6:$I$14,MATCH(AM14,Mob_Demob!$A$6:$A$14,0)))*Settings!$B$19,0)+N(INDEX(Mob_Demob!$L$6:$L$14,MATCH(AM14,Mob_Demob!$A$6:$A$14,0)))*N(INDEX(Mob_Demob!$K$6:$K$14,MATCH(AM14,Mob_Demob!$A$6:$A$14,0)))*Settings!$B$6+N(INDEX(Mob_Demob!$M$6:$M$14,MATCH(AM14,Mob_Demob!$A$6:$A$14,0)))*N(INDEX(Mob_Demob!$N$6:$N$14,MATCH(AM14,Mob_Demob!$A$6:$A$14,0))),0)),"")</f>
        <v>1913</v>
      </c>
      <c r="AR14" s="16" t="n">
        <f aca="false">IF(AQ14="","",ROUND(AQ14*Settings!$B$18,0))</f>
        <v>1913</v>
      </c>
      <c r="AS14" s="13" t="s">
        <v>294</v>
      </c>
      <c r="AT14" s="14" t="s">
        <v>302</v>
      </c>
      <c r="AU14" s="14" t="s">
        <v>199</v>
      </c>
    </row>
    <row r="15" customFormat="false" ht="64.15" hidden="false" customHeight="false" outlineLevel="0" collapsed="false">
      <c r="A15" s="11" t="s">
        <v>303</v>
      </c>
      <c r="B15" s="11" t="s">
        <v>176</v>
      </c>
      <c r="C15" s="11" t="s">
        <v>304</v>
      </c>
      <c r="D15" s="11" t="s">
        <v>305</v>
      </c>
      <c r="E15" s="12" t="s">
        <v>306</v>
      </c>
      <c r="F15" s="13" t="s">
        <v>180</v>
      </c>
      <c r="G15" s="13" t="n">
        <v>249</v>
      </c>
      <c r="H15" s="13" t="s">
        <v>181</v>
      </c>
      <c r="I15" s="14" t="s">
        <v>307</v>
      </c>
      <c r="J15" s="15"/>
      <c r="K15" s="13" t="n">
        <v>249</v>
      </c>
      <c r="L15" s="13"/>
      <c r="M15" s="13"/>
      <c r="N15" s="13" t="s">
        <v>184</v>
      </c>
      <c r="O15" s="13" t="s">
        <v>185</v>
      </c>
      <c r="P15" s="13" t="s">
        <v>186</v>
      </c>
      <c r="Q15" s="16"/>
      <c r="R15" s="16"/>
      <c r="S15" s="16"/>
      <c r="T15" s="16"/>
      <c r="U15" s="16"/>
      <c r="V15" s="13" t="s">
        <v>187</v>
      </c>
      <c r="W15" s="17"/>
      <c r="X15" s="13"/>
      <c r="Y15" s="13"/>
      <c r="Z15" s="13"/>
      <c r="AA15" s="13" t="s">
        <v>188</v>
      </c>
      <c r="AB15" s="13" t="s">
        <v>308</v>
      </c>
      <c r="AC15" s="18" t="n">
        <v>101.21</v>
      </c>
      <c r="AD15" s="13" t="s">
        <v>190</v>
      </c>
      <c r="AE15" s="19" t="n">
        <f aca="false">ROUND(K15*Settings!$B$11*Settings!$B$13,2)</f>
        <v>4.24</v>
      </c>
      <c r="AF15" s="19" t="n">
        <f aca="false">ROUND(K15*Settings!$B$11*Settings!$B$14,2)</f>
        <v>5.57</v>
      </c>
      <c r="AG15" s="19" t="n">
        <f aca="false">ROUND(K15*Settings!$B$11*Settings!$B$15,2)</f>
        <v>7.26</v>
      </c>
      <c r="AH15" s="13" t="s">
        <v>191</v>
      </c>
      <c r="AI15" s="17" t="n">
        <f aca="false">IF(OR(AC15="",AF15="",Settings!$B$5=""),"",ROUND(AC15-AF15*Settings!$B$5,2))</f>
        <v>80.82</v>
      </c>
      <c r="AJ15" s="13" t="s">
        <v>192</v>
      </c>
      <c r="AK15" s="13" t="s">
        <v>193</v>
      </c>
      <c r="AL15" s="14" t="s">
        <v>194</v>
      </c>
      <c r="AM15" s="13" t="s">
        <v>268</v>
      </c>
      <c r="AN15" s="15"/>
      <c r="AO15" s="13"/>
      <c r="AP15" s="13" t="s">
        <v>269</v>
      </c>
      <c r="AQ15" s="16" t="n">
        <f aca="false">IFERROR(IF(AND(INDEX(Mob_Demob!$D$6:$D$14,MATCH(AM15,Mob_Demob!$A$6:$A$14,0))="",INDEX(Mob_Demob!$G$6:$G$14,MATCH(AM15,Mob_Demob!$A$6:$A$14,0))=""),"",ROUND(MAX(N(INDEX(Mob_Demob!$G$6:$G$14,MATCH(AM15,Mob_Demob!$A$6:$A$14,0))),N(INDEX(Mob_Demob!$D$6:$D$14,MATCH(AM15,Mob_Demob!$A$6:$A$14,0)))*Settings!$B$6)+IF(AP15="Y",N(INDEX(Mob_Demob!$I$6:$I$14,MATCH(AM15,Mob_Demob!$A$6:$A$14,0)))*Settings!$B$19,0)+N(INDEX(Mob_Demob!$L$6:$L$14,MATCH(AM15,Mob_Demob!$A$6:$A$14,0)))*N(INDEX(Mob_Demob!$K$6:$K$14,MATCH(AM15,Mob_Demob!$A$6:$A$14,0)))*Settings!$B$6+N(INDEX(Mob_Demob!$M$6:$M$14,MATCH(AM15,Mob_Demob!$A$6:$A$14,0)))*N(INDEX(Mob_Demob!$N$6:$N$14,MATCH(AM15,Mob_Demob!$A$6:$A$14,0))),0)),"")</f>
        <v>1800</v>
      </c>
      <c r="AR15" s="16" t="n">
        <f aca="false">IF(AQ15="","",ROUND(AQ15*Settings!$B$18,0))</f>
        <v>1800</v>
      </c>
      <c r="AS15" s="13" t="s">
        <v>309</v>
      </c>
      <c r="AT15" s="14" t="s">
        <v>310</v>
      </c>
      <c r="AU15" s="14" t="s">
        <v>199</v>
      </c>
    </row>
    <row r="16" customFormat="false" ht="64.15" hidden="false" customHeight="false" outlineLevel="0" collapsed="false">
      <c r="A16" s="11" t="s">
        <v>311</v>
      </c>
      <c r="B16" s="11" t="s">
        <v>176</v>
      </c>
      <c r="C16" s="11" t="s">
        <v>304</v>
      </c>
      <c r="D16" s="11" t="s">
        <v>305</v>
      </c>
      <c r="E16" s="12" t="s">
        <v>312</v>
      </c>
      <c r="F16" s="13" t="s">
        <v>180</v>
      </c>
      <c r="G16" s="13" t="n">
        <v>405</v>
      </c>
      <c r="H16" s="13" t="s">
        <v>181</v>
      </c>
      <c r="I16" s="14" t="s">
        <v>313</v>
      </c>
      <c r="J16" s="15" t="n">
        <v>74966</v>
      </c>
      <c r="K16" s="13" t="n">
        <v>405</v>
      </c>
      <c r="L16" s="13"/>
      <c r="M16" s="13"/>
      <c r="N16" s="13" t="s">
        <v>184</v>
      </c>
      <c r="O16" s="13" t="s">
        <v>185</v>
      </c>
      <c r="P16" s="13" t="s">
        <v>186</v>
      </c>
      <c r="Q16" s="16"/>
      <c r="R16" s="16"/>
      <c r="S16" s="16"/>
      <c r="T16" s="16"/>
      <c r="U16" s="16"/>
      <c r="V16" s="13" t="s">
        <v>187</v>
      </c>
      <c r="W16" s="17"/>
      <c r="X16" s="13"/>
      <c r="Y16" s="13"/>
      <c r="Z16" s="13"/>
      <c r="AA16" s="13" t="s">
        <v>188</v>
      </c>
      <c r="AB16" s="13" t="s">
        <v>314</v>
      </c>
      <c r="AC16" s="18" t="n">
        <v>170.28</v>
      </c>
      <c r="AD16" s="13" t="s">
        <v>190</v>
      </c>
      <c r="AE16" s="19" t="n">
        <f aca="false">ROUND(K16*Settings!$B$11*Settings!$B$13,2)</f>
        <v>6.89</v>
      </c>
      <c r="AF16" s="19" t="n">
        <f aca="false">ROUND(K16*Settings!$B$11*Settings!$B$14,2)</f>
        <v>9.05</v>
      </c>
      <c r="AG16" s="19" t="n">
        <f aca="false">ROUND(K16*Settings!$B$11*Settings!$B$15,2)</f>
        <v>11.81</v>
      </c>
      <c r="AH16" s="13" t="s">
        <v>191</v>
      </c>
      <c r="AI16" s="17" t="n">
        <f aca="false">IF(OR(AC16="",AF16="",Settings!$B$5=""),"",ROUND(AC16-AF16*Settings!$B$5,2))</f>
        <v>137.16</v>
      </c>
      <c r="AJ16" s="13" t="s">
        <v>192</v>
      </c>
      <c r="AK16" s="13" t="s">
        <v>193</v>
      </c>
      <c r="AL16" s="14" t="s">
        <v>194</v>
      </c>
      <c r="AM16" s="13" t="s">
        <v>268</v>
      </c>
      <c r="AN16" s="15" t="n">
        <v>74966</v>
      </c>
      <c r="AO16" s="13"/>
      <c r="AP16" s="13" t="s">
        <v>269</v>
      </c>
      <c r="AQ16" s="16" t="n">
        <f aca="false">IFERROR(IF(AND(INDEX(Mob_Demob!$D$6:$D$14,MATCH(AM16,Mob_Demob!$A$6:$A$14,0))="",INDEX(Mob_Demob!$G$6:$G$14,MATCH(AM16,Mob_Demob!$A$6:$A$14,0))=""),"",ROUND(MAX(N(INDEX(Mob_Demob!$G$6:$G$14,MATCH(AM16,Mob_Demob!$A$6:$A$14,0))),N(INDEX(Mob_Demob!$D$6:$D$14,MATCH(AM16,Mob_Demob!$A$6:$A$14,0)))*Settings!$B$6)+IF(AP16="Y",N(INDEX(Mob_Demob!$I$6:$I$14,MATCH(AM16,Mob_Demob!$A$6:$A$14,0)))*Settings!$B$19,0)+N(INDEX(Mob_Demob!$L$6:$L$14,MATCH(AM16,Mob_Demob!$A$6:$A$14,0)))*N(INDEX(Mob_Demob!$K$6:$K$14,MATCH(AM16,Mob_Demob!$A$6:$A$14,0)))*Settings!$B$6+N(INDEX(Mob_Demob!$M$6:$M$14,MATCH(AM16,Mob_Demob!$A$6:$A$14,0)))*N(INDEX(Mob_Demob!$N$6:$N$14,MATCH(AM16,Mob_Demob!$A$6:$A$14,0))),0)),"")</f>
        <v>1800</v>
      </c>
      <c r="AR16" s="16" t="n">
        <f aca="false">IF(AQ16="","",ROUND(AQ16*Settings!$B$18,0))</f>
        <v>1800</v>
      </c>
      <c r="AS16" s="13" t="s">
        <v>309</v>
      </c>
      <c r="AT16" s="14" t="s">
        <v>315</v>
      </c>
      <c r="AU16" s="14" t="s">
        <v>199</v>
      </c>
    </row>
    <row r="17" customFormat="false" ht="64.15" hidden="false" customHeight="false" outlineLevel="0" collapsed="false">
      <c r="A17" s="11" t="s">
        <v>316</v>
      </c>
      <c r="B17" s="11" t="s">
        <v>176</v>
      </c>
      <c r="C17" s="11" t="s">
        <v>304</v>
      </c>
      <c r="D17" s="11" t="s">
        <v>305</v>
      </c>
      <c r="E17" s="12" t="s">
        <v>317</v>
      </c>
      <c r="F17" s="13" t="s">
        <v>180</v>
      </c>
      <c r="G17" s="13" t="n">
        <v>496</v>
      </c>
      <c r="H17" s="13" t="s">
        <v>181</v>
      </c>
      <c r="I17" s="14" t="s">
        <v>318</v>
      </c>
      <c r="J17" s="15" t="n">
        <v>105271</v>
      </c>
      <c r="K17" s="13" t="n">
        <v>496</v>
      </c>
      <c r="L17" s="13"/>
      <c r="M17" s="13"/>
      <c r="N17" s="13" t="s">
        <v>184</v>
      </c>
      <c r="O17" s="13" t="s">
        <v>185</v>
      </c>
      <c r="P17" s="13" t="s">
        <v>186</v>
      </c>
      <c r="Q17" s="16"/>
      <c r="R17" s="16"/>
      <c r="S17" s="16"/>
      <c r="T17" s="16"/>
      <c r="U17" s="16"/>
      <c r="V17" s="13" t="s">
        <v>187</v>
      </c>
      <c r="W17" s="17"/>
      <c r="X17" s="13"/>
      <c r="Y17" s="13"/>
      <c r="Z17" s="13"/>
      <c r="AA17" s="13" t="s">
        <v>188</v>
      </c>
      <c r="AB17" s="13" t="s">
        <v>319</v>
      </c>
      <c r="AC17" s="18" t="n">
        <v>308.97</v>
      </c>
      <c r="AD17" s="13" t="s">
        <v>190</v>
      </c>
      <c r="AE17" s="19" t="n">
        <f aca="false">ROUND(K17*Settings!$B$11*Settings!$B$13,2)</f>
        <v>8.44</v>
      </c>
      <c r="AF17" s="19" t="n">
        <f aca="false">ROUND(K17*Settings!$B$11*Settings!$B$14,2)</f>
        <v>11.09</v>
      </c>
      <c r="AG17" s="19" t="n">
        <f aca="false">ROUND(K17*Settings!$B$11*Settings!$B$15,2)</f>
        <v>14.46</v>
      </c>
      <c r="AH17" s="13" t="s">
        <v>191</v>
      </c>
      <c r="AI17" s="17" t="n">
        <f aca="false">IF(OR(AC17="",AF17="",Settings!$B$5=""),"",ROUND(AC17-AF17*Settings!$B$5,2))</f>
        <v>268.38</v>
      </c>
      <c r="AJ17" s="13" t="s">
        <v>192</v>
      </c>
      <c r="AK17" s="13" t="s">
        <v>193</v>
      </c>
      <c r="AL17" s="14" t="s">
        <v>194</v>
      </c>
      <c r="AM17" s="13" t="s">
        <v>286</v>
      </c>
      <c r="AN17" s="15" t="n">
        <v>105271</v>
      </c>
      <c r="AO17" s="13"/>
      <c r="AP17" s="13" t="s">
        <v>269</v>
      </c>
      <c r="AQ17" s="16" t="n">
        <f aca="false">IFERROR(IF(AND(INDEX(Mob_Demob!$D$6:$D$14,MATCH(AM17,Mob_Demob!$A$6:$A$14,0))="",INDEX(Mob_Demob!$G$6:$G$14,MATCH(AM17,Mob_Demob!$A$6:$A$14,0))=""),"",ROUND(MAX(N(INDEX(Mob_Demob!$G$6:$G$14,MATCH(AM17,Mob_Demob!$A$6:$A$14,0))),N(INDEX(Mob_Demob!$D$6:$D$14,MATCH(AM17,Mob_Demob!$A$6:$A$14,0)))*Settings!$B$6)+IF(AP17="Y",N(INDEX(Mob_Demob!$I$6:$I$14,MATCH(AM17,Mob_Demob!$A$6:$A$14,0)))*Settings!$B$19,0)+N(INDEX(Mob_Demob!$L$6:$L$14,MATCH(AM17,Mob_Demob!$A$6:$A$14,0)))*N(INDEX(Mob_Demob!$K$6:$K$14,MATCH(AM17,Mob_Demob!$A$6:$A$14,0)))*Settings!$B$6+N(INDEX(Mob_Demob!$M$6:$M$14,MATCH(AM17,Mob_Demob!$A$6:$A$14,0)))*N(INDEX(Mob_Demob!$N$6:$N$14,MATCH(AM17,Mob_Demob!$A$6:$A$14,0))),0)),"")</f>
        <v>1913</v>
      </c>
      <c r="AR17" s="16" t="n">
        <f aca="false">IF(AQ17="","",ROUND(AQ17*Settings!$B$18,0))</f>
        <v>1913</v>
      </c>
      <c r="AS17" s="13" t="s">
        <v>309</v>
      </c>
      <c r="AT17" s="14" t="s">
        <v>315</v>
      </c>
      <c r="AU17" s="14" t="s">
        <v>199</v>
      </c>
    </row>
    <row r="18" customFormat="false" ht="64.15" hidden="false" customHeight="false" outlineLevel="0" collapsed="false">
      <c r="A18" s="11" t="s">
        <v>320</v>
      </c>
      <c r="B18" s="11" t="s">
        <v>176</v>
      </c>
      <c r="C18" s="11" t="s">
        <v>304</v>
      </c>
      <c r="D18" s="11" t="s">
        <v>305</v>
      </c>
      <c r="E18" s="12" t="s">
        <v>321</v>
      </c>
      <c r="F18" s="13" t="s">
        <v>180</v>
      </c>
      <c r="G18" s="13" t="n">
        <v>732</v>
      </c>
      <c r="H18" s="13" t="s">
        <v>181</v>
      </c>
      <c r="I18" s="14" t="s">
        <v>322</v>
      </c>
      <c r="J18" s="15"/>
      <c r="K18" s="13" t="n">
        <v>732</v>
      </c>
      <c r="L18" s="13"/>
      <c r="M18" s="13"/>
      <c r="N18" s="13" t="s">
        <v>184</v>
      </c>
      <c r="O18" s="13" t="s">
        <v>185</v>
      </c>
      <c r="P18" s="13" t="s">
        <v>186</v>
      </c>
      <c r="Q18" s="16"/>
      <c r="R18" s="16"/>
      <c r="S18" s="16"/>
      <c r="T18" s="16"/>
      <c r="U18" s="16"/>
      <c r="V18" s="13" t="s">
        <v>187</v>
      </c>
      <c r="W18" s="17"/>
      <c r="X18" s="13"/>
      <c r="Y18" s="13"/>
      <c r="Z18" s="13"/>
      <c r="AA18" s="13" t="s">
        <v>188</v>
      </c>
      <c r="AB18" s="13" t="s">
        <v>323</v>
      </c>
      <c r="AC18" s="18" t="n">
        <v>402.76</v>
      </c>
      <c r="AD18" s="13" t="s">
        <v>190</v>
      </c>
      <c r="AE18" s="19" t="n">
        <f aca="false">ROUND(K18*Settings!$B$11*Settings!$B$13,2)</f>
        <v>12.45</v>
      </c>
      <c r="AF18" s="19" t="n">
        <f aca="false">ROUND(K18*Settings!$B$11*Settings!$B$14,2)</f>
        <v>16.36</v>
      </c>
      <c r="AG18" s="19" t="n">
        <f aca="false">ROUND(K18*Settings!$B$11*Settings!$B$15,2)</f>
        <v>21.35</v>
      </c>
      <c r="AH18" s="13" t="s">
        <v>191</v>
      </c>
      <c r="AI18" s="17" t="n">
        <f aca="false">IF(OR(AC18="",AF18="",Settings!$B$5=""),"",ROUND(AC18-AF18*Settings!$B$5,2))</f>
        <v>342.88</v>
      </c>
      <c r="AJ18" s="13" t="s">
        <v>192</v>
      </c>
      <c r="AK18" s="13" t="s">
        <v>193</v>
      </c>
      <c r="AL18" s="14" t="s">
        <v>194</v>
      </c>
      <c r="AM18" s="13" t="s">
        <v>286</v>
      </c>
      <c r="AN18" s="15"/>
      <c r="AO18" s="13"/>
      <c r="AP18" s="13" t="s">
        <v>269</v>
      </c>
      <c r="AQ18" s="16" t="n">
        <f aca="false">IFERROR(IF(AND(INDEX(Mob_Demob!$D$6:$D$14,MATCH(AM18,Mob_Demob!$A$6:$A$14,0))="",INDEX(Mob_Demob!$G$6:$G$14,MATCH(AM18,Mob_Demob!$A$6:$A$14,0))=""),"",ROUND(MAX(N(INDEX(Mob_Demob!$G$6:$G$14,MATCH(AM18,Mob_Demob!$A$6:$A$14,0))),N(INDEX(Mob_Demob!$D$6:$D$14,MATCH(AM18,Mob_Demob!$A$6:$A$14,0)))*Settings!$B$6)+IF(AP18="Y",N(INDEX(Mob_Demob!$I$6:$I$14,MATCH(AM18,Mob_Demob!$A$6:$A$14,0)))*Settings!$B$19,0)+N(INDEX(Mob_Demob!$L$6:$L$14,MATCH(AM18,Mob_Demob!$A$6:$A$14,0)))*N(INDEX(Mob_Demob!$K$6:$K$14,MATCH(AM18,Mob_Demob!$A$6:$A$14,0)))*Settings!$B$6+N(INDEX(Mob_Demob!$M$6:$M$14,MATCH(AM18,Mob_Demob!$A$6:$A$14,0)))*N(INDEX(Mob_Demob!$N$6:$N$14,MATCH(AM18,Mob_Demob!$A$6:$A$14,0))),0)),"")</f>
        <v>1913</v>
      </c>
      <c r="AR18" s="16" t="n">
        <f aca="false">IF(AQ18="","",ROUND(AQ18*Settings!$B$18,0))</f>
        <v>1913</v>
      </c>
      <c r="AS18" s="13" t="s">
        <v>309</v>
      </c>
      <c r="AT18" s="14" t="s">
        <v>324</v>
      </c>
      <c r="AU18" s="14" t="s">
        <v>199</v>
      </c>
    </row>
    <row r="19" customFormat="false" ht="64.15" hidden="false" customHeight="false" outlineLevel="0" collapsed="false">
      <c r="A19" s="11" t="s">
        <v>325</v>
      </c>
      <c r="B19" s="11" t="s">
        <v>176</v>
      </c>
      <c r="C19" s="11" t="s">
        <v>304</v>
      </c>
      <c r="D19" s="11" t="s">
        <v>305</v>
      </c>
      <c r="E19" s="12" t="s">
        <v>326</v>
      </c>
      <c r="F19" s="13" t="s">
        <v>180</v>
      </c>
      <c r="G19" s="13" t="n">
        <v>814</v>
      </c>
      <c r="H19" s="13" t="s">
        <v>181</v>
      </c>
      <c r="I19" s="14" t="s">
        <v>327</v>
      </c>
      <c r="J19" s="15" t="n">
        <v>224647</v>
      </c>
      <c r="K19" s="13" t="n">
        <v>814</v>
      </c>
      <c r="L19" s="13"/>
      <c r="M19" s="13"/>
      <c r="N19" s="13" t="s">
        <v>184</v>
      </c>
      <c r="O19" s="13" t="s">
        <v>185</v>
      </c>
      <c r="P19" s="13" t="s">
        <v>186</v>
      </c>
      <c r="Q19" s="16"/>
      <c r="R19" s="16"/>
      <c r="S19" s="16"/>
      <c r="T19" s="16"/>
      <c r="U19" s="16"/>
      <c r="V19" s="13" t="s">
        <v>187</v>
      </c>
      <c r="W19" s="17"/>
      <c r="X19" s="13"/>
      <c r="Y19" s="13"/>
      <c r="Z19" s="13"/>
      <c r="AA19" s="13" t="s">
        <v>188</v>
      </c>
      <c r="AB19" s="13"/>
      <c r="AC19" s="17"/>
      <c r="AD19" s="13"/>
      <c r="AE19" s="19" t="n">
        <f aca="false">ROUND(K19*Settings!$B$11*Settings!$B$13,2)</f>
        <v>13.85</v>
      </c>
      <c r="AF19" s="19" t="n">
        <f aca="false">ROUND(K19*Settings!$B$11*Settings!$B$14,2)</f>
        <v>18.2</v>
      </c>
      <c r="AG19" s="19" t="n">
        <f aca="false">ROUND(K19*Settings!$B$11*Settings!$B$15,2)</f>
        <v>23.74</v>
      </c>
      <c r="AH19" s="13" t="s">
        <v>191</v>
      </c>
      <c r="AI19" s="17"/>
      <c r="AJ19" s="13" t="s">
        <v>188</v>
      </c>
      <c r="AK19" s="13" t="s">
        <v>188</v>
      </c>
      <c r="AL19" s="14" t="s">
        <v>194</v>
      </c>
      <c r="AM19" s="13" t="s">
        <v>286</v>
      </c>
      <c r="AN19" s="15" t="n">
        <v>224647</v>
      </c>
      <c r="AO19" s="13"/>
      <c r="AP19" s="13" t="s">
        <v>269</v>
      </c>
      <c r="AQ19" s="16" t="n">
        <f aca="false">IFERROR(IF(AND(INDEX(Mob_Demob!$D$6:$D$14,MATCH(AM19,Mob_Demob!$A$6:$A$14,0))="",INDEX(Mob_Demob!$G$6:$G$14,MATCH(AM19,Mob_Demob!$A$6:$A$14,0))=""),"",ROUND(MAX(N(INDEX(Mob_Demob!$G$6:$G$14,MATCH(AM19,Mob_Demob!$A$6:$A$14,0))),N(INDEX(Mob_Demob!$D$6:$D$14,MATCH(AM19,Mob_Demob!$A$6:$A$14,0)))*Settings!$B$6)+IF(AP19="Y",N(INDEX(Mob_Demob!$I$6:$I$14,MATCH(AM19,Mob_Demob!$A$6:$A$14,0)))*Settings!$B$19,0)+N(INDEX(Mob_Demob!$L$6:$L$14,MATCH(AM19,Mob_Demob!$A$6:$A$14,0)))*N(INDEX(Mob_Demob!$K$6:$K$14,MATCH(AM19,Mob_Demob!$A$6:$A$14,0)))*Settings!$B$6+N(INDEX(Mob_Demob!$M$6:$M$14,MATCH(AM19,Mob_Demob!$A$6:$A$14,0)))*N(INDEX(Mob_Demob!$N$6:$N$14,MATCH(AM19,Mob_Demob!$A$6:$A$14,0))),0)),"")</f>
        <v>1913</v>
      </c>
      <c r="AR19" s="16" t="n">
        <f aca="false">IF(AQ19="","",ROUND(AQ19*Settings!$B$18,0))</f>
        <v>1913</v>
      </c>
      <c r="AS19" s="13" t="s">
        <v>309</v>
      </c>
      <c r="AT19" s="14" t="s">
        <v>328</v>
      </c>
      <c r="AU19" s="14" t="s">
        <v>251</v>
      </c>
    </row>
    <row r="20" customFormat="false" ht="74.6" hidden="false" customHeight="false" outlineLevel="0" collapsed="false">
      <c r="A20" s="11" t="s">
        <v>329</v>
      </c>
      <c r="B20" s="11" t="s">
        <v>176</v>
      </c>
      <c r="C20" s="11" t="s">
        <v>330</v>
      </c>
      <c r="D20" s="11" t="s">
        <v>331</v>
      </c>
      <c r="E20" s="12" t="s">
        <v>332</v>
      </c>
      <c r="F20" s="13" t="s">
        <v>333</v>
      </c>
      <c r="G20" s="13" t="n">
        <v>3913</v>
      </c>
      <c r="H20" s="13" t="s">
        <v>334</v>
      </c>
      <c r="I20" s="14" t="s">
        <v>335</v>
      </c>
      <c r="J20" s="15" t="n">
        <v>3913</v>
      </c>
      <c r="K20" s="13" t="n">
        <v>21</v>
      </c>
      <c r="L20" s="13"/>
      <c r="M20" s="13"/>
      <c r="N20" s="13" t="s">
        <v>184</v>
      </c>
      <c r="O20" s="13" t="s">
        <v>336</v>
      </c>
      <c r="P20" s="13" t="s">
        <v>186</v>
      </c>
      <c r="Q20" s="20" t="n">
        <v>237</v>
      </c>
      <c r="R20" s="20" t="n">
        <v>748</v>
      </c>
      <c r="S20" s="20" t="n">
        <v>2200</v>
      </c>
      <c r="T20" s="20" t="n">
        <v>1665</v>
      </c>
      <c r="U20" s="20" t="n">
        <v>2913</v>
      </c>
      <c r="V20" s="13" t="s">
        <v>187</v>
      </c>
      <c r="W20" s="17"/>
      <c r="X20" s="13"/>
      <c r="Y20" s="13" t="s">
        <v>337</v>
      </c>
      <c r="Z20" s="13" t="s">
        <v>212</v>
      </c>
      <c r="AA20" s="13" t="s">
        <v>213</v>
      </c>
      <c r="AB20" s="13"/>
      <c r="AC20" s="17"/>
      <c r="AD20" s="13"/>
      <c r="AE20" s="19" t="n">
        <f aca="false">ROUND(K20*Settings!$B$11*Settings!$B$13,2)</f>
        <v>0.36</v>
      </c>
      <c r="AF20" s="19" t="n">
        <f aca="false">ROUND(K20*Settings!$B$11*Settings!$B$14,2)</f>
        <v>0.47</v>
      </c>
      <c r="AG20" s="19" t="n">
        <f aca="false">ROUND(K20*Settings!$B$11*Settings!$B$15,2)</f>
        <v>0.61</v>
      </c>
      <c r="AH20" s="13" t="s">
        <v>191</v>
      </c>
      <c r="AI20" s="17"/>
      <c r="AJ20" s="13" t="s">
        <v>188</v>
      </c>
      <c r="AK20" s="13" t="s">
        <v>188</v>
      </c>
      <c r="AL20" s="14" t="s">
        <v>338</v>
      </c>
      <c r="AM20" s="13" t="s">
        <v>195</v>
      </c>
      <c r="AN20" s="15" t="n">
        <v>3913</v>
      </c>
      <c r="AO20" s="13"/>
      <c r="AP20" s="13" t="s">
        <v>196</v>
      </c>
      <c r="AQ20" s="16" t="n">
        <f aca="false">IFERROR(IF(AND(INDEX(Mob_Demob!$D$6:$D$14,MATCH(AM20,Mob_Demob!$A$6:$A$14,0))="",INDEX(Mob_Demob!$G$6:$G$14,MATCH(AM20,Mob_Demob!$A$6:$A$14,0))=""),"",ROUND(MAX(N(INDEX(Mob_Demob!$G$6:$G$14,MATCH(AM20,Mob_Demob!$A$6:$A$14,0))),N(INDEX(Mob_Demob!$D$6:$D$14,MATCH(AM20,Mob_Demob!$A$6:$A$14,0)))*Settings!$B$6)+IF(AP20="Y",N(INDEX(Mob_Demob!$I$6:$I$14,MATCH(AM20,Mob_Demob!$A$6:$A$14,0)))*Settings!$B$19,0)+N(INDEX(Mob_Demob!$L$6:$L$14,MATCH(AM20,Mob_Demob!$A$6:$A$14,0)))*N(INDEX(Mob_Demob!$K$6:$K$14,MATCH(AM20,Mob_Demob!$A$6:$A$14,0)))*Settings!$B$6+N(INDEX(Mob_Demob!$M$6:$M$14,MATCH(AM20,Mob_Demob!$A$6:$A$14,0)))*N(INDEX(Mob_Demob!$N$6:$N$14,MATCH(AM20,Mob_Demob!$A$6:$A$14,0))),0)),"")</f>
        <v>500</v>
      </c>
      <c r="AR20" s="16" t="n">
        <f aca="false">IF(AQ20="","",ROUND(AQ20*Settings!$B$18,0))</f>
        <v>500</v>
      </c>
      <c r="AS20" s="13" t="s">
        <v>339</v>
      </c>
      <c r="AT20" s="14" t="s">
        <v>340</v>
      </c>
      <c r="AU20" s="14" t="s">
        <v>341</v>
      </c>
    </row>
    <row r="21" customFormat="false" ht="95.5" hidden="false" customHeight="false" outlineLevel="0" collapsed="false">
      <c r="A21" s="11" t="s">
        <v>342</v>
      </c>
      <c r="B21" s="11" t="s">
        <v>176</v>
      </c>
      <c r="C21" s="11" t="s">
        <v>330</v>
      </c>
      <c r="D21" s="11" t="s">
        <v>343</v>
      </c>
      <c r="E21" s="12" t="s">
        <v>344</v>
      </c>
      <c r="F21" s="13" t="s">
        <v>333</v>
      </c>
      <c r="G21" s="13" t="n">
        <v>9867</v>
      </c>
      <c r="H21" s="13" t="s">
        <v>334</v>
      </c>
      <c r="I21" s="14" t="s">
        <v>345</v>
      </c>
      <c r="J21" s="15" t="n">
        <v>9867</v>
      </c>
      <c r="K21" s="13" t="n">
        <v>45</v>
      </c>
      <c r="L21" s="13" t="s">
        <v>346</v>
      </c>
      <c r="M21" s="13"/>
      <c r="N21" s="13" t="s">
        <v>184</v>
      </c>
      <c r="O21" s="13" t="s">
        <v>336</v>
      </c>
      <c r="P21" s="13" t="s">
        <v>186</v>
      </c>
      <c r="Q21" s="20" t="n">
        <v>325</v>
      </c>
      <c r="R21" s="20" t="n">
        <v>1013</v>
      </c>
      <c r="S21" s="20" t="n">
        <v>2788</v>
      </c>
      <c r="T21" s="20" t="n">
        <v>2250</v>
      </c>
      <c r="U21" s="20" t="n">
        <v>4438</v>
      </c>
      <c r="V21" s="13" t="s">
        <v>187</v>
      </c>
      <c r="W21" s="17"/>
      <c r="X21" s="13"/>
      <c r="Y21" s="13" t="s">
        <v>347</v>
      </c>
      <c r="Z21" s="13" t="s">
        <v>212</v>
      </c>
      <c r="AA21" s="13" t="s">
        <v>213</v>
      </c>
      <c r="AB21" s="13"/>
      <c r="AC21" s="17"/>
      <c r="AD21" s="13"/>
      <c r="AE21" s="19" t="n">
        <f aca="false">ROUND(K21*Settings!$B$11*Settings!$B$13,2)</f>
        <v>0.77</v>
      </c>
      <c r="AF21" s="19" t="n">
        <f aca="false">ROUND(K21*Settings!$B$11*Settings!$B$14,2)</f>
        <v>1.01</v>
      </c>
      <c r="AG21" s="19" t="n">
        <f aca="false">ROUND(K21*Settings!$B$11*Settings!$B$15,2)</f>
        <v>1.31</v>
      </c>
      <c r="AH21" s="13" t="s">
        <v>191</v>
      </c>
      <c r="AI21" s="17"/>
      <c r="AJ21" s="13" t="s">
        <v>188</v>
      </c>
      <c r="AK21" s="13" t="s">
        <v>188</v>
      </c>
      <c r="AL21" s="14" t="s">
        <v>338</v>
      </c>
      <c r="AM21" s="13" t="s">
        <v>195</v>
      </c>
      <c r="AN21" s="15" t="n">
        <v>9867</v>
      </c>
      <c r="AO21" s="13"/>
      <c r="AP21" s="13" t="s">
        <v>196</v>
      </c>
      <c r="AQ21" s="16" t="n">
        <f aca="false">IFERROR(IF(AND(INDEX(Mob_Demob!$D$6:$D$14,MATCH(AM21,Mob_Demob!$A$6:$A$14,0))="",INDEX(Mob_Demob!$G$6:$G$14,MATCH(AM21,Mob_Demob!$A$6:$A$14,0))=""),"",ROUND(MAX(N(INDEX(Mob_Demob!$G$6:$G$14,MATCH(AM21,Mob_Demob!$A$6:$A$14,0))),N(INDEX(Mob_Demob!$D$6:$D$14,MATCH(AM21,Mob_Demob!$A$6:$A$14,0)))*Settings!$B$6)+IF(AP21="Y",N(INDEX(Mob_Demob!$I$6:$I$14,MATCH(AM21,Mob_Demob!$A$6:$A$14,0)))*Settings!$B$19,0)+N(INDEX(Mob_Demob!$L$6:$L$14,MATCH(AM21,Mob_Demob!$A$6:$A$14,0)))*N(INDEX(Mob_Demob!$K$6:$K$14,MATCH(AM21,Mob_Demob!$A$6:$A$14,0)))*Settings!$B$6+N(INDEX(Mob_Demob!$M$6:$M$14,MATCH(AM21,Mob_Demob!$A$6:$A$14,0)))*N(INDEX(Mob_Demob!$N$6:$N$14,MATCH(AM21,Mob_Demob!$A$6:$A$14,0))),0)),"")</f>
        <v>500</v>
      </c>
      <c r="AR21" s="16" t="n">
        <f aca="false">IF(AQ21="","",ROUND(AQ21*Settings!$B$18,0))</f>
        <v>500</v>
      </c>
      <c r="AS21" s="13" t="s">
        <v>348</v>
      </c>
      <c r="AT21" s="14" t="s">
        <v>349</v>
      </c>
      <c r="AU21" s="14" t="s">
        <v>341</v>
      </c>
    </row>
    <row r="22" customFormat="false" ht="74.6" hidden="false" customHeight="false" outlineLevel="0" collapsed="false">
      <c r="A22" s="11" t="s">
        <v>350</v>
      </c>
      <c r="B22" s="11" t="s">
        <v>176</v>
      </c>
      <c r="C22" s="11" t="s">
        <v>330</v>
      </c>
      <c r="D22" s="11" t="s">
        <v>351</v>
      </c>
      <c r="E22" s="12" t="s">
        <v>352</v>
      </c>
      <c r="F22" s="13" t="s">
        <v>333</v>
      </c>
      <c r="G22" s="13" t="n">
        <v>12688</v>
      </c>
      <c r="H22" s="13" t="s">
        <v>334</v>
      </c>
      <c r="I22" s="14" t="s">
        <v>353</v>
      </c>
      <c r="J22" s="15" t="n">
        <v>12688</v>
      </c>
      <c r="K22" s="13" t="n">
        <v>45</v>
      </c>
      <c r="L22" s="13"/>
      <c r="M22" s="13"/>
      <c r="N22" s="13" t="s">
        <v>184</v>
      </c>
      <c r="O22" s="13" t="s">
        <v>336</v>
      </c>
      <c r="P22" s="13" t="s">
        <v>186</v>
      </c>
      <c r="Q22" s="20" t="n">
        <v>443</v>
      </c>
      <c r="R22" s="20" t="n">
        <v>1319</v>
      </c>
      <c r="S22" s="20" t="n">
        <v>3228</v>
      </c>
      <c r="T22" s="20" t="n">
        <v>2950</v>
      </c>
      <c r="U22" s="20" t="n">
        <v>6226</v>
      </c>
      <c r="V22" s="13" t="s">
        <v>187</v>
      </c>
      <c r="W22" s="17"/>
      <c r="X22" s="13"/>
      <c r="Y22" s="13" t="s">
        <v>354</v>
      </c>
      <c r="Z22" s="13" t="s">
        <v>212</v>
      </c>
      <c r="AA22" s="13" t="s">
        <v>213</v>
      </c>
      <c r="AB22" s="13" t="s">
        <v>355</v>
      </c>
      <c r="AC22" s="18" t="n">
        <v>57.14</v>
      </c>
      <c r="AD22" s="13" t="s">
        <v>190</v>
      </c>
      <c r="AE22" s="19" t="n">
        <v>1.15</v>
      </c>
      <c r="AF22" s="19" t="n">
        <v>1.55</v>
      </c>
      <c r="AG22" s="19" t="n">
        <v>1.94</v>
      </c>
      <c r="AH22" s="13" t="s">
        <v>356</v>
      </c>
      <c r="AI22" s="17" t="n">
        <f aca="false">IF(OR(AC22="",AF22="",Settings!$B$5=""),"",ROUND(AC22-AF22*Settings!$B$5,2))</f>
        <v>51.47</v>
      </c>
      <c r="AJ22" s="13" t="s">
        <v>192</v>
      </c>
      <c r="AK22" s="13" t="s">
        <v>193</v>
      </c>
      <c r="AL22" s="14" t="s">
        <v>338</v>
      </c>
      <c r="AM22" s="13" t="s">
        <v>195</v>
      </c>
      <c r="AN22" s="15" t="n">
        <v>12688</v>
      </c>
      <c r="AO22" s="13"/>
      <c r="AP22" s="13" t="s">
        <v>196</v>
      </c>
      <c r="AQ22" s="16" t="n">
        <f aca="false">IFERROR(IF(AND(INDEX(Mob_Demob!$D$6:$D$14,MATCH(AM22,Mob_Demob!$A$6:$A$14,0))="",INDEX(Mob_Demob!$G$6:$G$14,MATCH(AM22,Mob_Demob!$A$6:$A$14,0))=""),"",ROUND(MAX(N(INDEX(Mob_Demob!$G$6:$G$14,MATCH(AM22,Mob_Demob!$A$6:$A$14,0))),N(INDEX(Mob_Demob!$D$6:$D$14,MATCH(AM22,Mob_Demob!$A$6:$A$14,0)))*Settings!$B$6)+IF(AP22="Y",N(INDEX(Mob_Demob!$I$6:$I$14,MATCH(AM22,Mob_Demob!$A$6:$A$14,0)))*Settings!$B$19,0)+N(INDEX(Mob_Demob!$L$6:$L$14,MATCH(AM22,Mob_Demob!$A$6:$A$14,0)))*N(INDEX(Mob_Demob!$K$6:$K$14,MATCH(AM22,Mob_Demob!$A$6:$A$14,0)))*Settings!$B$6+N(INDEX(Mob_Demob!$M$6:$M$14,MATCH(AM22,Mob_Demob!$A$6:$A$14,0)))*N(INDEX(Mob_Demob!$N$6:$N$14,MATCH(AM22,Mob_Demob!$A$6:$A$14,0))),0)),"")</f>
        <v>500</v>
      </c>
      <c r="AR22" s="16" t="n">
        <f aca="false">IF(AQ22="","",ROUND(AQ22*Settings!$B$18,0))</f>
        <v>500</v>
      </c>
      <c r="AS22" s="13" t="s">
        <v>357</v>
      </c>
      <c r="AT22" s="14" t="s">
        <v>358</v>
      </c>
      <c r="AU22" s="14"/>
    </row>
    <row r="23" customFormat="false" ht="105.95" hidden="false" customHeight="false" outlineLevel="0" collapsed="false">
      <c r="A23" s="11" t="s">
        <v>359</v>
      </c>
      <c r="B23" s="11" t="s">
        <v>176</v>
      </c>
      <c r="C23" s="11" t="s">
        <v>330</v>
      </c>
      <c r="D23" s="11" t="s">
        <v>360</v>
      </c>
      <c r="E23" s="12" t="s">
        <v>361</v>
      </c>
      <c r="F23" s="13" t="s">
        <v>333</v>
      </c>
      <c r="G23" s="13" t="n">
        <v>18493</v>
      </c>
      <c r="H23" s="13" t="s">
        <v>334</v>
      </c>
      <c r="I23" s="14" t="s">
        <v>362</v>
      </c>
      <c r="J23" s="15" t="n">
        <v>18493</v>
      </c>
      <c r="K23" s="13" t="n">
        <v>69.5</v>
      </c>
      <c r="L23" s="13" t="s">
        <v>363</v>
      </c>
      <c r="M23" s="13"/>
      <c r="N23" s="13" t="s">
        <v>184</v>
      </c>
      <c r="O23" s="13" t="s">
        <v>336</v>
      </c>
      <c r="P23" s="13" t="s">
        <v>186</v>
      </c>
      <c r="Q23" s="20" t="n">
        <v>600</v>
      </c>
      <c r="R23" s="20" t="n">
        <v>1798</v>
      </c>
      <c r="S23" s="20" t="n">
        <v>4498</v>
      </c>
      <c r="T23" s="20" t="n">
        <v>3780</v>
      </c>
      <c r="U23" s="20" t="n">
        <v>6924</v>
      </c>
      <c r="V23" s="13" t="s">
        <v>187</v>
      </c>
      <c r="W23" s="17"/>
      <c r="X23" s="13"/>
      <c r="Y23" s="13" t="s">
        <v>364</v>
      </c>
      <c r="Z23" s="13" t="s">
        <v>260</v>
      </c>
      <c r="AA23" s="13" t="s">
        <v>213</v>
      </c>
      <c r="AB23" s="13"/>
      <c r="AC23" s="17" t="n">
        <f aca="false">ROUND(AC22+(AC25-AC22)*(K23-K22)/(K25-K22),2)</f>
        <v>77.76</v>
      </c>
      <c r="AD23" s="13" t="s">
        <v>205</v>
      </c>
      <c r="AE23" s="19" t="n">
        <v>0.68</v>
      </c>
      <c r="AF23" s="19" t="n">
        <v>0.95</v>
      </c>
      <c r="AG23" s="19" t="n">
        <v>1.22</v>
      </c>
      <c r="AH23" s="13" t="s">
        <v>365</v>
      </c>
      <c r="AI23" s="17" t="n">
        <f aca="false">IF(OR(AC23="",AF23="",Settings!$B$5=""),"",ROUND(AC23-AF23*Settings!$B$5,2))</f>
        <v>74.28</v>
      </c>
      <c r="AJ23" s="13" t="s">
        <v>193</v>
      </c>
      <c r="AK23" s="13" t="s">
        <v>193</v>
      </c>
      <c r="AL23" s="14" t="s">
        <v>338</v>
      </c>
      <c r="AM23" s="13" t="s">
        <v>195</v>
      </c>
      <c r="AN23" s="15" t="n">
        <v>18493</v>
      </c>
      <c r="AO23" s="13"/>
      <c r="AP23" s="13" t="s">
        <v>196</v>
      </c>
      <c r="AQ23" s="16" t="n">
        <f aca="false">IFERROR(IF(AND(INDEX(Mob_Demob!$D$6:$D$14,MATCH(AM23,Mob_Demob!$A$6:$A$14,0))="",INDEX(Mob_Demob!$G$6:$G$14,MATCH(AM23,Mob_Demob!$A$6:$A$14,0))=""),"",ROUND(MAX(N(INDEX(Mob_Demob!$G$6:$G$14,MATCH(AM23,Mob_Demob!$A$6:$A$14,0))),N(INDEX(Mob_Demob!$D$6:$D$14,MATCH(AM23,Mob_Demob!$A$6:$A$14,0)))*Settings!$B$6)+IF(AP23="Y",N(INDEX(Mob_Demob!$I$6:$I$14,MATCH(AM23,Mob_Demob!$A$6:$A$14,0)))*Settings!$B$19,0)+N(INDEX(Mob_Demob!$L$6:$L$14,MATCH(AM23,Mob_Demob!$A$6:$A$14,0)))*N(INDEX(Mob_Demob!$K$6:$K$14,MATCH(AM23,Mob_Demob!$A$6:$A$14,0)))*Settings!$B$6+N(INDEX(Mob_Demob!$M$6:$M$14,MATCH(AM23,Mob_Demob!$A$6:$A$14,0)))*N(INDEX(Mob_Demob!$N$6:$N$14,MATCH(AM23,Mob_Demob!$A$6:$A$14,0))),0)),"")</f>
        <v>500</v>
      </c>
      <c r="AR23" s="16" t="n">
        <f aca="false">IF(AQ23="","",ROUND(AQ23*Settings!$B$18,0))</f>
        <v>500</v>
      </c>
      <c r="AS23" s="13" t="s">
        <v>366</v>
      </c>
      <c r="AT23" s="14" t="s">
        <v>367</v>
      </c>
      <c r="AU23" s="14" t="s">
        <v>368</v>
      </c>
    </row>
    <row r="24" customFormat="false" ht="64.15" hidden="false" customHeight="false" outlineLevel="0" collapsed="false">
      <c r="A24" s="11" t="s">
        <v>369</v>
      </c>
      <c r="B24" s="11" t="s">
        <v>176</v>
      </c>
      <c r="C24" s="11" t="s">
        <v>330</v>
      </c>
      <c r="D24" s="11" t="s">
        <v>370</v>
      </c>
      <c r="E24" s="12" t="s">
        <v>371</v>
      </c>
      <c r="F24" s="13" t="s">
        <v>333</v>
      </c>
      <c r="G24" s="13" t="n">
        <v>23002</v>
      </c>
      <c r="H24" s="13" t="s">
        <v>334</v>
      </c>
      <c r="I24" s="14" t="s">
        <v>372</v>
      </c>
      <c r="J24" s="15" t="n">
        <v>23002</v>
      </c>
      <c r="K24" s="13" t="n">
        <v>69.5</v>
      </c>
      <c r="L24" s="13"/>
      <c r="M24" s="13"/>
      <c r="N24" s="13" t="s">
        <v>184</v>
      </c>
      <c r="O24" s="13" t="s">
        <v>336</v>
      </c>
      <c r="P24" s="13" t="s">
        <v>186</v>
      </c>
      <c r="Q24" s="20" t="n">
        <v>717</v>
      </c>
      <c r="R24" s="20" t="n">
        <v>2182</v>
      </c>
      <c r="S24" s="20" t="n">
        <v>5843</v>
      </c>
      <c r="T24" s="20" t="n">
        <v>4250</v>
      </c>
      <c r="U24" s="20" t="n">
        <v>7437</v>
      </c>
      <c r="V24" s="13" t="s">
        <v>187</v>
      </c>
      <c r="W24" s="17"/>
      <c r="X24" s="13"/>
      <c r="Y24" s="13" t="s">
        <v>373</v>
      </c>
      <c r="Z24" s="13" t="s">
        <v>212</v>
      </c>
      <c r="AA24" s="13" t="s">
        <v>213</v>
      </c>
      <c r="AB24" s="13"/>
      <c r="AC24" s="17" t="n">
        <f aca="false">ROUND(AC22+(AC25-AC22)*(K24-K22)/(K25-K22),2)</f>
        <v>77.76</v>
      </c>
      <c r="AD24" s="13" t="s">
        <v>205</v>
      </c>
      <c r="AE24" s="19" t="n">
        <f aca="false">ROUND(K24*Settings!$B$11*Settings!$B$13,2)</f>
        <v>1.18</v>
      </c>
      <c r="AF24" s="19" t="n">
        <f aca="false">ROUND(K24*Settings!$B$11*Settings!$B$14,2)</f>
        <v>1.55</v>
      </c>
      <c r="AG24" s="19" t="n">
        <f aca="false">ROUND(K24*Settings!$B$11*Settings!$B$15,2)</f>
        <v>2.03</v>
      </c>
      <c r="AH24" s="13" t="s">
        <v>191</v>
      </c>
      <c r="AI24" s="17" t="n">
        <f aca="false">IF(OR(AC24="",AF24="",Settings!$B$5=""),"",ROUND(AC24-AF24*Settings!$B$5,2))</f>
        <v>72.09</v>
      </c>
      <c r="AJ24" s="13" t="s">
        <v>193</v>
      </c>
      <c r="AK24" s="13" t="s">
        <v>193</v>
      </c>
      <c r="AL24" s="14" t="s">
        <v>338</v>
      </c>
      <c r="AM24" s="13" t="s">
        <v>216</v>
      </c>
      <c r="AN24" s="15" t="n">
        <v>23002</v>
      </c>
      <c r="AO24" s="13"/>
      <c r="AP24" s="13" t="s">
        <v>196</v>
      </c>
      <c r="AQ24" s="16" t="n">
        <f aca="false">IFERROR(IF(AND(INDEX(Mob_Demob!$D$6:$D$14,MATCH(AM24,Mob_Demob!$A$6:$A$14,0))="",INDEX(Mob_Demob!$G$6:$G$14,MATCH(AM24,Mob_Demob!$A$6:$A$14,0))=""),"",ROUND(MAX(N(INDEX(Mob_Demob!$G$6:$G$14,MATCH(AM24,Mob_Demob!$A$6:$A$14,0))),N(INDEX(Mob_Demob!$D$6:$D$14,MATCH(AM24,Mob_Demob!$A$6:$A$14,0)))*Settings!$B$6)+IF(AP24="Y",N(INDEX(Mob_Demob!$I$6:$I$14,MATCH(AM24,Mob_Demob!$A$6:$A$14,0)))*Settings!$B$19,0)+N(INDEX(Mob_Demob!$L$6:$L$14,MATCH(AM24,Mob_Demob!$A$6:$A$14,0)))*N(INDEX(Mob_Demob!$K$6:$K$14,MATCH(AM24,Mob_Demob!$A$6:$A$14,0)))*Settings!$B$6+N(INDEX(Mob_Demob!$M$6:$M$14,MATCH(AM24,Mob_Demob!$A$6:$A$14,0)))*N(INDEX(Mob_Demob!$N$6:$N$14,MATCH(AM24,Mob_Demob!$A$6:$A$14,0))),0)),"")</f>
        <v>550</v>
      </c>
      <c r="AR24" s="16" t="n">
        <f aca="false">IF(AQ24="","",ROUND(AQ24*Settings!$B$18,0))</f>
        <v>550</v>
      </c>
      <c r="AS24" s="13" t="s">
        <v>374</v>
      </c>
      <c r="AT24" s="14" t="s">
        <v>375</v>
      </c>
      <c r="AU24" s="14"/>
    </row>
    <row r="25" customFormat="false" ht="64.15" hidden="false" customHeight="false" outlineLevel="0" collapsed="false">
      <c r="A25" s="11" t="s">
        <v>376</v>
      </c>
      <c r="B25" s="11" t="s">
        <v>176</v>
      </c>
      <c r="C25" s="11" t="s">
        <v>330</v>
      </c>
      <c r="D25" s="11" t="s">
        <v>377</v>
      </c>
      <c r="E25" s="12" t="s">
        <v>378</v>
      </c>
      <c r="F25" s="13" t="s">
        <v>333</v>
      </c>
      <c r="G25" s="13" t="n">
        <v>30400</v>
      </c>
      <c r="H25" s="13" t="s">
        <v>334</v>
      </c>
      <c r="I25" s="14" t="s">
        <v>379</v>
      </c>
      <c r="J25" s="15" t="n">
        <v>30400</v>
      </c>
      <c r="K25" s="13" t="n">
        <v>90</v>
      </c>
      <c r="L25" s="13" t="s">
        <v>380</v>
      </c>
      <c r="M25" s="13"/>
      <c r="N25" s="13" t="s">
        <v>184</v>
      </c>
      <c r="O25" s="13" t="s">
        <v>185</v>
      </c>
      <c r="P25" s="13" t="s">
        <v>186</v>
      </c>
      <c r="Q25" s="20" t="n">
        <v>700</v>
      </c>
      <c r="R25" s="20" t="n">
        <v>2100</v>
      </c>
      <c r="S25" s="20" t="n">
        <v>5250</v>
      </c>
      <c r="T25" s="20" t="n">
        <v>4635</v>
      </c>
      <c r="U25" s="20" t="n">
        <v>8703</v>
      </c>
      <c r="V25" s="13" t="s">
        <v>187</v>
      </c>
      <c r="W25" s="17"/>
      <c r="X25" s="13"/>
      <c r="Y25" s="13" t="s">
        <v>381</v>
      </c>
      <c r="Z25" s="13" t="s">
        <v>212</v>
      </c>
      <c r="AA25" s="13" t="s">
        <v>213</v>
      </c>
      <c r="AB25" s="13" t="s">
        <v>382</v>
      </c>
      <c r="AC25" s="18" t="n">
        <v>95.01</v>
      </c>
      <c r="AD25" s="13" t="s">
        <v>190</v>
      </c>
      <c r="AE25" s="19" t="n">
        <v>1.49</v>
      </c>
      <c r="AF25" s="19" t="n">
        <v>1.9</v>
      </c>
      <c r="AG25" s="19" t="n">
        <v>2.31</v>
      </c>
      <c r="AH25" s="13" t="s">
        <v>383</v>
      </c>
      <c r="AI25" s="17" t="n">
        <f aca="false">IF(OR(AC25="",AF25="",Settings!$B$5=""),"",ROUND(AC25-AF25*Settings!$B$5,2))</f>
        <v>88.06</v>
      </c>
      <c r="AJ25" s="13" t="s">
        <v>192</v>
      </c>
      <c r="AK25" s="13" t="s">
        <v>193</v>
      </c>
      <c r="AL25" s="14" t="s">
        <v>338</v>
      </c>
      <c r="AM25" s="13" t="s">
        <v>216</v>
      </c>
      <c r="AN25" s="15" t="n">
        <v>30400</v>
      </c>
      <c r="AO25" s="13"/>
      <c r="AP25" s="13" t="s">
        <v>196</v>
      </c>
      <c r="AQ25" s="16" t="n">
        <f aca="false">IFERROR(IF(AND(INDEX(Mob_Demob!$D$6:$D$14,MATCH(AM25,Mob_Demob!$A$6:$A$14,0))="",INDEX(Mob_Demob!$G$6:$G$14,MATCH(AM25,Mob_Demob!$A$6:$A$14,0))=""),"",ROUND(MAX(N(INDEX(Mob_Demob!$G$6:$G$14,MATCH(AM25,Mob_Demob!$A$6:$A$14,0))),N(INDEX(Mob_Demob!$D$6:$D$14,MATCH(AM25,Mob_Demob!$A$6:$A$14,0)))*Settings!$B$6)+IF(AP25="Y",N(INDEX(Mob_Demob!$I$6:$I$14,MATCH(AM25,Mob_Demob!$A$6:$A$14,0)))*Settings!$B$19,0)+N(INDEX(Mob_Demob!$L$6:$L$14,MATCH(AM25,Mob_Demob!$A$6:$A$14,0)))*N(INDEX(Mob_Demob!$K$6:$K$14,MATCH(AM25,Mob_Demob!$A$6:$A$14,0)))*Settings!$B$6+N(INDEX(Mob_Demob!$M$6:$M$14,MATCH(AM25,Mob_Demob!$A$6:$A$14,0)))*N(INDEX(Mob_Demob!$N$6:$N$14,MATCH(AM25,Mob_Demob!$A$6:$A$14,0))),0)),"")</f>
        <v>550</v>
      </c>
      <c r="AR25" s="16" t="n">
        <f aca="false">IF(AQ25="","",ROUND(AQ25*Settings!$B$18,0))</f>
        <v>550</v>
      </c>
      <c r="AS25" s="13" t="s">
        <v>366</v>
      </c>
      <c r="AT25" s="14" t="s">
        <v>384</v>
      </c>
      <c r="AU25" s="14"/>
    </row>
    <row r="26" customFormat="false" ht="64.15" hidden="false" customHeight="false" outlineLevel="0" collapsed="false">
      <c r="A26" s="11" t="s">
        <v>385</v>
      </c>
      <c r="B26" s="11" t="s">
        <v>176</v>
      </c>
      <c r="C26" s="11" t="s">
        <v>330</v>
      </c>
      <c r="D26" s="11" t="s">
        <v>386</v>
      </c>
      <c r="E26" s="12" t="s">
        <v>387</v>
      </c>
      <c r="F26" s="13" t="s">
        <v>333</v>
      </c>
      <c r="G26" s="13" t="n">
        <v>40200</v>
      </c>
      <c r="H26" s="13" t="s">
        <v>334</v>
      </c>
      <c r="I26" s="14" t="s">
        <v>388</v>
      </c>
      <c r="J26" s="15" t="n">
        <v>40200</v>
      </c>
      <c r="K26" s="13" t="n">
        <v>133</v>
      </c>
      <c r="L26" s="13" t="s">
        <v>389</v>
      </c>
      <c r="M26" s="13"/>
      <c r="N26" s="13" t="s">
        <v>184</v>
      </c>
      <c r="O26" s="13" t="s">
        <v>185</v>
      </c>
      <c r="P26" s="13" t="s">
        <v>186</v>
      </c>
      <c r="Q26" s="20" t="n">
        <v>855</v>
      </c>
      <c r="R26" s="20" t="n">
        <v>2463</v>
      </c>
      <c r="S26" s="20" t="n">
        <v>6513</v>
      </c>
      <c r="T26" s="20" t="n">
        <v>5750</v>
      </c>
      <c r="U26" s="20" t="n">
        <v>8766</v>
      </c>
      <c r="V26" s="13" t="s">
        <v>187</v>
      </c>
      <c r="W26" s="17"/>
      <c r="X26" s="13"/>
      <c r="Y26" s="13" t="s">
        <v>390</v>
      </c>
      <c r="Z26" s="13" t="s">
        <v>212</v>
      </c>
      <c r="AA26" s="13" t="s">
        <v>213</v>
      </c>
      <c r="AB26" s="13"/>
      <c r="AC26" s="17" t="n">
        <f aca="false">ROUND(AC25+(AC27-AC25)*(J26-J25)/(J27-J25),2)</f>
        <v>102.01</v>
      </c>
      <c r="AD26" s="13" t="s">
        <v>205</v>
      </c>
      <c r="AE26" s="19" t="n">
        <f aca="false">ROUND(K26*Settings!$B$11*Settings!$B$13,2)</f>
        <v>2.26</v>
      </c>
      <c r="AF26" s="19" t="n">
        <f aca="false">ROUND(K26*Settings!$B$11*Settings!$B$14,2)</f>
        <v>2.97</v>
      </c>
      <c r="AG26" s="19" t="n">
        <f aca="false">ROUND(K26*Settings!$B$11*Settings!$B$15,2)</f>
        <v>3.88</v>
      </c>
      <c r="AH26" s="13" t="s">
        <v>191</v>
      </c>
      <c r="AI26" s="17" t="n">
        <f aca="false">IF(OR(AC26="",AF26="",Settings!$B$5=""),"",ROUND(AC26-AF26*Settings!$B$5,2))</f>
        <v>91.14</v>
      </c>
      <c r="AJ26" s="13" t="s">
        <v>193</v>
      </c>
      <c r="AK26" s="13" t="s">
        <v>193</v>
      </c>
      <c r="AL26" s="14" t="s">
        <v>338</v>
      </c>
      <c r="AM26" s="13" t="s">
        <v>216</v>
      </c>
      <c r="AN26" s="15" t="n">
        <v>40200</v>
      </c>
      <c r="AO26" s="13"/>
      <c r="AP26" s="13" t="s">
        <v>196</v>
      </c>
      <c r="AQ26" s="16" t="n">
        <f aca="false">IFERROR(IF(AND(INDEX(Mob_Demob!$D$6:$D$14,MATCH(AM26,Mob_Demob!$A$6:$A$14,0))="",INDEX(Mob_Demob!$G$6:$G$14,MATCH(AM26,Mob_Demob!$A$6:$A$14,0))=""),"",ROUND(MAX(N(INDEX(Mob_Demob!$G$6:$G$14,MATCH(AM26,Mob_Demob!$A$6:$A$14,0))),N(INDEX(Mob_Demob!$D$6:$D$14,MATCH(AM26,Mob_Demob!$A$6:$A$14,0)))*Settings!$B$6)+IF(AP26="Y",N(INDEX(Mob_Demob!$I$6:$I$14,MATCH(AM26,Mob_Demob!$A$6:$A$14,0)))*Settings!$B$19,0)+N(INDEX(Mob_Demob!$L$6:$L$14,MATCH(AM26,Mob_Demob!$A$6:$A$14,0)))*N(INDEX(Mob_Demob!$K$6:$K$14,MATCH(AM26,Mob_Demob!$A$6:$A$14,0)))*Settings!$B$6+N(INDEX(Mob_Demob!$M$6:$M$14,MATCH(AM26,Mob_Demob!$A$6:$A$14,0)))*N(INDEX(Mob_Demob!$N$6:$N$14,MATCH(AM26,Mob_Demob!$A$6:$A$14,0))),0)),"")</f>
        <v>550</v>
      </c>
      <c r="AR26" s="16" t="n">
        <f aca="false">IF(AQ26="","",ROUND(AQ26*Settings!$B$18,0))</f>
        <v>550</v>
      </c>
      <c r="AS26" s="13" t="s">
        <v>366</v>
      </c>
      <c r="AT26" s="14" t="s">
        <v>391</v>
      </c>
      <c r="AU26" s="14" t="s">
        <v>392</v>
      </c>
    </row>
    <row r="27" customFormat="false" ht="64.15" hidden="false" customHeight="false" outlineLevel="0" collapsed="false">
      <c r="A27" s="11" t="s">
        <v>393</v>
      </c>
      <c r="B27" s="11" t="s">
        <v>176</v>
      </c>
      <c r="C27" s="11" t="s">
        <v>330</v>
      </c>
      <c r="D27" s="11" t="s">
        <v>394</v>
      </c>
      <c r="E27" s="12" t="s">
        <v>395</v>
      </c>
      <c r="F27" s="13" t="s">
        <v>333</v>
      </c>
      <c r="G27" s="13" t="n">
        <v>48500</v>
      </c>
      <c r="H27" s="13" t="s">
        <v>334</v>
      </c>
      <c r="I27" s="14" t="s">
        <v>396</v>
      </c>
      <c r="J27" s="15" t="n">
        <v>48500</v>
      </c>
      <c r="K27" s="13" t="n">
        <v>150</v>
      </c>
      <c r="L27" s="13" t="s">
        <v>397</v>
      </c>
      <c r="M27" s="13"/>
      <c r="N27" s="13" t="s">
        <v>184</v>
      </c>
      <c r="O27" s="13" t="s">
        <v>185</v>
      </c>
      <c r="P27" s="13" t="s">
        <v>186</v>
      </c>
      <c r="Q27" s="20" t="n">
        <v>1040</v>
      </c>
      <c r="R27" s="20" t="n">
        <v>2927</v>
      </c>
      <c r="S27" s="20" t="n">
        <v>7950</v>
      </c>
      <c r="T27" s="20" t="n">
        <v>6500</v>
      </c>
      <c r="U27" s="20" t="n">
        <v>10259</v>
      </c>
      <c r="V27" s="13" t="s">
        <v>187</v>
      </c>
      <c r="W27" s="17"/>
      <c r="X27" s="13"/>
      <c r="Y27" s="13" t="s">
        <v>390</v>
      </c>
      <c r="Z27" s="13" t="s">
        <v>212</v>
      </c>
      <c r="AA27" s="13" t="s">
        <v>213</v>
      </c>
      <c r="AB27" s="13" t="s">
        <v>398</v>
      </c>
      <c r="AC27" s="18" t="n">
        <v>107.93</v>
      </c>
      <c r="AD27" s="13" t="s">
        <v>190</v>
      </c>
      <c r="AE27" s="19" t="n">
        <v>2.18</v>
      </c>
      <c r="AF27" s="19" t="n">
        <v>2.78</v>
      </c>
      <c r="AG27" s="19" t="n">
        <v>3.37</v>
      </c>
      <c r="AH27" s="13" t="s">
        <v>399</v>
      </c>
      <c r="AI27" s="17" t="n">
        <f aca="false">IF(OR(AC27="",AF27="",Settings!$B$5=""),"",ROUND(AC27-AF27*Settings!$B$5,2))</f>
        <v>97.76</v>
      </c>
      <c r="AJ27" s="13" t="s">
        <v>192</v>
      </c>
      <c r="AK27" s="13" t="s">
        <v>193</v>
      </c>
      <c r="AL27" s="14" t="s">
        <v>338</v>
      </c>
      <c r="AM27" s="13" t="s">
        <v>216</v>
      </c>
      <c r="AN27" s="15" t="n">
        <v>48500</v>
      </c>
      <c r="AO27" s="13"/>
      <c r="AP27" s="13" t="s">
        <v>241</v>
      </c>
      <c r="AQ27" s="16" t="n">
        <f aca="false">IFERROR(IF(AND(INDEX(Mob_Demob!$D$6:$D$14,MATCH(AM27,Mob_Demob!$A$6:$A$14,0))="",INDEX(Mob_Demob!$G$6:$G$14,MATCH(AM27,Mob_Demob!$A$6:$A$14,0))=""),"",ROUND(MAX(N(INDEX(Mob_Demob!$G$6:$G$14,MATCH(AM27,Mob_Demob!$A$6:$A$14,0))),N(INDEX(Mob_Demob!$D$6:$D$14,MATCH(AM27,Mob_Demob!$A$6:$A$14,0)))*Settings!$B$6)+IF(AP27="Y",N(INDEX(Mob_Demob!$I$6:$I$14,MATCH(AM27,Mob_Demob!$A$6:$A$14,0)))*Settings!$B$19,0)+N(INDEX(Mob_Demob!$L$6:$L$14,MATCH(AM27,Mob_Demob!$A$6:$A$14,0)))*N(INDEX(Mob_Demob!$K$6:$K$14,MATCH(AM27,Mob_Demob!$A$6:$A$14,0)))*Settings!$B$6+N(INDEX(Mob_Demob!$M$6:$M$14,MATCH(AM27,Mob_Demob!$A$6:$A$14,0)))*N(INDEX(Mob_Demob!$N$6:$N$14,MATCH(AM27,Mob_Demob!$A$6:$A$14,0))),0)),"")</f>
        <v>550</v>
      </c>
      <c r="AR27" s="16" t="n">
        <f aca="false">IF(AQ27="","",ROUND(AQ27*Settings!$B$18,0))</f>
        <v>550</v>
      </c>
      <c r="AS27" s="13" t="s">
        <v>400</v>
      </c>
      <c r="AT27" s="14" t="s">
        <v>401</v>
      </c>
      <c r="AU27" s="14"/>
    </row>
    <row r="28" customFormat="false" ht="64.15" hidden="false" customHeight="false" outlineLevel="0" collapsed="false">
      <c r="A28" s="11" t="s">
        <v>402</v>
      </c>
      <c r="B28" s="11" t="s">
        <v>176</v>
      </c>
      <c r="C28" s="11" t="s">
        <v>330</v>
      </c>
      <c r="D28" s="11" t="s">
        <v>403</v>
      </c>
      <c r="E28" s="12" t="s">
        <v>404</v>
      </c>
      <c r="F28" s="13" t="s">
        <v>333</v>
      </c>
      <c r="G28" s="13" t="n">
        <v>69200</v>
      </c>
      <c r="H28" s="13" t="s">
        <v>334</v>
      </c>
      <c r="I28" s="14" t="s">
        <v>405</v>
      </c>
      <c r="J28" s="15" t="n">
        <v>69200</v>
      </c>
      <c r="K28" s="13" t="n">
        <v>201</v>
      </c>
      <c r="L28" s="13" t="s">
        <v>406</v>
      </c>
      <c r="M28" s="13"/>
      <c r="N28" s="13" t="s">
        <v>184</v>
      </c>
      <c r="O28" s="13" t="s">
        <v>185</v>
      </c>
      <c r="P28" s="13" t="s">
        <v>186</v>
      </c>
      <c r="Q28" s="20" t="n">
        <v>1424</v>
      </c>
      <c r="R28" s="20" t="n">
        <v>4019</v>
      </c>
      <c r="S28" s="20" t="n">
        <v>10850</v>
      </c>
      <c r="T28" s="20" t="n">
        <v>9000</v>
      </c>
      <c r="U28" s="20" t="n">
        <v>14177</v>
      </c>
      <c r="V28" s="13" t="s">
        <v>187</v>
      </c>
      <c r="W28" s="17"/>
      <c r="X28" s="13"/>
      <c r="Y28" s="13" t="s">
        <v>390</v>
      </c>
      <c r="Z28" s="13" t="s">
        <v>212</v>
      </c>
      <c r="AA28" s="13" t="s">
        <v>213</v>
      </c>
      <c r="AB28" s="13" t="s">
        <v>407</v>
      </c>
      <c r="AC28" s="18" t="n">
        <v>150.99</v>
      </c>
      <c r="AD28" s="13" t="s">
        <v>190</v>
      </c>
      <c r="AE28" s="19" t="n">
        <v>3.51</v>
      </c>
      <c r="AF28" s="19" t="n">
        <v>4.5</v>
      </c>
      <c r="AG28" s="19" t="n">
        <v>5.49</v>
      </c>
      <c r="AH28" s="13" t="s">
        <v>408</v>
      </c>
      <c r="AI28" s="17" t="n">
        <f aca="false">IF(OR(AC28="",AF28="",Settings!$B$5=""),"",ROUND(AC28-AF28*Settings!$B$5,2))</f>
        <v>134.52</v>
      </c>
      <c r="AJ28" s="13" t="s">
        <v>192</v>
      </c>
      <c r="AK28" s="13" t="s">
        <v>193</v>
      </c>
      <c r="AL28" s="14" t="s">
        <v>338</v>
      </c>
      <c r="AM28" s="13" t="s">
        <v>268</v>
      </c>
      <c r="AN28" s="15" t="n">
        <v>69200</v>
      </c>
      <c r="AO28" s="13" t="n">
        <v>11.1</v>
      </c>
      <c r="AP28" s="13" t="s">
        <v>269</v>
      </c>
      <c r="AQ28" s="16" t="n">
        <f aca="false">IFERROR(IF(AND(INDEX(Mob_Demob!$D$6:$D$14,MATCH(AM28,Mob_Demob!$A$6:$A$14,0))="",INDEX(Mob_Demob!$G$6:$G$14,MATCH(AM28,Mob_Demob!$A$6:$A$14,0))=""),"",ROUND(MAX(N(INDEX(Mob_Demob!$G$6:$G$14,MATCH(AM28,Mob_Demob!$A$6:$A$14,0))),N(INDEX(Mob_Demob!$D$6:$D$14,MATCH(AM28,Mob_Demob!$A$6:$A$14,0)))*Settings!$B$6)+IF(AP28="Y",N(INDEX(Mob_Demob!$I$6:$I$14,MATCH(AM28,Mob_Demob!$A$6:$A$14,0)))*Settings!$B$19,0)+N(INDEX(Mob_Demob!$L$6:$L$14,MATCH(AM28,Mob_Demob!$A$6:$A$14,0)))*N(INDEX(Mob_Demob!$K$6:$K$14,MATCH(AM28,Mob_Demob!$A$6:$A$14,0)))*Settings!$B$6+N(INDEX(Mob_Demob!$M$6:$M$14,MATCH(AM28,Mob_Demob!$A$6:$A$14,0)))*N(INDEX(Mob_Demob!$N$6:$N$14,MATCH(AM28,Mob_Demob!$A$6:$A$14,0))),0)),"")</f>
        <v>1800</v>
      </c>
      <c r="AR28" s="16" t="n">
        <f aca="false">IF(AQ28="","",ROUND(AQ28*Settings!$B$18,0))</f>
        <v>1800</v>
      </c>
      <c r="AS28" s="13" t="s">
        <v>409</v>
      </c>
      <c r="AT28" s="14" t="s">
        <v>410</v>
      </c>
      <c r="AU28" s="14"/>
    </row>
    <row r="29" customFormat="false" ht="64.15" hidden="false" customHeight="false" outlineLevel="0" collapsed="false">
      <c r="A29" s="11" t="s">
        <v>411</v>
      </c>
      <c r="B29" s="11" t="s">
        <v>176</v>
      </c>
      <c r="C29" s="11" t="s">
        <v>330</v>
      </c>
      <c r="D29" s="11" t="s">
        <v>412</v>
      </c>
      <c r="E29" s="12" t="s">
        <v>413</v>
      </c>
      <c r="F29" s="13" t="s">
        <v>333</v>
      </c>
      <c r="G29" s="13" t="n">
        <v>83100</v>
      </c>
      <c r="H29" s="13" t="s">
        <v>334</v>
      </c>
      <c r="I29" s="14" t="s">
        <v>414</v>
      </c>
      <c r="J29" s="15" t="n">
        <v>83100</v>
      </c>
      <c r="K29" s="13" t="n">
        <v>350</v>
      </c>
      <c r="L29" s="13" t="s">
        <v>415</v>
      </c>
      <c r="M29" s="13"/>
      <c r="N29" s="13" t="s">
        <v>184</v>
      </c>
      <c r="O29" s="13" t="s">
        <v>185</v>
      </c>
      <c r="P29" s="13" t="s">
        <v>186</v>
      </c>
      <c r="Q29" s="20" t="n">
        <v>1903</v>
      </c>
      <c r="R29" s="20" t="n">
        <v>5520</v>
      </c>
      <c r="S29" s="20" t="n">
        <v>16008</v>
      </c>
      <c r="T29" s="16"/>
      <c r="U29" s="16"/>
      <c r="V29" s="13" t="s">
        <v>187</v>
      </c>
      <c r="W29" s="17"/>
      <c r="X29" s="13"/>
      <c r="Y29" s="13" t="s">
        <v>259</v>
      </c>
      <c r="Z29" s="13" t="s">
        <v>260</v>
      </c>
      <c r="AA29" s="13" t="s">
        <v>192</v>
      </c>
      <c r="AB29" s="13" t="s">
        <v>416</v>
      </c>
      <c r="AC29" s="18" t="n">
        <v>183.84</v>
      </c>
      <c r="AD29" s="13" t="s">
        <v>190</v>
      </c>
      <c r="AE29" s="19" t="n">
        <v>5.32</v>
      </c>
      <c r="AF29" s="19" t="n">
        <v>6.96</v>
      </c>
      <c r="AG29" s="19" t="n">
        <v>8.61</v>
      </c>
      <c r="AH29" s="13" t="s">
        <v>417</v>
      </c>
      <c r="AI29" s="17" t="n">
        <f aca="false">IF(OR(AC29="",AF29="",Settings!$B$5=""),"",ROUND(AC29-AF29*Settings!$B$5,2))</f>
        <v>158.37</v>
      </c>
      <c r="AJ29" s="13" t="s">
        <v>192</v>
      </c>
      <c r="AK29" s="13" t="s">
        <v>193</v>
      </c>
      <c r="AL29" s="14" t="s">
        <v>338</v>
      </c>
      <c r="AM29" s="13" t="s">
        <v>268</v>
      </c>
      <c r="AN29" s="15" t="n">
        <v>83100</v>
      </c>
      <c r="AO29" s="13"/>
      <c r="AP29" s="13" t="s">
        <v>269</v>
      </c>
      <c r="AQ29" s="16" t="n">
        <f aca="false">IFERROR(IF(AND(INDEX(Mob_Demob!$D$6:$D$14,MATCH(AM29,Mob_Demob!$A$6:$A$14,0))="",INDEX(Mob_Demob!$G$6:$G$14,MATCH(AM29,Mob_Demob!$A$6:$A$14,0))=""),"",ROUND(MAX(N(INDEX(Mob_Demob!$G$6:$G$14,MATCH(AM29,Mob_Demob!$A$6:$A$14,0))),N(INDEX(Mob_Demob!$D$6:$D$14,MATCH(AM29,Mob_Demob!$A$6:$A$14,0)))*Settings!$B$6)+IF(AP29="Y",N(INDEX(Mob_Demob!$I$6:$I$14,MATCH(AM29,Mob_Demob!$A$6:$A$14,0)))*Settings!$B$19,0)+N(INDEX(Mob_Demob!$L$6:$L$14,MATCH(AM29,Mob_Demob!$A$6:$A$14,0)))*N(INDEX(Mob_Demob!$K$6:$K$14,MATCH(AM29,Mob_Demob!$A$6:$A$14,0)))*Settings!$B$6+N(INDEX(Mob_Demob!$M$6:$M$14,MATCH(AM29,Mob_Demob!$A$6:$A$14,0)))*N(INDEX(Mob_Demob!$N$6:$N$14,MATCH(AM29,Mob_Demob!$A$6:$A$14,0))),0)),"")</f>
        <v>1800</v>
      </c>
      <c r="AR29" s="16" t="n">
        <f aca="false">IF(AQ29="","",ROUND(AQ29*Settings!$B$18,0))</f>
        <v>1800</v>
      </c>
      <c r="AS29" s="13" t="s">
        <v>418</v>
      </c>
      <c r="AT29" s="14" t="s">
        <v>419</v>
      </c>
      <c r="AU29" s="14" t="s">
        <v>420</v>
      </c>
    </row>
    <row r="30" customFormat="false" ht="64.15" hidden="false" customHeight="false" outlineLevel="0" collapsed="false">
      <c r="A30" s="11" t="s">
        <v>421</v>
      </c>
      <c r="B30" s="11" t="s">
        <v>176</v>
      </c>
      <c r="C30" s="11" t="s">
        <v>330</v>
      </c>
      <c r="D30" s="11" t="s">
        <v>422</v>
      </c>
      <c r="E30" s="12" t="s">
        <v>423</v>
      </c>
      <c r="F30" s="13" t="s">
        <v>333</v>
      </c>
      <c r="G30" s="13" t="n">
        <v>107800</v>
      </c>
      <c r="H30" s="13" t="s">
        <v>334</v>
      </c>
      <c r="I30" s="14" t="s">
        <v>424</v>
      </c>
      <c r="J30" s="15" t="n">
        <v>107800</v>
      </c>
      <c r="K30" s="13" t="n">
        <v>443</v>
      </c>
      <c r="L30" s="13" t="s">
        <v>425</v>
      </c>
      <c r="M30" s="13"/>
      <c r="N30" s="13" t="s">
        <v>184</v>
      </c>
      <c r="O30" s="13" t="s">
        <v>185</v>
      </c>
      <c r="P30" s="13" t="s">
        <v>186</v>
      </c>
      <c r="Q30" s="20" t="n">
        <v>2250</v>
      </c>
      <c r="R30" s="20" t="n">
        <v>5600</v>
      </c>
      <c r="S30" s="20" t="n">
        <v>14000</v>
      </c>
      <c r="T30" s="20" t="n">
        <v>13500</v>
      </c>
      <c r="U30" s="20" t="n">
        <v>22488</v>
      </c>
      <c r="V30" s="13" t="s">
        <v>187</v>
      </c>
      <c r="W30" s="17"/>
      <c r="X30" s="13"/>
      <c r="Y30" s="13" t="s">
        <v>426</v>
      </c>
      <c r="Z30" s="13" t="s">
        <v>212</v>
      </c>
      <c r="AA30" s="13" t="s">
        <v>213</v>
      </c>
      <c r="AB30" s="13"/>
      <c r="AC30" s="17" t="n">
        <f aca="false">ROUND(AC29+(AC32-AC29)*(J30-J29)/(J32-J29),2)</f>
        <v>203.85</v>
      </c>
      <c r="AD30" s="13" t="s">
        <v>205</v>
      </c>
      <c r="AE30" s="19" t="n">
        <v>6.19</v>
      </c>
      <c r="AF30" s="19" t="n">
        <v>8.02</v>
      </c>
      <c r="AG30" s="19" t="n">
        <v>9.85</v>
      </c>
      <c r="AH30" s="13" t="s">
        <v>427</v>
      </c>
      <c r="AI30" s="17" t="n">
        <f aca="false">IF(OR(AC30="",AF30="",Settings!$B$5=""),"",ROUND(AC30-AF30*Settings!$B$5,2))</f>
        <v>174.5</v>
      </c>
      <c r="AJ30" s="13" t="s">
        <v>193</v>
      </c>
      <c r="AK30" s="13" t="s">
        <v>193</v>
      </c>
      <c r="AL30" s="14" t="s">
        <v>338</v>
      </c>
      <c r="AM30" s="13" t="s">
        <v>286</v>
      </c>
      <c r="AN30" s="15" t="n">
        <v>107800</v>
      </c>
      <c r="AO30" s="13"/>
      <c r="AP30" s="13" t="s">
        <v>269</v>
      </c>
      <c r="AQ30" s="16" t="n">
        <f aca="false">IFERROR(IF(AND(INDEX(Mob_Demob!$D$6:$D$14,MATCH(AM30,Mob_Demob!$A$6:$A$14,0))="",INDEX(Mob_Demob!$G$6:$G$14,MATCH(AM30,Mob_Demob!$A$6:$A$14,0))=""),"",ROUND(MAX(N(INDEX(Mob_Demob!$G$6:$G$14,MATCH(AM30,Mob_Demob!$A$6:$A$14,0))),N(INDEX(Mob_Demob!$D$6:$D$14,MATCH(AM30,Mob_Demob!$A$6:$A$14,0)))*Settings!$B$6)+IF(AP30="Y",N(INDEX(Mob_Demob!$I$6:$I$14,MATCH(AM30,Mob_Demob!$A$6:$A$14,0)))*Settings!$B$19,0)+N(INDEX(Mob_Demob!$L$6:$L$14,MATCH(AM30,Mob_Demob!$A$6:$A$14,0)))*N(INDEX(Mob_Demob!$K$6:$K$14,MATCH(AM30,Mob_Demob!$A$6:$A$14,0)))*Settings!$B$6+N(INDEX(Mob_Demob!$M$6:$M$14,MATCH(AM30,Mob_Demob!$A$6:$A$14,0)))*N(INDEX(Mob_Demob!$N$6:$N$14,MATCH(AM30,Mob_Demob!$A$6:$A$14,0))),0)),"")</f>
        <v>1913</v>
      </c>
      <c r="AR30" s="16" t="n">
        <f aca="false">IF(AQ30="","",ROUND(AQ30*Settings!$B$18,0))</f>
        <v>1913</v>
      </c>
      <c r="AS30" s="13" t="s">
        <v>428</v>
      </c>
      <c r="AT30" s="14" t="s">
        <v>429</v>
      </c>
      <c r="AU30" s="14"/>
    </row>
    <row r="31" customFormat="false" ht="64.15" hidden="false" customHeight="false" outlineLevel="0" collapsed="false">
      <c r="A31" s="11" t="s">
        <v>430</v>
      </c>
      <c r="B31" s="11" t="s">
        <v>176</v>
      </c>
      <c r="C31" s="11" t="s">
        <v>330</v>
      </c>
      <c r="D31" s="11" t="s">
        <v>431</v>
      </c>
      <c r="E31" s="12" t="s">
        <v>432</v>
      </c>
      <c r="F31" s="13" t="s">
        <v>333</v>
      </c>
      <c r="G31" s="13" t="n">
        <v>162900</v>
      </c>
      <c r="H31" s="13" t="s">
        <v>334</v>
      </c>
      <c r="I31" s="14" t="s">
        <v>433</v>
      </c>
      <c r="J31" s="15" t="n">
        <v>162900</v>
      </c>
      <c r="K31" s="13" t="n">
        <v>484</v>
      </c>
      <c r="L31" s="13" t="s">
        <v>434</v>
      </c>
      <c r="M31" s="13"/>
      <c r="N31" s="13" t="s">
        <v>184</v>
      </c>
      <c r="O31" s="13" t="s">
        <v>185</v>
      </c>
      <c r="P31" s="13" t="s">
        <v>186</v>
      </c>
      <c r="Q31" s="20" t="n">
        <v>3950</v>
      </c>
      <c r="R31" s="20" t="n">
        <v>10690</v>
      </c>
      <c r="S31" s="20" t="n">
        <v>29160</v>
      </c>
      <c r="T31" s="20" t="n">
        <v>23000</v>
      </c>
      <c r="U31" s="20" t="n">
        <v>35320</v>
      </c>
      <c r="V31" s="13" t="s">
        <v>187</v>
      </c>
      <c r="W31" s="17"/>
      <c r="X31" s="13"/>
      <c r="Y31" s="13" t="s">
        <v>223</v>
      </c>
      <c r="Z31" s="13" t="s">
        <v>212</v>
      </c>
      <c r="AA31" s="13" t="s">
        <v>213</v>
      </c>
      <c r="AB31" s="13"/>
      <c r="AC31" s="17" t="n">
        <f aca="false">ROUND(AC29+(AC32-AC29)*(J31-J29)/(J32-J29),2)</f>
        <v>248.49</v>
      </c>
      <c r="AD31" s="13" t="s">
        <v>205</v>
      </c>
      <c r="AE31" s="19" t="n">
        <v>7.74</v>
      </c>
      <c r="AF31" s="19" t="n">
        <v>9.95</v>
      </c>
      <c r="AG31" s="19" t="n">
        <v>12.17</v>
      </c>
      <c r="AH31" s="13" t="s">
        <v>435</v>
      </c>
      <c r="AI31" s="17" t="n">
        <f aca="false">IF(OR(AC31="",AF31="",Settings!$B$5=""),"",ROUND(AC31-AF31*Settings!$B$5,2))</f>
        <v>212.07</v>
      </c>
      <c r="AJ31" s="13" t="s">
        <v>193</v>
      </c>
      <c r="AK31" s="13" t="s">
        <v>193</v>
      </c>
      <c r="AL31" s="14" t="s">
        <v>338</v>
      </c>
      <c r="AM31" s="13" t="s">
        <v>286</v>
      </c>
      <c r="AN31" s="15" t="n">
        <v>162900</v>
      </c>
      <c r="AO31" s="13"/>
      <c r="AP31" s="13" t="s">
        <v>269</v>
      </c>
      <c r="AQ31" s="16" t="n">
        <f aca="false">IFERROR(IF(AND(INDEX(Mob_Demob!$D$6:$D$14,MATCH(AM31,Mob_Demob!$A$6:$A$14,0))="",INDEX(Mob_Demob!$G$6:$G$14,MATCH(AM31,Mob_Demob!$A$6:$A$14,0))=""),"",ROUND(MAX(N(INDEX(Mob_Demob!$G$6:$G$14,MATCH(AM31,Mob_Demob!$A$6:$A$14,0))),N(INDEX(Mob_Demob!$D$6:$D$14,MATCH(AM31,Mob_Demob!$A$6:$A$14,0)))*Settings!$B$6)+IF(AP31="Y",N(INDEX(Mob_Demob!$I$6:$I$14,MATCH(AM31,Mob_Demob!$A$6:$A$14,0)))*Settings!$B$19,0)+N(INDEX(Mob_Demob!$L$6:$L$14,MATCH(AM31,Mob_Demob!$A$6:$A$14,0)))*N(INDEX(Mob_Demob!$K$6:$K$14,MATCH(AM31,Mob_Demob!$A$6:$A$14,0)))*Settings!$B$6+N(INDEX(Mob_Demob!$M$6:$M$14,MATCH(AM31,Mob_Demob!$A$6:$A$14,0)))*N(INDEX(Mob_Demob!$N$6:$N$14,MATCH(AM31,Mob_Demob!$A$6:$A$14,0))),0)),"")</f>
        <v>1913</v>
      </c>
      <c r="AR31" s="16" t="n">
        <f aca="false">IF(AQ31="","",ROUND(AQ31*Settings!$B$18,0))</f>
        <v>1913</v>
      </c>
      <c r="AS31" s="13" t="s">
        <v>436</v>
      </c>
      <c r="AT31" s="14" t="s">
        <v>437</v>
      </c>
      <c r="AU31" s="14"/>
    </row>
    <row r="32" customFormat="false" ht="64.15" hidden="false" customHeight="false" outlineLevel="0" collapsed="false">
      <c r="A32" s="11" t="s">
        <v>438</v>
      </c>
      <c r="B32" s="11" t="s">
        <v>176</v>
      </c>
      <c r="C32" s="11" t="s">
        <v>330</v>
      </c>
      <c r="D32" s="11" t="s">
        <v>439</v>
      </c>
      <c r="E32" s="12" t="s">
        <v>440</v>
      </c>
      <c r="F32" s="13" t="s">
        <v>333</v>
      </c>
      <c r="G32" s="13" t="n">
        <v>207400</v>
      </c>
      <c r="H32" s="13" t="s">
        <v>334</v>
      </c>
      <c r="I32" s="14" t="s">
        <v>441</v>
      </c>
      <c r="J32" s="15" t="n">
        <v>207400</v>
      </c>
      <c r="K32" s="13" t="n">
        <v>550</v>
      </c>
      <c r="L32" s="13" t="s">
        <v>442</v>
      </c>
      <c r="M32" s="13"/>
      <c r="N32" s="13" t="s">
        <v>184</v>
      </c>
      <c r="O32" s="13" t="s">
        <v>185</v>
      </c>
      <c r="P32" s="13" t="s">
        <v>186</v>
      </c>
      <c r="Q32" s="20" t="n">
        <v>4999</v>
      </c>
      <c r="R32" s="20" t="n">
        <v>13555</v>
      </c>
      <c r="S32" s="20" t="n">
        <v>36988</v>
      </c>
      <c r="T32" s="20" t="n">
        <v>29000</v>
      </c>
      <c r="U32" s="20" t="n">
        <v>44976</v>
      </c>
      <c r="V32" s="13" t="s">
        <v>187</v>
      </c>
      <c r="W32" s="17"/>
      <c r="X32" s="13"/>
      <c r="Y32" s="13" t="s">
        <v>223</v>
      </c>
      <c r="Z32" s="13" t="s">
        <v>212</v>
      </c>
      <c r="AA32" s="13" t="s">
        <v>213</v>
      </c>
      <c r="AB32" s="13" t="s">
        <v>443</v>
      </c>
      <c r="AC32" s="18" t="n">
        <v>284.54</v>
      </c>
      <c r="AD32" s="13" t="s">
        <v>190</v>
      </c>
      <c r="AE32" s="19" t="n">
        <v>9.6</v>
      </c>
      <c r="AF32" s="19" t="n">
        <v>12.45</v>
      </c>
      <c r="AG32" s="19" t="n">
        <v>15.3</v>
      </c>
      <c r="AH32" s="13" t="s">
        <v>444</v>
      </c>
      <c r="AI32" s="17" t="n">
        <f aca="false">IF(OR(AC32="",AF32="",Settings!$B$5=""),"",ROUND(AC32-AF32*Settings!$B$5,2))</f>
        <v>238.97</v>
      </c>
      <c r="AJ32" s="13" t="s">
        <v>192</v>
      </c>
      <c r="AK32" s="13" t="s">
        <v>193</v>
      </c>
      <c r="AL32" s="14" t="s">
        <v>338</v>
      </c>
      <c r="AM32" s="13" t="s">
        <v>286</v>
      </c>
      <c r="AN32" s="15" t="n">
        <v>207400</v>
      </c>
      <c r="AO32" s="13"/>
      <c r="AP32" s="13" t="s">
        <v>269</v>
      </c>
      <c r="AQ32" s="16" t="n">
        <f aca="false">IFERROR(IF(AND(INDEX(Mob_Demob!$D$6:$D$14,MATCH(AM32,Mob_Demob!$A$6:$A$14,0))="",INDEX(Mob_Demob!$G$6:$G$14,MATCH(AM32,Mob_Demob!$A$6:$A$14,0))=""),"",ROUND(MAX(N(INDEX(Mob_Demob!$G$6:$G$14,MATCH(AM32,Mob_Demob!$A$6:$A$14,0))),N(INDEX(Mob_Demob!$D$6:$D$14,MATCH(AM32,Mob_Demob!$A$6:$A$14,0)))*Settings!$B$6)+IF(AP32="Y",N(INDEX(Mob_Demob!$I$6:$I$14,MATCH(AM32,Mob_Demob!$A$6:$A$14,0)))*Settings!$B$19,0)+N(INDEX(Mob_Demob!$L$6:$L$14,MATCH(AM32,Mob_Demob!$A$6:$A$14,0)))*N(INDEX(Mob_Demob!$K$6:$K$14,MATCH(AM32,Mob_Demob!$A$6:$A$14,0)))*Settings!$B$6+N(INDEX(Mob_Demob!$M$6:$M$14,MATCH(AM32,Mob_Demob!$A$6:$A$14,0)))*N(INDEX(Mob_Demob!$N$6:$N$14,MATCH(AM32,Mob_Demob!$A$6:$A$14,0))),0)),"")</f>
        <v>1913</v>
      </c>
      <c r="AR32" s="16" t="n">
        <f aca="false">IF(AQ32="","",ROUND(AQ32*Settings!$B$18,0))</f>
        <v>1913</v>
      </c>
      <c r="AS32" s="13" t="s">
        <v>436</v>
      </c>
      <c r="AT32" s="14" t="s">
        <v>445</v>
      </c>
      <c r="AU32" s="14"/>
    </row>
    <row r="33" customFormat="false" ht="64.15" hidden="false" customHeight="false" outlineLevel="0" collapsed="false">
      <c r="A33" s="11" t="s">
        <v>446</v>
      </c>
      <c r="B33" s="11" t="s">
        <v>176</v>
      </c>
      <c r="C33" s="11" t="s">
        <v>330</v>
      </c>
      <c r="D33" s="11" t="s">
        <v>447</v>
      </c>
      <c r="E33" s="12" t="s">
        <v>448</v>
      </c>
      <c r="F33" s="13" t="s">
        <v>333</v>
      </c>
      <c r="G33" s="13" t="n">
        <v>25000</v>
      </c>
      <c r="H33" s="13" t="s">
        <v>334</v>
      </c>
      <c r="I33" s="14" t="s">
        <v>449</v>
      </c>
      <c r="J33" s="15" t="n">
        <v>25000</v>
      </c>
      <c r="K33" s="13"/>
      <c r="L33" s="13"/>
      <c r="M33" s="13"/>
      <c r="N33" s="13" t="s">
        <v>184</v>
      </c>
      <c r="O33" s="13" t="s">
        <v>185</v>
      </c>
      <c r="P33" s="13" t="s">
        <v>186</v>
      </c>
      <c r="Q33" s="20" t="n">
        <v>850</v>
      </c>
      <c r="R33" s="20" t="n">
        <v>2500</v>
      </c>
      <c r="S33" s="20" t="n">
        <v>5500</v>
      </c>
      <c r="T33" s="16"/>
      <c r="U33" s="16"/>
      <c r="V33" s="13" t="s">
        <v>187</v>
      </c>
      <c r="W33" s="17"/>
      <c r="X33" s="13"/>
      <c r="Y33" s="13" t="s">
        <v>450</v>
      </c>
      <c r="Z33" s="13" t="s">
        <v>451</v>
      </c>
      <c r="AA33" s="13" t="s">
        <v>192</v>
      </c>
      <c r="AB33" s="13"/>
      <c r="AC33" s="17"/>
      <c r="AD33" s="13"/>
      <c r="AE33" s="19"/>
      <c r="AF33" s="19"/>
      <c r="AG33" s="19"/>
      <c r="AH33" s="13"/>
      <c r="AI33" s="17"/>
      <c r="AJ33" s="13" t="s">
        <v>188</v>
      </c>
      <c r="AK33" s="13" t="s">
        <v>188</v>
      </c>
      <c r="AL33" s="14" t="s">
        <v>338</v>
      </c>
      <c r="AM33" s="13" t="s">
        <v>216</v>
      </c>
      <c r="AN33" s="15" t="n">
        <v>25000</v>
      </c>
      <c r="AO33" s="13"/>
      <c r="AP33" s="13" t="s">
        <v>196</v>
      </c>
      <c r="AQ33" s="16" t="n">
        <f aca="false">IFERROR(IF(AND(INDEX(Mob_Demob!$D$6:$D$14,MATCH(AM33,Mob_Demob!$A$6:$A$14,0))="",INDEX(Mob_Demob!$G$6:$G$14,MATCH(AM33,Mob_Demob!$A$6:$A$14,0))=""),"",ROUND(MAX(N(INDEX(Mob_Demob!$G$6:$G$14,MATCH(AM33,Mob_Demob!$A$6:$A$14,0))),N(INDEX(Mob_Demob!$D$6:$D$14,MATCH(AM33,Mob_Demob!$A$6:$A$14,0)))*Settings!$B$6)+IF(AP33="Y",N(INDEX(Mob_Demob!$I$6:$I$14,MATCH(AM33,Mob_Demob!$A$6:$A$14,0)))*Settings!$B$19,0)+N(INDEX(Mob_Demob!$L$6:$L$14,MATCH(AM33,Mob_Demob!$A$6:$A$14,0)))*N(INDEX(Mob_Demob!$K$6:$K$14,MATCH(AM33,Mob_Demob!$A$6:$A$14,0)))*Settings!$B$6+N(INDEX(Mob_Demob!$M$6:$M$14,MATCH(AM33,Mob_Demob!$A$6:$A$14,0)))*N(INDEX(Mob_Demob!$N$6:$N$14,MATCH(AM33,Mob_Demob!$A$6:$A$14,0))),0)),"")</f>
        <v>550</v>
      </c>
      <c r="AR33" s="16" t="n">
        <f aca="false">IF(AQ33="","",ROUND(AQ33*Settings!$B$18,0))</f>
        <v>550</v>
      </c>
      <c r="AS33" s="13" t="s">
        <v>339</v>
      </c>
      <c r="AT33" s="14" t="s">
        <v>452</v>
      </c>
      <c r="AU33" s="14" t="s">
        <v>262</v>
      </c>
    </row>
    <row r="34" customFormat="false" ht="64.15" hidden="false" customHeight="false" outlineLevel="0" collapsed="false">
      <c r="A34" s="11" t="s">
        <v>453</v>
      </c>
      <c r="B34" s="11" t="s">
        <v>176</v>
      </c>
      <c r="C34" s="11" t="s">
        <v>330</v>
      </c>
      <c r="D34" s="11" t="s">
        <v>447</v>
      </c>
      <c r="E34" s="12" t="s">
        <v>454</v>
      </c>
      <c r="F34" s="13" t="s">
        <v>333</v>
      </c>
      <c r="G34" s="13" t="n">
        <v>43980</v>
      </c>
      <c r="H34" s="13" t="s">
        <v>334</v>
      </c>
      <c r="I34" s="14" t="s">
        <v>455</v>
      </c>
      <c r="J34" s="15" t="n">
        <v>43980</v>
      </c>
      <c r="K34" s="13" t="n">
        <v>174</v>
      </c>
      <c r="L34" s="13"/>
      <c r="M34" s="13"/>
      <c r="N34" s="13" t="s">
        <v>184</v>
      </c>
      <c r="O34" s="13" t="s">
        <v>185</v>
      </c>
      <c r="P34" s="13" t="s">
        <v>186</v>
      </c>
      <c r="Q34" s="20" t="n">
        <v>1050</v>
      </c>
      <c r="R34" s="20" t="n">
        <v>3500</v>
      </c>
      <c r="S34" s="20" t="n">
        <v>7500</v>
      </c>
      <c r="T34" s="16"/>
      <c r="U34" s="16"/>
      <c r="V34" s="13" t="s">
        <v>187</v>
      </c>
      <c r="W34" s="17"/>
      <c r="X34" s="13"/>
      <c r="Y34" s="13" t="s">
        <v>450</v>
      </c>
      <c r="Z34" s="13" t="s">
        <v>451</v>
      </c>
      <c r="AA34" s="13" t="s">
        <v>192</v>
      </c>
      <c r="AB34" s="13"/>
      <c r="AC34" s="17"/>
      <c r="AD34" s="13"/>
      <c r="AE34" s="19" t="n">
        <f aca="false">ROUND(K34*Settings!$B$11*Settings!$B$13,2)</f>
        <v>2.96</v>
      </c>
      <c r="AF34" s="19" t="n">
        <f aca="false">ROUND(K34*Settings!$B$11*Settings!$B$14,2)</f>
        <v>3.89</v>
      </c>
      <c r="AG34" s="19" t="n">
        <f aca="false">ROUND(K34*Settings!$B$11*Settings!$B$15,2)</f>
        <v>5.07</v>
      </c>
      <c r="AH34" s="13" t="s">
        <v>191</v>
      </c>
      <c r="AI34" s="17"/>
      <c r="AJ34" s="13" t="s">
        <v>188</v>
      </c>
      <c r="AK34" s="13" t="s">
        <v>188</v>
      </c>
      <c r="AL34" s="14" t="s">
        <v>338</v>
      </c>
      <c r="AM34" s="13" t="s">
        <v>216</v>
      </c>
      <c r="AN34" s="15" t="n">
        <v>43980</v>
      </c>
      <c r="AO34" s="13"/>
      <c r="AP34" s="13" t="s">
        <v>196</v>
      </c>
      <c r="AQ34" s="16" t="n">
        <f aca="false">IFERROR(IF(AND(INDEX(Mob_Demob!$D$6:$D$14,MATCH(AM34,Mob_Demob!$A$6:$A$14,0))="",INDEX(Mob_Demob!$G$6:$G$14,MATCH(AM34,Mob_Demob!$A$6:$A$14,0))=""),"",ROUND(MAX(N(INDEX(Mob_Demob!$G$6:$G$14,MATCH(AM34,Mob_Demob!$A$6:$A$14,0))),N(INDEX(Mob_Demob!$D$6:$D$14,MATCH(AM34,Mob_Demob!$A$6:$A$14,0)))*Settings!$B$6)+IF(AP34="Y",N(INDEX(Mob_Demob!$I$6:$I$14,MATCH(AM34,Mob_Demob!$A$6:$A$14,0)))*Settings!$B$19,0)+N(INDEX(Mob_Demob!$L$6:$L$14,MATCH(AM34,Mob_Demob!$A$6:$A$14,0)))*N(INDEX(Mob_Demob!$K$6:$K$14,MATCH(AM34,Mob_Demob!$A$6:$A$14,0)))*Settings!$B$6+N(INDEX(Mob_Demob!$M$6:$M$14,MATCH(AM34,Mob_Demob!$A$6:$A$14,0)))*N(INDEX(Mob_Demob!$N$6:$N$14,MATCH(AM34,Mob_Demob!$A$6:$A$14,0))),0)),"")</f>
        <v>550</v>
      </c>
      <c r="AR34" s="16" t="n">
        <f aca="false">IF(AQ34="","",ROUND(AQ34*Settings!$B$18,0))</f>
        <v>550</v>
      </c>
      <c r="AS34" s="13" t="s">
        <v>456</v>
      </c>
      <c r="AT34" s="14" t="s">
        <v>457</v>
      </c>
      <c r="AU34" s="14" t="s">
        <v>341</v>
      </c>
    </row>
    <row r="35" customFormat="false" ht="64.15" hidden="false" customHeight="false" outlineLevel="0" collapsed="false">
      <c r="A35" s="11" t="s">
        <v>458</v>
      </c>
      <c r="B35" s="11" t="s">
        <v>176</v>
      </c>
      <c r="C35" s="11" t="s">
        <v>330</v>
      </c>
      <c r="D35" s="11" t="s">
        <v>459</v>
      </c>
      <c r="E35" s="12" t="s">
        <v>460</v>
      </c>
      <c r="F35" s="13" t="s">
        <v>461</v>
      </c>
      <c r="G35" s="13" t="n">
        <v>42.8</v>
      </c>
      <c r="H35" s="13" t="s">
        <v>462</v>
      </c>
      <c r="I35" s="14" t="s">
        <v>463</v>
      </c>
      <c r="J35" s="15" t="n">
        <v>96500</v>
      </c>
      <c r="K35" s="13"/>
      <c r="L35" s="13"/>
      <c r="M35" s="13"/>
      <c r="N35" s="13" t="s">
        <v>184</v>
      </c>
      <c r="O35" s="13" t="s">
        <v>185</v>
      </c>
      <c r="P35" s="13" t="s">
        <v>186</v>
      </c>
      <c r="Q35" s="16"/>
      <c r="R35" s="16"/>
      <c r="S35" s="16"/>
      <c r="T35" s="16"/>
      <c r="U35" s="16"/>
      <c r="V35" s="13" t="s">
        <v>187</v>
      </c>
      <c r="W35" s="17"/>
      <c r="X35" s="13"/>
      <c r="Y35" s="13"/>
      <c r="Z35" s="13"/>
      <c r="AA35" s="13" t="s">
        <v>188</v>
      </c>
      <c r="AB35" s="13"/>
      <c r="AC35" s="17"/>
      <c r="AD35" s="13"/>
      <c r="AE35" s="19"/>
      <c r="AF35" s="19"/>
      <c r="AG35" s="19"/>
      <c r="AH35" s="13"/>
      <c r="AI35" s="17"/>
      <c r="AJ35" s="13" t="s">
        <v>188</v>
      </c>
      <c r="AK35" s="13" t="s">
        <v>188</v>
      </c>
      <c r="AL35" s="14" t="s">
        <v>338</v>
      </c>
      <c r="AM35" s="13" t="s">
        <v>268</v>
      </c>
      <c r="AN35" s="15" t="n">
        <v>96500</v>
      </c>
      <c r="AO35" s="13"/>
      <c r="AP35" s="13" t="s">
        <v>269</v>
      </c>
      <c r="AQ35" s="16" t="n">
        <f aca="false">IFERROR(IF(AND(INDEX(Mob_Demob!$D$6:$D$14,MATCH(AM35,Mob_Demob!$A$6:$A$14,0))="",INDEX(Mob_Demob!$G$6:$G$14,MATCH(AM35,Mob_Demob!$A$6:$A$14,0))=""),"",ROUND(MAX(N(INDEX(Mob_Demob!$G$6:$G$14,MATCH(AM35,Mob_Demob!$A$6:$A$14,0))),N(INDEX(Mob_Demob!$D$6:$D$14,MATCH(AM35,Mob_Demob!$A$6:$A$14,0)))*Settings!$B$6)+IF(AP35="Y",N(INDEX(Mob_Demob!$I$6:$I$14,MATCH(AM35,Mob_Demob!$A$6:$A$14,0)))*Settings!$B$19,0)+N(INDEX(Mob_Demob!$L$6:$L$14,MATCH(AM35,Mob_Demob!$A$6:$A$14,0)))*N(INDEX(Mob_Demob!$K$6:$K$14,MATCH(AM35,Mob_Demob!$A$6:$A$14,0)))*Settings!$B$6+N(INDEX(Mob_Demob!$M$6:$M$14,MATCH(AM35,Mob_Demob!$A$6:$A$14,0)))*N(INDEX(Mob_Demob!$N$6:$N$14,MATCH(AM35,Mob_Demob!$A$6:$A$14,0))),0)),"")</f>
        <v>1800</v>
      </c>
      <c r="AR35" s="16" t="n">
        <f aca="false">IF(AQ35="","",ROUND(AQ35*Settings!$B$18,0))</f>
        <v>1800</v>
      </c>
      <c r="AS35" s="13" t="s">
        <v>464</v>
      </c>
      <c r="AT35" s="14" t="s">
        <v>465</v>
      </c>
      <c r="AU35" s="14" t="s">
        <v>466</v>
      </c>
    </row>
    <row r="36" customFormat="false" ht="64.15" hidden="false" customHeight="false" outlineLevel="0" collapsed="false">
      <c r="A36" s="11" t="s">
        <v>467</v>
      </c>
      <c r="B36" s="11" t="s">
        <v>176</v>
      </c>
      <c r="C36" s="11" t="s">
        <v>330</v>
      </c>
      <c r="D36" s="11" t="s">
        <v>459</v>
      </c>
      <c r="E36" s="12" t="s">
        <v>468</v>
      </c>
      <c r="F36" s="13" t="s">
        <v>461</v>
      </c>
      <c r="G36" s="13" t="n">
        <v>42.8</v>
      </c>
      <c r="H36" s="13" t="s">
        <v>462</v>
      </c>
      <c r="I36" s="14" t="s">
        <v>469</v>
      </c>
      <c r="J36" s="15" t="n">
        <v>128100</v>
      </c>
      <c r="K36" s="13"/>
      <c r="L36" s="13"/>
      <c r="M36" s="13"/>
      <c r="N36" s="13" t="s">
        <v>184</v>
      </c>
      <c r="O36" s="13" t="s">
        <v>185</v>
      </c>
      <c r="P36" s="13" t="s">
        <v>186</v>
      </c>
      <c r="Q36" s="16"/>
      <c r="R36" s="16"/>
      <c r="S36" s="16"/>
      <c r="T36" s="16"/>
      <c r="U36" s="16"/>
      <c r="V36" s="13" t="s">
        <v>187</v>
      </c>
      <c r="W36" s="17"/>
      <c r="X36" s="13"/>
      <c r="Y36" s="13"/>
      <c r="Z36" s="13"/>
      <c r="AA36" s="13" t="s">
        <v>188</v>
      </c>
      <c r="AB36" s="13"/>
      <c r="AC36" s="17"/>
      <c r="AD36" s="13"/>
      <c r="AE36" s="19"/>
      <c r="AF36" s="19"/>
      <c r="AG36" s="19"/>
      <c r="AH36" s="13"/>
      <c r="AI36" s="17"/>
      <c r="AJ36" s="13" t="s">
        <v>188</v>
      </c>
      <c r="AK36" s="13" t="s">
        <v>188</v>
      </c>
      <c r="AL36" s="14" t="s">
        <v>338</v>
      </c>
      <c r="AM36" s="13" t="s">
        <v>286</v>
      </c>
      <c r="AN36" s="15" t="n">
        <v>128100</v>
      </c>
      <c r="AO36" s="13"/>
      <c r="AP36" s="13" t="s">
        <v>269</v>
      </c>
      <c r="AQ36" s="16" t="n">
        <f aca="false">IFERROR(IF(AND(INDEX(Mob_Demob!$D$6:$D$14,MATCH(AM36,Mob_Demob!$A$6:$A$14,0))="",INDEX(Mob_Demob!$G$6:$G$14,MATCH(AM36,Mob_Demob!$A$6:$A$14,0))=""),"",ROUND(MAX(N(INDEX(Mob_Demob!$G$6:$G$14,MATCH(AM36,Mob_Demob!$A$6:$A$14,0))),N(INDEX(Mob_Demob!$D$6:$D$14,MATCH(AM36,Mob_Demob!$A$6:$A$14,0)))*Settings!$B$6)+IF(AP36="Y",N(INDEX(Mob_Demob!$I$6:$I$14,MATCH(AM36,Mob_Demob!$A$6:$A$14,0)))*Settings!$B$19,0)+N(INDEX(Mob_Demob!$L$6:$L$14,MATCH(AM36,Mob_Demob!$A$6:$A$14,0)))*N(INDEX(Mob_Demob!$K$6:$K$14,MATCH(AM36,Mob_Demob!$A$6:$A$14,0)))*Settings!$B$6+N(INDEX(Mob_Demob!$M$6:$M$14,MATCH(AM36,Mob_Demob!$A$6:$A$14,0)))*N(INDEX(Mob_Demob!$N$6:$N$14,MATCH(AM36,Mob_Demob!$A$6:$A$14,0))),0)),"")</f>
        <v>1913</v>
      </c>
      <c r="AR36" s="16" t="n">
        <f aca="false">IF(AQ36="","",ROUND(AQ36*Settings!$B$18,0))</f>
        <v>1913</v>
      </c>
      <c r="AS36" s="13" t="s">
        <v>464</v>
      </c>
      <c r="AT36" s="14" t="s">
        <v>465</v>
      </c>
      <c r="AU36" s="14" t="s">
        <v>466</v>
      </c>
    </row>
    <row r="37" customFormat="false" ht="64.15" hidden="false" customHeight="false" outlineLevel="0" collapsed="false">
      <c r="A37" s="11" t="s">
        <v>470</v>
      </c>
      <c r="B37" s="11" t="s">
        <v>176</v>
      </c>
      <c r="C37" s="11" t="s">
        <v>330</v>
      </c>
      <c r="D37" s="11" t="s">
        <v>471</v>
      </c>
      <c r="E37" s="12" t="s">
        <v>472</v>
      </c>
      <c r="F37" s="13" t="s">
        <v>333</v>
      </c>
      <c r="G37" s="13" t="n">
        <v>212300</v>
      </c>
      <c r="H37" s="13" t="s">
        <v>334</v>
      </c>
      <c r="I37" s="14" t="s">
        <v>473</v>
      </c>
      <c r="J37" s="15" t="n">
        <v>212300</v>
      </c>
      <c r="K37" s="13"/>
      <c r="L37" s="13"/>
      <c r="M37" s="13"/>
      <c r="N37" s="13" t="s">
        <v>184</v>
      </c>
      <c r="O37" s="13" t="s">
        <v>185</v>
      </c>
      <c r="P37" s="13" t="s">
        <v>186</v>
      </c>
      <c r="Q37" s="16"/>
      <c r="R37" s="16"/>
      <c r="S37" s="16"/>
      <c r="T37" s="16"/>
      <c r="U37" s="16"/>
      <c r="V37" s="13" t="s">
        <v>187</v>
      </c>
      <c r="W37" s="17"/>
      <c r="X37" s="13"/>
      <c r="Y37" s="13"/>
      <c r="Z37" s="13"/>
      <c r="AA37" s="13" t="s">
        <v>188</v>
      </c>
      <c r="AB37" s="13"/>
      <c r="AC37" s="17"/>
      <c r="AD37" s="13"/>
      <c r="AE37" s="19"/>
      <c r="AF37" s="19"/>
      <c r="AG37" s="19"/>
      <c r="AH37" s="13"/>
      <c r="AI37" s="17"/>
      <c r="AJ37" s="13" t="s">
        <v>188</v>
      </c>
      <c r="AK37" s="13" t="s">
        <v>188</v>
      </c>
      <c r="AL37" s="14" t="s">
        <v>338</v>
      </c>
      <c r="AM37" s="13" t="s">
        <v>286</v>
      </c>
      <c r="AN37" s="15" t="n">
        <v>212300</v>
      </c>
      <c r="AO37" s="13"/>
      <c r="AP37" s="13" t="s">
        <v>269</v>
      </c>
      <c r="AQ37" s="16" t="n">
        <f aca="false">IFERROR(IF(AND(INDEX(Mob_Demob!$D$6:$D$14,MATCH(AM37,Mob_Demob!$A$6:$A$14,0))="",INDEX(Mob_Demob!$G$6:$G$14,MATCH(AM37,Mob_Demob!$A$6:$A$14,0))=""),"",ROUND(MAX(N(INDEX(Mob_Demob!$G$6:$G$14,MATCH(AM37,Mob_Demob!$A$6:$A$14,0))),N(INDEX(Mob_Demob!$D$6:$D$14,MATCH(AM37,Mob_Demob!$A$6:$A$14,0)))*Settings!$B$6)+IF(AP37="Y",N(INDEX(Mob_Demob!$I$6:$I$14,MATCH(AM37,Mob_Demob!$A$6:$A$14,0)))*Settings!$B$19,0)+N(INDEX(Mob_Demob!$L$6:$L$14,MATCH(AM37,Mob_Demob!$A$6:$A$14,0)))*N(INDEX(Mob_Demob!$K$6:$K$14,MATCH(AM37,Mob_Demob!$A$6:$A$14,0)))*Settings!$B$6+N(INDEX(Mob_Demob!$M$6:$M$14,MATCH(AM37,Mob_Demob!$A$6:$A$14,0)))*N(INDEX(Mob_Demob!$N$6:$N$14,MATCH(AM37,Mob_Demob!$A$6:$A$14,0))),0)),"")</f>
        <v>1913</v>
      </c>
      <c r="AR37" s="16" t="n">
        <f aca="false">IF(AQ37="","",ROUND(AQ37*Settings!$B$18,0))</f>
        <v>1913</v>
      </c>
      <c r="AS37" s="13" t="s">
        <v>474</v>
      </c>
      <c r="AT37" s="14"/>
      <c r="AU37" s="14" t="s">
        <v>466</v>
      </c>
    </row>
    <row r="38" customFormat="false" ht="53.7" hidden="false" customHeight="false" outlineLevel="0" collapsed="false">
      <c r="A38" s="11" t="s">
        <v>475</v>
      </c>
      <c r="B38" s="11" t="s">
        <v>176</v>
      </c>
      <c r="C38" s="11" t="s">
        <v>330</v>
      </c>
      <c r="D38" s="11" t="s">
        <v>476</v>
      </c>
      <c r="E38" s="12" t="s">
        <v>477</v>
      </c>
      <c r="F38" s="13" t="s">
        <v>478</v>
      </c>
      <c r="G38" s="13" t="n">
        <v>0.57</v>
      </c>
      <c r="H38" s="13" t="s">
        <v>479</v>
      </c>
      <c r="I38" s="14" t="s">
        <v>480</v>
      </c>
      <c r="J38" s="15"/>
      <c r="K38" s="13" t="n">
        <v>184</v>
      </c>
      <c r="L38" s="13" t="s">
        <v>481</v>
      </c>
      <c r="M38" s="13"/>
      <c r="N38" s="13" t="s">
        <v>184</v>
      </c>
      <c r="O38" s="13" t="s">
        <v>185</v>
      </c>
      <c r="P38" s="13" t="s">
        <v>186</v>
      </c>
      <c r="Q38" s="16"/>
      <c r="R38" s="16"/>
      <c r="S38" s="16"/>
      <c r="T38" s="16"/>
      <c r="U38" s="16"/>
      <c r="V38" s="13" t="s">
        <v>187</v>
      </c>
      <c r="W38" s="17"/>
      <c r="X38" s="13"/>
      <c r="Y38" s="13"/>
      <c r="Z38" s="13"/>
      <c r="AA38" s="13" t="s">
        <v>188</v>
      </c>
      <c r="AB38" s="13" t="s">
        <v>482</v>
      </c>
      <c r="AC38" s="18" t="n">
        <v>215.34</v>
      </c>
      <c r="AD38" s="13" t="s">
        <v>190</v>
      </c>
      <c r="AE38" s="19" t="n">
        <f aca="false">ROUND(K38*Settings!$B$11*Settings!$B$13,2)</f>
        <v>3.13</v>
      </c>
      <c r="AF38" s="19" t="n">
        <f aca="false">ROUND(K38*Settings!$B$11*Settings!$B$14,2)</f>
        <v>4.11</v>
      </c>
      <c r="AG38" s="19" t="n">
        <f aca="false">ROUND(K38*Settings!$B$11*Settings!$B$15,2)</f>
        <v>5.37</v>
      </c>
      <c r="AH38" s="13" t="s">
        <v>191</v>
      </c>
      <c r="AI38" s="17" t="n">
        <f aca="false">IF(OR(AC38="",AF38="",Settings!$B$5=""),"",ROUND(AC38-AF38*Settings!$B$5,2))</f>
        <v>200.3</v>
      </c>
      <c r="AJ38" s="13" t="s">
        <v>192</v>
      </c>
      <c r="AK38" s="13" t="s">
        <v>193</v>
      </c>
      <c r="AL38" s="14" t="s">
        <v>483</v>
      </c>
      <c r="AM38" s="13" t="s">
        <v>484</v>
      </c>
      <c r="AN38" s="15"/>
      <c r="AO38" s="13"/>
      <c r="AP38" s="13" t="s">
        <v>196</v>
      </c>
      <c r="AQ38" s="16" t="str">
        <f aca="false">IFERROR(IF(AND(INDEX(Mob_Demob!$D$6:$D$14,MATCH(AM38,Mob_Demob!$A$6:$A$14,0))="",INDEX(Mob_Demob!$G$6:$G$14,MATCH(AM38,Mob_Demob!$A$6:$A$14,0))=""),"",ROUND(MAX(N(INDEX(Mob_Demob!$G$6:$G$14,MATCH(AM38,Mob_Demob!$A$6:$A$14,0))),N(INDEX(Mob_Demob!$D$6:$D$14,MATCH(AM38,Mob_Demob!$A$6:$A$14,0)))*Settings!$B$6)+IF(AP38="Y",N(INDEX(Mob_Demob!$I$6:$I$14,MATCH(AM38,Mob_Demob!$A$6:$A$14,0)))*Settings!$B$19,0)+N(INDEX(Mob_Demob!$L$6:$L$14,MATCH(AM38,Mob_Demob!$A$6:$A$14,0)))*N(INDEX(Mob_Demob!$K$6:$K$14,MATCH(AM38,Mob_Demob!$A$6:$A$14,0)))*Settings!$B$6+N(INDEX(Mob_Demob!$M$6:$M$14,MATCH(AM38,Mob_Demob!$A$6:$A$14,0)))*N(INDEX(Mob_Demob!$N$6:$N$14,MATCH(AM38,Mob_Demob!$A$6:$A$14,0))),0)),"")</f>
        <v/>
      </c>
      <c r="AR38" s="16" t="str">
        <f aca="false">IF(AQ38="","",ROUND(AQ38*Settings!$B$18,0))</f>
        <v/>
      </c>
      <c r="AS38" s="13" t="s">
        <v>485</v>
      </c>
      <c r="AT38" s="14" t="s">
        <v>486</v>
      </c>
      <c r="AU38" s="14" t="s">
        <v>199</v>
      </c>
    </row>
    <row r="39" customFormat="false" ht="53.7" hidden="false" customHeight="false" outlineLevel="0" collapsed="false">
      <c r="A39" s="11" t="s">
        <v>487</v>
      </c>
      <c r="B39" s="11" t="s">
        <v>176</v>
      </c>
      <c r="C39" s="11" t="s">
        <v>330</v>
      </c>
      <c r="D39" s="11" t="s">
        <v>476</v>
      </c>
      <c r="E39" s="12" t="s">
        <v>488</v>
      </c>
      <c r="F39" s="13" t="s">
        <v>478</v>
      </c>
      <c r="G39" s="13" t="n">
        <v>0.62</v>
      </c>
      <c r="H39" s="13" t="s">
        <v>479</v>
      </c>
      <c r="I39" s="14" t="s">
        <v>489</v>
      </c>
      <c r="J39" s="15"/>
      <c r="K39" s="13" t="n">
        <v>238</v>
      </c>
      <c r="L39" s="13" t="s">
        <v>490</v>
      </c>
      <c r="M39" s="13"/>
      <c r="N39" s="13" t="s">
        <v>184</v>
      </c>
      <c r="O39" s="13" t="s">
        <v>185</v>
      </c>
      <c r="P39" s="13" t="s">
        <v>186</v>
      </c>
      <c r="Q39" s="16"/>
      <c r="R39" s="16"/>
      <c r="S39" s="16"/>
      <c r="T39" s="16"/>
      <c r="U39" s="16"/>
      <c r="V39" s="13" t="s">
        <v>187</v>
      </c>
      <c r="W39" s="17"/>
      <c r="X39" s="13"/>
      <c r="Y39" s="13"/>
      <c r="Z39" s="13"/>
      <c r="AA39" s="13" t="s">
        <v>188</v>
      </c>
      <c r="AB39" s="13" t="s">
        <v>491</v>
      </c>
      <c r="AC39" s="18" t="n">
        <v>315.08</v>
      </c>
      <c r="AD39" s="13" t="s">
        <v>190</v>
      </c>
      <c r="AE39" s="19" t="n">
        <f aca="false">ROUND(K39*Settings!$B$11*Settings!$B$13,2)</f>
        <v>4.05</v>
      </c>
      <c r="AF39" s="19" t="n">
        <f aca="false">ROUND(K39*Settings!$B$11*Settings!$B$14,2)</f>
        <v>5.32</v>
      </c>
      <c r="AG39" s="19" t="n">
        <f aca="false">ROUND(K39*Settings!$B$11*Settings!$B$15,2)</f>
        <v>6.94</v>
      </c>
      <c r="AH39" s="13" t="s">
        <v>191</v>
      </c>
      <c r="AI39" s="17" t="n">
        <f aca="false">IF(OR(AC39="",AF39="",Settings!$B$5=""),"",ROUND(AC39-AF39*Settings!$B$5,2))</f>
        <v>295.61</v>
      </c>
      <c r="AJ39" s="13" t="s">
        <v>192</v>
      </c>
      <c r="AK39" s="13" t="s">
        <v>193</v>
      </c>
      <c r="AL39" s="14" t="s">
        <v>483</v>
      </c>
      <c r="AM39" s="13" t="s">
        <v>484</v>
      </c>
      <c r="AN39" s="15"/>
      <c r="AO39" s="13"/>
      <c r="AP39" s="13" t="s">
        <v>196</v>
      </c>
      <c r="AQ39" s="16" t="str">
        <f aca="false">IFERROR(IF(AND(INDEX(Mob_Demob!$D$6:$D$14,MATCH(AM39,Mob_Demob!$A$6:$A$14,0))="",INDEX(Mob_Demob!$G$6:$G$14,MATCH(AM39,Mob_Demob!$A$6:$A$14,0))=""),"",ROUND(MAX(N(INDEX(Mob_Demob!$G$6:$G$14,MATCH(AM39,Mob_Demob!$A$6:$A$14,0))),N(INDEX(Mob_Demob!$D$6:$D$14,MATCH(AM39,Mob_Demob!$A$6:$A$14,0)))*Settings!$B$6)+IF(AP39="Y",N(INDEX(Mob_Demob!$I$6:$I$14,MATCH(AM39,Mob_Demob!$A$6:$A$14,0)))*Settings!$B$19,0)+N(INDEX(Mob_Demob!$L$6:$L$14,MATCH(AM39,Mob_Demob!$A$6:$A$14,0)))*N(INDEX(Mob_Demob!$K$6:$K$14,MATCH(AM39,Mob_Demob!$A$6:$A$14,0)))*Settings!$B$6+N(INDEX(Mob_Demob!$M$6:$M$14,MATCH(AM39,Mob_Demob!$A$6:$A$14,0)))*N(INDEX(Mob_Demob!$N$6:$N$14,MATCH(AM39,Mob_Demob!$A$6:$A$14,0))),0)),"")</f>
        <v/>
      </c>
      <c r="AR39" s="16" t="str">
        <f aca="false">IF(AQ39="","",ROUND(AQ39*Settings!$B$18,0))</f>
        <v/>
      </c>
      <c r="AS39" s="13" t="s">
        <v>485</v>
      </c>
      <c r="AT39" s="14" t="s">
        <v>486</v>
      </c>
      <c r="AU39" s="14" t="s">
        <v>199</v>
      </c>
    </row>
    <row r="40" customFormat="false" ht="53.7" hidden="false" customHeight="false" outlineLevel="0" collapsed="false">
      <c r="A40" s="11" t="s">
        <v>492</v>
      </c>
      <c r="B40" s="11" t="s">
        <v>176</v>
      </c>
      <c r="C40" s="11" t="s">
        <v>330</v>
      </c>
      <c r="D40" s="11" t="s">
        <v>476</v>
      </c>
      <c r="E40" s="12" t="s">
        <v>493</v>
      </c>
      <c r="F40" s="13" t="s">
        <v>478</v>
      </c>
      <c r="G40" s="13" t="n">
        <v>1.25</v>
      </c>
      <c r="H40" s="13" t="s">
        <v>479</v>
      </c>
      <c r="I40" s="14" t="s">
        <v>494</v>
      </c>
      <c r="J40" s="15"/>
      <c r="K40" s="13" t="n">
        <v>230</v>
      </c>
      <c r="L40" s="13" t="s">
        <v>495</v>
      </c>
      <c r="M40" s="13"/>
      <c r="N40" s="13" t="s">
        <v>184</v>
      </c>
      <c r="O40" s="13" t="s">
        <v>185</v>
      </c>
      <c r="P40" s="13" t="s">
        <v>186</v>
      </c>
      <c r="Q40" s="16"/>
      <c r="R40" s="16"/>
      <c r="S40" s="16"/>
      <c r="T40" s="16"/>
      <c r="U40" s="16"/>
      <c r="V40" s="13" t="s">
        <v>187</v>
      </c>
      <c r="W40" s="17"/>
      <c r="X40" s="13"/>
      <c r="Y40" s="13"/>
      <c r="Z40" s="13"/>
      <c r="AA40" s="13" t="s">
        <v>188</v>
      </c>
      <c r="AB40" s="13" t="s">
        <v>496</v>
      </c>
      <c r="AC40" s="18" t="n">
        <v>351.11</v>
      </c>
      <c r="AD40" s="13" t="s">
        <v>190</v>
      </c>
      <c r="AE40" s="19" t="n">
        <f aca="false">ROUND(K40*Settings!$B$11*Settings!$B$13,2)</f>
        <v>3.91</v>
      </c>
      <c r="AF40" s="19" t="n">
        <f aca="false">ROUND(K40*Settings!$B$11*Settings!$B$14,2)</f>
        <v>5.14</v>
      </c>
      <c r="AG40" s="19" t="n">
        <f aca="false">ROUND(K40*Settings!$B$11*Settings!$B$15,2)</f>
        <v>6.71</v>
      </c>
      <c r="AH40" s="13" t="s">
        <v>191</v>
      </c>
      <c r="AI40" s="17" t="n">
        <f aca="false">IF(OR(AC40="",AF40="",Settings!$B$5=""),"",ROUND(AC40-AF40*Settings!$B$5,2))</f>
        <v>332.3</v>
      </c>
      <c r="AJ40" s="13" t="s">
        <v>192</v>
      </c>
      <c r="AK40" s="13" t="s">
        <v>193</v>
      </c>
      <c r="AL40" s="14" t="s">
        <v>483</v>
      </c>
      <c r="AM40" s="13" t="s">
        <v>484</v>
      </c>
      <c r="AN40" s="15"/>
      <c r="AO40" s="13"/>
      <c r="AP40" s="13" t="s">
        <v>196</v>
      </c>
      <c r="AQ40" s="16" t="str">
        <f aca="false">IFERROR(IF(AND(INDEX(Mob_Demob!$D$6:$D$14,MATCH(AM40,Mob_Demob!$A$6:$A$14,0))="",INDEX(Mob_Demob!$G$6:$G$14,MATCH(AM40,Mob_Demob!$A$6:$A$14,0))=""),"",ROUND(MAX(N(INDEX(Mob_Demob!$G$6:$G$14,MATCH(AM40,Mob_Demob!$A$6:$A$14,0))),N(INDEX(Mob_Demob!$D$6:$D$14,MATCH(AM40,Mob_Demob!$A$6:$A$14,0)))*Settings!$B$6)+IF(AP40="Y",N(INDEX(Mob_Demob!$I$6:$I$14,MATCH(AM40,Mob_Demob!$A$6:$A$14,0)))*Settings!$B$19,0)+N(INDEX(Mob_Demob!$L$6:$L$14,MATCH(AM40,Mob_Demob!$A$6:$A$14,0)))*N(INDEX(Mob_Demob!$K$6:$K$14,MATCH(AM40,Mob_Demob!$A$6:$A$14,0)))*Settings!$B$6+N(INDEX(Mob_Demob!$M$6:$M$14,MATCH(AM40,Mob_Demob!$A$6:$A$14,0)))*N(INDEX(Mob_Demob!$N$6:$N$14,MATCH(AM40,Mob_Demob!$A$6:$A$14,0))),0)),"")</f>
        <v/>
      </c>
      <c r="AR40" s="16" t="str">
        <f aca="false">IF(AQ40="","",ROUND(AQ40*Settings!$B$18,0))</f>
        <v/>
      </c>
      <c r="AS40" s="13" t="s">
        <v>485</v>
      </c>
      <c r="AT40" s="14" t="s">
        <v>486</v>
      </c>
      <c r="AU40" s="14" t="s">
        <v>199</v>
      </c>
    </row>
    <row r="41" customFormat="false" ht="64.15" hidden="false" customHeight="false" outlineLevel="0" collapsed="false">
      <c r="A41" s="11" t="s">
        <v>497</v>
      </c>
      <c r="B41" s="11" t="s">
        <v>176</v>
      </c>
      <c r="C41" s="11" t="s">
        <v>498</v>
      </c>
      <c r="D41" s="11" t="s">
        <v>499</v>
      </c>
      <c r="E41" s="12" t="s">
        <v>500</v>
      </c>
      <c r="F41" s="13" t="s">
        <v>478</v>
      </c>
      <c r="G41" s="13" t="s">
        <v>501</v>
      </c>
      <c r="H41" s="13" t="s">
        <v>479</v>
      </c>
      <c r="I41" s="14"/>
      <c r="J41" s="15"/>
      <c r="K41" s="13"/>
      <c r="L41" s="13" t="s">
        <v>502</v>
      </c>
      <c r="M41" s="13"/>
      <c r="N41" s="13" t="s">
        <v>503</v>
      </c>
      <c r="O41" s="13" t="s">
        <v>504</v>
      </c>
      <c r="P41" s="13" t="s">
        <v>186</v>
      </c>
      <c r="Q41" s="16"/>
      <c r="R41" s="16"/>
      <c r="S41" s="16"/>
      <c r="T41" s="16"/>
      <c r="U41" s="16"/>
      <c r="V41" s="13" t="s">
        <v>187</v>
      </c>
      <c r="W41" s="17"/>
      <c r="X41" s="13"/>
      <c r="Y41" s="13"/>
      <c r="Z41" s="13"/>
      <c r="AA41" s="13" t="s">
        <v>188</v>
      </c>
      <c r="AB41" s="13" t="s">
        <v>505</v>
      </c>
      <c r="AC41" s="17"/>
      <c r="AD41" s="13"/>
      <c r="AE41" s="19" t="n">
        <v>0</v>
      </c>
      <c r="AF41" s="19" t="n">
        <v>0</v>
      </c>
      <c r="AG41" s="19" t="n">
        <v>0</v>
      </c>
      <c r="AH41" s="13" t="s">
        <v>506</v>
      </c>
      <c r="AI41" s="17"/>
      <c r="AJ41" s="13" t="s">
        <v>188</v>
      </c>
      <c r="AK41" s="13" t="s">
        <v>188</v>
      </c>
      <c r="AL41" s="14" t="s">
        <v>194</v>
      </c>
      <c r="AM41" s="13" t="s">
        <v>507</v>
      </c>
      <c r="AN41" s="15"/>
      <c r="AO41" s="13"/>
      <c r="AP41" s="13" t="s">
        <v>196</v>
      </c>
      <c r="AQ41" s="16" t="n">
        <f aca="false">IFERROR(IF(AND(INDEX(Mob_Demob!$D$6:$D$14,MATCH(AM41,Mob_Demob!$A$6:$A$14,0))="",INDEX(Mob_Demob!$G$6:$G$14,MATCH(AM41,Mob_Demob!$A$6:$A$14,0))=""),"",ROUND(MAX(N(INDEX(Mob_Demob!$G$6:$G$14,MATCH(AM41,Mob_Demob!$A$6:$A$14,0))),N(INDEX(Mob_Demob!$D$6:$D$14,MATCH(AM41,Mob_Demob!$A$6:$A$14,0)))*Settings!$B$6)+IF(AP41="Y",N(INDEX(Mob_Demob!$I$6:$I$14,MATCH(AM41,Mob_Demob!$A$6:$A$14,0)))*Settings!$B$19,0)+N(INDEX(Mob_Demob!$L$6:$L$14,MATCH(AM41,Mob_Demob!$A$6:$A$14,0)))*N(INDEX(Mob_Demob!$K$6:$K$14,MATCH(AM41,Mob_Demob!$A$6:$A$14,0)))*Settings!$B$6+N(INDEX(Mob_Demob!$M$6:$M$14,MATCH(AM41,Mob_Demob!$A$6:$A$14,0)))*N(INDEX(Mob_Demob!$N$6:$N$14,MATCH(AM41,Mob_Demob!$A$6:$A$14,0))),0)),"")</f>
        <v>400</v>
      </c>
      <c r="AR41" s="16" t="n">
        <f aca="false">IF(AQ41="","",ROUND(AQ41*Settings!$B$18,0))</f>
        <v>400</v>
      </c>
      <c r="AS41" s="13"/>
      <c r="AT41" s="14" t="s">
        <v>508</v>
      </c>
      <c r="AU41" s="14" t="s">
        <v>509</v>
      </c>
    </row>
    <row r="42" customFormat="false" ht="64.15" hidden="false" customHeight="false" outlineLevel="0" collapsed="false">
      <c r="A42" s="11" t="s">
        <v>510</v>
      </c>
      <c r="B42" s="11" t="s">
        <v>176</v>
      </c>
      <c r="C42" s="11" t="s">
        <v>498</v>
      </c>
      <c r="D42" s="11" t="s">
        <v>499</v>
      </c>
      <c r="E42" s="12" t="s">
        <v>511</v>
      </c>
      <c r="F42" s="13" t="s">
        <v>478</v>
      </c>
      <c r="G42" s="13" t="s">
        <v>512</v>
      </c>
      <c r="H42" s="13" t="s">
        <v>479</v>
      </c>
      <c r="I42" s="14"/>
      <c r="J42" s="15"/>
      <c r="K42" s="13"/>
      <c r="L42" s="13" t="s">
        <v>513</v>
      </c>
      <c r="M42" s="13"/>
      <c r="N42" s="13" t="s">
        <v>503</v>
      </c>
      <c r="O42" s="13" t="s">
        <v>504</v>
      </c>
      <c r="P42" s="13" t="s">
        <v>186</v>
      </c>
      <c r="Q42" s="16"/>
      <c r="R42" s="16"/>
      <c r="S42" s="16"/>
      <c r="T42" s="16"/>
      <c r="U42" s="16"/>
      <c r="V42" s="13" t="s">
        <v>187</v>
      </c>
      <c r="W42" s="17"/>
      <c r="X42" s="13"/>
      <c r="Y42" s="13"/>
      <c r="Z42" s="13"/>
      <c r="AA42" s="13" t="s">
        <v>188</v>
      </c>
      <c r="AB42" s="13" t="s">
        <v>514</v>
      </c>
      <c r="AC42" s="17"/>
      <c r="AD42" s="13"/>
      <c r="AE42" s="19" t="n">
        <v>0</v>
      </c>
      <c r="AF42" s="19" t="n">
        <v>0</v>
      </c>
      <c r="AG42" s="19" t="n">
        <v>0</v>
      </c>
      <c r="AH42" s="13" t="s">
        <v>506</v>
      </c>
      <c r="AI42" s="17"/>
      <c r="AJ42" s="13" t="s">
        <v>188</v>
      </c>
      <c r="AK42" s="13" t="s">
        <v>188</v>
      </c>
      <c r="AL42" s="14" t="s">
        <v>194</v>
      </c>
      <c r="AM42" s="13" t="s">
        <v>507</v>
      </c>
      <c r="AN42" s="15"/>
      <c r="AO42" s="13"/>
      <c r="AP42" s="13" t="s">
        <v>196</v>
      </c>
      <c r="AQ42" s="16" t="n">
        <f aca="false">IFERROR(IF(AND(INDEX(Mob_Demob!$D$6:$D$14,MATCH(AM42,Mob_Demob!$A$6:$A$14,0))="",INDEX(Mob_Demob!$G$6:$G$14,MATCH(AM42,Mob_Demob!$A$6:$A$14,0))=""),"",ROUND(MAX(N(INDEX(Mob_Demob!$G$6:$G$14,MATCH(AM42,Mob_Demob!$A$6:$A$14,0))),N(INDEX(Mob_Demob!$D$6:$D$14,MATCH(AM42,Mob_Demob!$A$6:$A$14,0)))*Settings!$B$6)+IF(AP42="Y",N(INDEX(Mob_Demob!$I$6:$I$14,MATCH(AM42,Mob_Demob!$A$6:$A$14,0)))*Settings!$B$19,0)+N(INDEX(Mob_Demob!$L$6:$L$14,MATCH(AM42,Mob_Demob!$A$6:$A$14,0)))*N(INDEX(Mob_Demob!$K$6:$K$14,MATCH(AM42,Mob_Demob!$A$6:$A$14,0)))*Settings!$B$6+N(INDEX(Mob_Demob!$M$6:$M$14,MATCH(AM42,Mob_Demob!$A$6:$A$14,0)))*N(INDEX(Mob_Demob!$N$6:$N$14,MATCH(AM42,Mob_Demob!$A$6:$A$14,0))),0)),"")</f>
        <v>400</v>
      </c>
      <c r="AR42" s="16" t="n">
        <f aca="false">IF(AQ42="","",ROUND(AQ42*Settings!$B$18,0))</f>
        <v>400</v>
      </c>
      <c r="AS42" s="13"/>
      <c r="AT42" s="14" t="s">
        <v>515</v>
      </c>
      <c r="AU42" s="14" t="s">
        <v>509</v>
      </c>
    </row>
    <row r="43" customFormat="false" ht="64.15" hidden="false" customHeight="false" outlineLevel="0" collapsed="false">
      <c r="A43" s="11" t="s">
        <v>516</v>
      </c>
      <c r="B43" s="11" t="s">
        <v>176</v>
      </c>
      <c r="C43" s="11" t="s">
        <v>498</v>
      </c>
      <c r="D43" s="11" t="s">
        <v>499</v>
      </c>
      <c r="E43" s="12" t="s">
        <v>517</v>
      </c>
      <c r="F43" s="13" t="s">
        <v>478</v>
      </c>
      <c r="G43" s="13" t="s">
        <v>518</v>
      </c>
      <c r="H43" s="13" t="s">
        <v>479</v>
      </c>
      <c r="I43" s="14"/>
      <c r="J43" s="15"/>
      <c r="K43" s="13"/>
      <c r="L43" s="13" t="s">
        <v>519</v>
      </c>
      <c r="M43" s="13"/>
      <c r="N43" s="13" t="s">
        <v>503</v>
      </c>
      <c r="O43" s="13" t="s">
        <v>504</v>
      </c>
      <c r="P43" s="13" t="s">
        <v>186</v>
      </c>
      <c r="Q43" s="16"/>
      <c r="R43" s="16"/>
      <c r="S43" s="16"/>
      <c r="T43" s="16"/>
      <c r="U43" s="16"/>
      <c r="V43" s="13" t="s">
        <v>187</v>
      </c>
      <c r="W43" s="17"/>
      <c r="X43" s="13"/>
      <c r="Y43" s="13"/>
      <c r="Z43" s="13"/>
      <c r="AA43" s="13" t="s">
        <v>188</v>
      </c>
      <c r="AB43" s="13" t="s">
        <v>520</v>
      </c>
      <c r="AC43" s="17"/>
      <c r="AD43" s="13"/>
      <c r="AE43" s="19" t="n">
        <v>0</v>
      </c>
      <c r="AF43" s="19" t="n">
        <v>0</v>
      </c>
      <c r="AG43" s="19" t="n">
        <v>0</v>
      </c>
      <c r="AH43" s="13" t="s">
        <v>506</v>
      </c>
      <c r="AI43" s="17"/>
      <c r="AJ43" s="13" t="s">
        <v>188</v>
      </c>
      <c r="AK43" s="13" t="s">
        <v>188</v>
      </c>
      <c r="AL43" s="14" t="s">
        <v>194</v>
      </c>
      <c r="AM43" s="13" t="s">
        <v>507</v>
      </c>
      <c r="AN43" s="15"/>
      <c r="AO43" s="13"/>
      <c r="AP43" s="13" t="s">
        <v>196</v>
      </c>
      <c r="AQ43" s="16" t="n">
        <f aca="false">IFERROR(IF(AND(INDEX(Mob_Demob!$D$6:$D$14,MATCH(AM43,Mob_Demob!$A$6:$A$14,0))="",INDEX(Mob_Demob!$G$6:$G$14,MATCH(AM43,Mob_Demob!$A$6:$A$14,0))=""),"",ROUND(MAX(N(INDEX(Mob_Demob!$G$6:$G$14,MATCH(AM43,Mob_Demob!$A$6:$A$14,0))),N(INDEX(Mob_Demob!$D$6:$D$14,MATCH(AM43,Mob_Demob!$A$6:$A$14,0)))*Settings!$B$6)+IF(AP43="Y",N(INDEX(Mob_Demob!$I$6:$I$14,MATCH(AM43,Mob_Demob!$A$6:$A$14,0)))*Settings!$B$19,0)+N(INDEX(Mob_Demob!$L$6:$L$14,MATCH(AM43,Mob_Demob!$A$6:$A$14,0)))*N(INDEX(Mob_Demob!$K$6:$K$14,MATCH(AM43,Mob_Demob!$A$6:$A$14,0)))*Settings!$B$6+N(INDEX(Mob_Demob!$M$6:$M$14,MATCH(AM43,Mob_Demob!$A$6:$A$14,0)))*N(INDEX(Mob_Demob!$N$6:$N$14,MATCH(AM43,Mob_Demob!$A$6:$A$14,0))),0)),"")</f>
        <v>400</v>
      </c>
      <c r="AR43" s="16" t="n">
        <f aca="false">IF(AQ43="","",ROUND(AQ43*Settings!$B$18,0))</f>
        <v>400</v>
      </c>
      <c r="AS43" s="13"/>
      <c r="AT43" s="14" t="s">
        <v>521</v>
      </c>
      <c r="AU43" s="14" t="s">
        <v>509</v>
      </c>
    </row>
    <row r="44" customFormat="false" ht="64.15" hidden="false" customHeight="false" outlineLevel="0" collapsed="false">
      <c r="A44" s="11" t="s">
        <v>522</v>
      </c>
      <c r="B44" s="11" t="s">
        <v>176</v>
      </c>
      <c r="C44" s="11" t="s">
        <v>498</v>
      </c>
      <c r="D44" s="11" t="s">
        <v>499</v>
      </c>
      <c r="E44" s="12" t="s">
        <v>523</v>
      </c>
      <c r="F44" s="13" t="s">
        <v>478</v>
      </c>
      <c r="G44" s="13" t="s">
        <v>524</v>
      </c>
      <c r="H44" s="13" t="s">
        <v>479</v>
      </c>
      <c r="I44" s="14"/>
      <c r="J44" s="15"/>
      <c r="K44" s="13"/>
      <c r="L44" s="13" t="s">
        <v>525</v>
      </c>
      <c r="M44" s="13"/>
      <c r="N44" s="13" t="s">
        <v>503</v>
      </c>
      <c r="O44" s="13" t="s">
        <v>504</v>
      </c>
      <c r="P44" s="13" t="s">
        <v>186</v>
      </c>
      <c r="Q44" s="16"/>
      <c r="R44" s="16"/>
      <c r="S44" s="16"/>
      <c r="T44" s="16"/>
      <c r="U44" s="16"/>
      <c r="V44" s="13" t="s">
        <v>187</v>
      </c>
      <c r="W44" s="17"/>
      <c r="X44" s="13"/>
      <c r="Y44" s="13"/>
      <c r="Z44" s="13"/>
      <c r="AA44" s="13" t="s">
        <v>188</v>
      </c>
      <c r="AB44" s="13" t="s">
        <v>526</v>
      </c>
      <c r="AC44" s="17"/>
      <c r="AD44" s="13"/>
      <c r="AE44" s="19" t="n">
        <v>0</v>
      </c>
      <c r="AF44" s="19" t="n">
        <v>0</v>
      </c>
      <c r="AG44" s="19" t="n">
        <v>0</v>
      </c>
      <c r="AH44" s="13" t="s">
        <v>506</v>
      </c>
      <c r="AI44" s="17"/>
      <c r="AJ44" s="13" t="s">
        <v>188</v>
      </c>
      <c r="AK44" s="13" t="s">
        <v>188</v>
      </c>
      <c r="AL44" s="14" t="s">
        <v>194</v>
      </c>
      <c r="AM44" s="13" t="s">
        <v>507</v>
      </c>
      <c r="AN44" s="15"/>
      <c r="AO44" s="13"/>
      <c r="AP44" s="13" t="s">
        <v>196</v>
      </c>
      <c r="AQ44" s="16" t="n">
        <f aca="false">IFERROR(IF(AND(INDEX(Mob_Demob!$D$6:$D$14,MATCH(AM44,Mob_Demob!$A$6:$A$14,0))="",INDEX(Mob_Demob!$G$6:$G$14,MATCH(AM44,Mob_Demob!$A$6:$A$14,0))=""),"",ROUND(MAX(N(INDEX(Mob_Demob!$G$6:$G$14,MATCH(AM44,Mob_Demob!$A$6:$A$14,0))),N(INDEX(Mob_Demob!$D$6:$D$14,MATCH(AM44,Mob_Demob!$A$6:$A$14,0)))*Settings!$B$6)+IF(AP44="Y",N(INDEX(Mob_Demob!$I$6:$I$14,MATCH(AM44,Mob_Demob!$A$6:$A$14,0)))*Settings!$B$19,0)+N(INDEX(Mob_Demob!$L$6:$L$14,MATCH(AM44,Mob_Demob!$A$6:$A$14,0)))*N(INDEX(Mob_Demob!$K$6:$K$14,MATCH(AM44,Mob_Demob!$A$6:$A$14,0)))*Settings!$B$6+N(INDEX(Mob_Demob!$M$6:$M$14,MATCH(AM44,Mob_Demob!$A$6:$A$14,0)))*N(INDEX(Mob_Demob!$N$6:$N$14,MATCH(AM44,Mob_Demob!$A$6:$A$14,0))),0)),"")</f>
        <v>400</v>
      </c>
      <c r="AR44" s="16" t="n">
        <f aca="false">IF(AQ44="","",ROUND(AQ44*Settings!$B$18,0))</f>
        <v>400</v>
      </c>
      <c r="AS44" s="13"/>
      <c r="AT44" s="14" t="s">
        <v>527</v>
      </c>
      <c r="AU44" s="14" t="s">
        <v>509</v>
      </c>
    </row>
    <row r="45" customFormat="false" ht="64.15" hidden="false" customHeight="false" outlineLevel="0" collapsed="false">
      <c r="A45" s="11" t="s">
        <v>528</v>
      </c>
      <c r="B45" s="11" t="s">
        <v>176</v>
      </c>
      <c r="C45" s="11" t="s">
        <v>529</v>
      </c>
      <c r="D45" s="11" t="s">
        <v>530</v>
      </c>
      <c r="E45" s="12" t="s">
        <v>531</v>
      </c>
      <c r="F45" s="13" t="s">
        <v>478</v>
      </c>
      <c r="G45" s="13" t="s">
        <v>532</v>
      </c>
      <c r="H45" s="13" t="s">
        <v>479</v>
      </c>
      <c r="I45" s="14"/>
      <c r="J45" s="15"/>
      <c r="K45" s="13"/>
      <c r="L45" s="13" t="s">
        <v>533</v>
      </c>
      <c r="M45" s="13"/>
      <c r="N45" s="13" t="s">
        <v>503</v>
      </c>
      <c r="O45" s="13" t="s">
        <v>504</v>
      </c>
      <c r="P45" s="13" t="s">
        <v>186</v>
      </c>
      <c r="Q45" s="16"/>
      <c r="R45" s="16"/>
      <c r="S45" s="16"/>
      <c r="T45" s="16"/>
      <c r="U45" s="16"/>
      <c r="V45" s="13" t="s">
        <v>187</v>
      </c>
      <c r="W45" s="17"/>
      <c r="X45" s="13"/>
      <c r="Y45" s="13"/>
      <c r="Z45" s="13"/>
      <c r="AA45" s="13" t="s">
        <v>188</v>
      </c>
      <c r="AB45" s="13" t="s">
        <v>534</v>
      </c>
      <c r="AC45" s="17"/>
      <c r="AD45" s="13"/>
      <c r="AE45" s="19" t="n">
        <v>0</v>
      </c>
      <c r="AF45" s="19" t="n">
        <v>0</v>
      </c>
      <c r="AG45" s="19" t="n">
        <v>0</v>
      </c>
      <c r="AH45" s="13" t="s">
        <v>506</v>
      </c>
      <c r="AI45" s="17"/>
      <c r="AJ45" s="13" t="s">
        <v>188</v>
      </c>
      <c r="AK45" s="13" t="s">
        <v>188</v>
      </c>
      <c r="AL45" s="14" t="s">
        <v>194</v>
      </c>
      <c r="AM45" s="13" t="s">
        <v>507</v>
      </c>
      <c r="AN45" s="15"/>
      <c r="AO45" s="13"/>
      <c r="AP45" s="13" t="s">
        <v>196</v>
      </c>
      <c r="AQ45" s="16" t="n">
        <f aca="false">IFERROR(IF(AND(INDEX(Mob_Demob!$D$6:$D$14,MATCH(AM45,Mob_Demob!$A$6:$A$14,0))="",INDEX(Mob_Demob!$G$6:$G$14,MATCH(AM45,Mob_Demob!$A$6:$A$14,0))=""),"",ROUND(MAX(N(INDEX(Mob_Demob!$G$6:$G$14,MATCH(AM45,Mob_Demob!$A$6:$A$14,0))),N(INDEX(Mob_Demob!$D$6:$D$14,MATCH(AM45,Mob_Demob!$A$6:$A$14,0)))*Settings!$B$6)+IF(AP45="Y",N(INDEX(Mob_Demob!$I$6:$I$14,MATCH(AM45,Mob_Demob!$A$6:$A$14,0)))*Settings!$B$19,0)+N(INDEX(Mob_Demob!$L$6:$L$14,MATCH(AM45,Mob_Demob!$A$6:$A$14,0)))*N(INDEX(Mob_Demob!$K$6:$K$14,MATCH(AM45,Mob_Demob!$A$6:$A$14,0)))*Settings!$B$6+N(INDEX(Mob_Demob!$M$6:$M$14,MATCH(AM45,Mob_Demob!$A$6:$A$14,0)))*N(INDEX(Mob_Demob!$N$6:$N$14,MATCH(AM45,Mob_Demob!$A$6:$A$14,0))),0)),"")</f>
        <v>400</v>
      </c>
      <c r="AR45" s="16" t="n">
        <f aca="false">IF(AQ45="","",ROUND(AQ45*Settings!$B$18,0))</f>
        <v>400</v>
      </c>
      <c r="AS45" s="13"/>
      <c r="AT45" s="14" t="s">
        <v>535</v>
      </c>
      <c r="AU45" s="14" t="s">
        <v>509</v>
      </c>
    </row>
    <row r="46" customFormat="false" ht="64.15" hidden="false" customHeight="false" outlineLevel="0" collapsed="false">
      <c r="A46" s="11" t="s">
        <v>536</v>
      </c>
      <c r="B46" s="11" t="s">
        <v>176</v>
      </c>
      <c r="C46" s="11" t="s">
        <v>529</v>
      </c>
      <c r="D46" s="11" t="s">
        <v>530</v>
      </c>
      <c r="E46" s="12" t="s">
        <v>537</v>
      </c>
      <c r="F46" s="13" t="s">
        <v>478</v>
      </c>
      <c r="G46" s="13" t="s">
        <v>518</v>
      </c>
      <c r="H46" s="13" t="s">
        <v>479</v>
      </c>
      <c r="I46" s="14"/>
      <c r="J46" s="15"/>
      <c r="K46" s="13"/>
      <c r="L46" s="13" t="s">
        <v>519</v>
      </c>
      <c r="M46" s="13"/>
      <c r="N46" s="13" t="s">
        <v>503</v>
      </c>
      <c r="O46" s="13" t="s">
        <v>504</v>
      </c>
      <c r="P46" s="13" t="s">
        <v>186</v>
      </c>
      <c r="Q46" s="16"/>
      <c r="R46" s="16"/>
      <c r="S46" s="16"/>
      <c r="T46" s="16"/>
      <c r="U46" s="16"/>
      <c r="V46" s="13" t="s">
        <v>187</v>
      </c>
      <c r="W46" s="17"/>
      <c r="X46" s="13"/>
      <c r="Y46" s="13"/>
      <c r="Z46" s="13"/>
      <c r="AA46" s="13" t="s">
        <v>188</v>
      </c>
      <c r="AB46" s="13" t="s">
        <v>538</v>
      </c>
      <c r="AC46" s="17"/>
      <c r="AD46" s="13"/>
      <c r="AE46" s="19" t="n">
        <v>0</v>
      </c>
      <c r="AF46" s="19" t="n">
        <v>0</v>
      </c>
      <c r="AG46" s="19" t="n">
        <v>0</v>
      </c>
      <c r="AH46" s="13" t="s">
        <v>506</v>
      </c>
      <c r="AI46" s="17"/>
      <c r="AJ46" s="13" t="s">
        <v>188</v>
      </c>
      <c r="AK46" s="13" t="s">
        <v>188</v>
      </c>
      <c r="AL46" s="14" t="s">
        <v>194</v>
      </c>
      <c r="AM46" s="13" t="s">
        <v>507</v>
      </c>
      <c r="AN46" s="15"/>
      <c r="AO46" s="13"/>
      <c r="AP46" s="13" t="s">
        <v>196</v>
      </c>
      <c r="AQ46" s="16" t="n">
        <f aca="false">IFERROR(IF(AND(INDEX(Mob_Demob!$D$6:$D$14,MATCH(AM46,Mob_Demob!$A$6:$A$14,0))="",INDEX(Mob_Demob!$G$6:$G$14,MATCH(AM46,Mob_Demob!$A$6:$A$14,0))=""),"",ROUND(MAX(N(INDEX(Mob_Demob!$G$6:$G$14,MATCH(AM46,Mob_Demob!$A$6:$A$14,0))),N(INDEX(Mob_Demob!$D$6:$D$14,MATCH(AM46,Mob_Demob!$A$6:$A$14,0)))*Settings!$B$6)+IF(AP46="Y",N(INDEX(Mob_Demob!$I$6:$I$14,MATCH(AM46,Mob_Demob!$A$6:$A$14,0)))*Settings!$B$19,0)+N(INDEX(Mob_Demob!$L$6:$L$14,MATCH(AM46,Mob_Demob!$A$6:$A$14,0)))*N(INDEX(Mob_Demob!$K$6:$K$14,MATCH(AM46,Mob_Demob!$A$6:$A$14,0)))*Settings!$B$6+N(INDEX(Mob_Demob!$M$6:$M$14,MATCH(AM46,Mob_Demob!$A$6:$A$14,0)))*N(INDEX(Mob_Demob!$N$6:$N$14,MATCH(AM46,Mob_Demob!$A$6:$A$14,0))),0)),"")</f>
        <v>400</v>
      </c>
      <c r="AR46" s="16" t="n">
        <f aca="false">IF(AQ46="","",ROUND(AQ46*Settings!$B$18,0))</f>
        <v>400</v>
      </c>
      <c r="AS46" s="13"/>
      <c r="AT46" s="14" t="s">
        <v>539</v>
      </c>
      <c r="AU46" s="14" t="s">
        <v>509</v>
      </c>
    </row>
    <row r="47" customFormat="false" ht="64.15" hidden="false" customHeight="false" outlineLevel="0" collapsed="false">
      <c r="A47" s="11" t="s">
        <v>540</v>
      </c>
      <c r="B47" s="11" t="s">
        <v>176</v>
      </c>
      <c r="C47" s="11" t="s">
        <v>529</v>
      </c>
      <c r="D47" s="11" t="s">
        <v>530</v>
      </c>
      <c r="E47" s="12" t="s">
        <v>541</v>
      </c>
      <c r="F47" s="13" t="s">
        <v>478</v>
      </c>
      <c r="G47" s="13" t="s">
        <v>542</v>
      </c>
      <c r="H47" s="13" t="s">
        <v>479</v>
      </c>
      <c r="I47" s="14"/>
      <c r="J47" s="15"/>
      <c r="K47" s="13"/>
      <c r="L47" s="13" t="s">
        <v>543</v>
      </c>
      <c r="M47" s="13"/>
      <c r="N47" s="13" t="s">
        <v>503</v>
      </c>
      <c r="O47" s="13" t="s">
        <v>504</v>
      </c>
      <c r="P47" s="13" t="s">
        <v>186</v>
      </c>
      <c r="Q47" s="16"/>
      <c r="R47" s="16"/>
      <c r="S47" s="16"/>
      <c r="T47" s="16"/>
      <c r="U47" s="16"/>
      <c r="V47" s="13" t="s">
        <v>187</v>
      </c>
      <c r="W47" s="17"/>
      <c r="X47" s="13"/>
      <c r="Y47" s="13"/>
      <c r="Z47" s="13"/>
      <c r="AA47" s="13" t="s">
        <v>188</v>
      </c>
      <c r="AB47" s="13" t="s">
        <v>544</v>
      </c>
      <c r="AC47" s="17"/>
      <c r="AD47" s="13"/>
      <c r="AE47" s="19" t="n">
        <v>0</v>
      </c>
      <c r="AF47" s="19" t="n">
        <v>0</v>
      </c>
      <c r="AG47" s="19" t="n">
        <v>0</v>
      </c>
      <c r="AH47" s="13" t="s">
        <v>506</v>
      </c>
      <c r="AI47" s="17"/>
      <c r="AJ47" s="13" t="s">
        <v>188</v>
      </c>
      <c r="AK47" s="13" t="s">
        <v>188</v>
      </c>
      <c r="AL47" s="14" t="s">
        <v>194</v>
      </c>
      <c r="AM47" s="13" t="s">
        <v>507</v>
      </c>
      <c r="AN47" s="15"/>
      <c r="AO47" s="13"/>
      <c r="AP47" s="13" t="s">
        <v>196</v>
      </c>
      <c r="AQ47" s="16" t="n">
        <f aca="false">IFERROR(IF(AND(INDEX(Mob_Demob!$D$6:$D$14,MATCH(AM47,Mob_Demob!$A$6:$A$14,0))="",INDEX(Mob_Demob!$G$6:$G$14,MATCH(AM47,Mob_Demob!$A$6:$A$14,0))=""),"",ROUND(MAX(N(INDEX(Mob_Demob!$G$6:$G$14,MATCH(AM47,Mob_Demob!$A$6:$A$14,0))),N(INDEX(Mob_Demob!$D$6:$D$14,MATCH(AM47,Mob_Demob!$A$6:$A$14,0)))*Settings!$B$6)+IF(AP47="Y",N(INDEX(Mob_Demob!$I$6:$I$14,MATCH(AM47,Mob_Demob!$A$6:$A$14,0)))*Settings!$B$19,0)+N(INDEX(Mob_Demob!$L$6:$L$14,MATCH(AM47,Mob_Demob!$A$6:$A$14,0)))*N(INDEX(Mob_Demob!$K$6:$K$14,MATCH(AM47,Mob_Demob!$A$6:$A$14,0)))*Settings!$B$6+N(INDEX(Mob_Demob!$M$6:$M$14,MATCH(AM47,Mob_Demob!$A$6:$A$14,0)))*N(INDEX(Mob_Demob!$N$6:$N$14,MATCH(AM47,Mob_Demob!$A$6:$A$14,0))),0)),"")</f>
        <v>400</v>
      </c>
      <c r="AR47" s="16" t="n">
        <f aca="false">IF(AQ47="","",ROUND(AQ47*Settings!$B$18,0))</f>
        <v>400</v>
      </c>
      <c r="AS47" s="13"/>
      <c r="AT47" s="14" t="s">
        <v>545</v>
      </c>
      <c r="AU47" s="14" t="s">
        <v>509</v>
      </c>
    </row>
    <row r="48" customFormat="false" ht="64.15" hidden="false" customHeight="false" outlineLevel="0" collapsed="false">
      <c r="A48" s="11" t="s">
        <v>546</v>
      </c>
      <c r="B48" s="11" t="s">
        <v>176</v>
      </c>
      <c r="C48" s="11" t="s">
        <v>529</v>
      </c>
      <c r="D48" s="11" t="s">
        <v>530</v>
      </c>
      <c r="E48" s="12" t="s">
        <v>547</v>
      </c>
      <c r="F48" s="13" t="s">
        <v>478</v>
      </c>
      <c r="G48" s="13" t="s">
        <v>548</v>
      </c>
      <c r="H48" s="13" t="s">
        <v>479</v>
      </c>
      <c r="I48" s="14"/>
      <c r="J48" s="15"/>
      <c r="K48" s="13"/>
      <c r="L48" s="13" t="s">
        <v>549</v>
      </c>
      <c r="M48" s="13"/>
      <c r="N48" s="13" t="s">
        <v>503</v>
      </c>
      <c r="O48" s="13" t="s">
        <v>504</v>
      </c>
      <c r="P48" s="13" t="s">
        <v>186</v>
      </c>
      <c r="Q48" s="16"/>
      <c r="R48" s="16"/>
      <c r="S48" s="16"/>
      <c r="T48" s="16"/>
      <c r="U48" s="16"/>
      <c r="V48" s="13" t="s">
        <v>187</v>
      </c>
      <c r="W48" s="17"/>
      <c r="X48" s="13"/>
      <c r="Y48" s="13"/>
      <c r="Z48" s="13"/>
      <c r="AA48" s="13" t="s">
        <v>188</v>
      </c>
      <c r="AB48" s="13" t="s">
        <v>550</v>
      </c>
      <c r="AC48" s="17"/>
      <c r="AD48" s="13"/>
      <c r="AE48" s="19" t="n">
        <v>0</v>
      </c>
      <c r="AF48" s="19" t="n">
        <v>0</v>
      </c>
      <c r="AG48" s="19" t="n">
        <v>0</v>
      </c>
      <c r="AH48" s="13" t="s">
        <v>506</v>
      </c>
      <c r="AI48" s="17"/>
      <c r="AJ48" s="13" t="s">
        <v>188</v>
      </c>
      <c r="AK48" s="13" t="s">
        <v>188</v>
      </c>
      <c r="AL48" s="14" t="s">
        <v>194</v>
      </c>
      <c r="AM48" s="13" t="s">
        <v>507</v>
      </c>
      <c r="AN48" s="15"/>
      <c r="AO48" s="13"/>
      <c r="AP48" s="13" t="s">
        <v>196</v>
      </c>
      <c r="AQ48" s="16" t="n">
        <f aca="false">IFERROR(IF(AND(INDEX(Mob_Demob!$D$6:$D$14,MATCH(AM48,Mob_Demob!$A$6:$A$14,0))="",INDEX(Mob_Demob!$G$6:$G$14,MATCH(AM48,Mob_Demob!$A$6:$A$14,0))=""),"",ROUND(MAX(N(INDEX(Mob_Demob!$G$6:$G$14,MATCH(AM48,Mob_Demob!$A$6:$A$14,0))),N(INDEX(Mob_Demob!$D$6:$D$14,MATCH(AM48,Mob_Demob!$A$6:$A$14,0)))*Settings!$B$6)+IF(AP48="Y",N(INDEX(Mob_Demob!$I$6:$I$14,MATCH(AM48,Mob_Demob!$A$6:$A$14,0)))*Settings!$B$19,0)+N(INDEX(Mob_Demob!$L$6:$L$14,MATCH(AM48,Mob_Demob!$A$6:$A$14,0)))*N(INDEX(Mob_Demob!$K$6:$K$14,MATCH(AM48,Mob_Demob!$A$6:$A$14,0)))*Settings!$B$6+N(INDEX(Mob_Demob!$M$6:$M$14,MATCH(AM48,Mob_Demob!$A$6:$A$14,0)))*N(INDEX(Mob_Demob!$N$6:$N$14,MATCH(AM48,Mob_Demob!$A$6:$A$14,0))),0)),"")</f>
        <v>400</v>
      </c>
      <c r="AR48" s="16" t="n">
        <f aca="false">IF(AQ48="","",ROUND(AQ48*Settings!$B$18,0))</f>
        <v>400</v>
      </c>
      <c r="AS48" s="13"/>
      <c r="AT48" s="14" t="s">
        <v>551</v>
      </c>
      <c r="AU48" s="14" t="s">
        <v>509</v>
      </c>
    </row>
    <row r="49" customFormat="false" ht="53.7" hidden="false" customHeight="false" outlineLevel="0" collapsed="false">
      <c r="A49" s="11" t="s">
        <v>552</v>
      </c>
      <c r="B49" s="11" t="s">
        <v>176</v>
      </c>
      <c r="C49" s="11" t="s">
        <v>553</v>
      </c>
      <c r="D49" s="11" t="s">
        <v>554</v>
      </c>
      <c r="E49" s="12" t="s">
        <v>555</v>
      </c>
      <c r="F49" s="13" t="s">
        <v>180</v>
      </c>
      <c r="G49" s="13" t="n">
        <v>69</v>
      </c>
      <c r="H49" s="13" t="s">
        <v>181</v>
      </c>
      <c r="I49" s="14" t="s">
        <v>556</v>
      </c>
      <c r="J49" s="15" t="n">
        <v>17637</v>
      </c>
      <c r="K49" s="13" t="n">
        <v>69</v>
      </c>
      <c r="L49" s="13"/>
      <c r="M49" s="13"/>
      <c r="N49" s="13" t="s">
        <v>184</v>
      </c>
      <c r="O49" s="13" t="s">
        <v>336</v>
      </c>
      <c r="P49" s="13" t="s">
        <v>186</v>
      </c>
      <c r="Q49" s="20" t="n">
        <v>491</v>
      </c>
      <c r="R49" s="20" t="n">
        <v>1424</v>
      </c>
      <c r="S49" s="20" t="n">
        <v>4129</v>
      </c>
      <c r="T49" s="16"/>
      <c r="U49" s="16"/>
      <c r="V49" s="13" t="s">
        <v>187</v>
      </c>
      <c r="W49" s="17"/>
      <c r="X49" s="13"/>
      <c r="Y49" s="13" t="s">
        <v>259</v>
      </c>
      <c r="Z49" s="13" t="s">
        <v>260</v>
      </c>
      <c r="AA49" s="13" t="s">
        <v>192</v>
      </c>
      <c r="AB49" s="13"/>
      <c r="AC49" s="17"/>
      <c r="AD49" s="13"/>
      <c r="AE49" s="19" t="n">
        <f aca="false">ROUND(K49*Settings!$B$11*Settings!$B$13,2)</f>
        <v>1.17</v>
      </c>
      <c r="AF49" s="19" t="n">
        <f aca="false">ROUND(K49*Settings!$B$11*Settings!$B$14,2)</f>
        <v>1.54</v>
      </c>
      <c r="AG49" s="19" t="n">
        <f aca="false">ROUND(K49*Settings!$B$11*Settings!$B$15,2)</f>
        <v>2.01</v>
      </c>
      <c r="AH49" s="13" t="s">
        <v>191</v>
      </c>
      <c r="AI49" s="17"/>
      <c r="AJ49" s="13" t="s">
        <v>188</v>
      </c>
      <c r="AK49" s="13" t="s">
        <v>188</v>
      </c>
      <c r="AL49" s="14" t="s">
        <v>557</v>
      </c>
      <c r="AM49" s="13" t="s">
        <v>195</v>
      </c>
      <c r="AN49" s="15" t="n">
        <v>17637</v>
      </c>
      <c r="AO49" s="13"/>
      <c r="AP49" s="13" t="s">
        <v>196</v>
      </c>
      <c r="AQ49" s="16" t="n">
        <f aca="false">IFERROR(IF(AND(INDEX(Mob_Demob!$D$6:$D$14,MATCH(AM49,Mob_Demob!$A$6:$A$14,0))="",INDEX(Mob_Demob!$G$6:$G$14,MATCH(AM49,Mob_Demob!$A$6:$A$14,0))=""),"",ROUND(MAX(N(INDEX(Mob_Demob!$G$6:$G$14,MATCH(AM49,Mob_Demob!$A$6:$A$14,0))),N(INDEX(Mob_Demob!$D$6:$D$14,MATCH(AM49,Mob_Demob!$A$6:$A$14,0)))*Settings!$B$6)+IF(AP49="Y",N(INDEX(Mob_Demob!$I$6:$I$14,MATCH(AM49,Mob_Demob!$A$6:$A$14,0)))*Settings!$B$19,0)+N(INDEX(Mob_Demob!$L$6:$L$14,MATCH(AM49,Mob_Demob!$A$6:$A$14,0)))*N(INDEX(Mob_Demob!$K$6:$K$14,MATCH(AM49,Mob_Demob!$A$6:$A$14,0)))*Settings!$B$6+N(INDEX(Mob_Demob!$M$6:$M$14,MATCH(AM49,Mob_Demob!$A$6:$A$14,0)))*N(INDEX(Mob_Demob!$N$6:$N$14,MATCH(AM49,Mob_Demob!$A$6:$A$14,0))),0)),"")</f>
        <v>500</v>
      </c>
      <c r="AR49" s="16" t="n">
        <f aca="false">IF(AQ49="","",ROUND(AQ49*Settings!$B$18,0))</f>
        <v>500</v>
      </c>
      <c r="AS49" s="13" t="s">
        <v>558</v>
      </c>
      <c r="AT49" s="14" t="s">
        <v>559</v>
      </c>
      <c r="AU49" s="14" t="s">
        <v>560</v>
      </c>
    </row>
    <row r="50" customFormat="false" ht="53.7" hidden="false" customHeight="false" outlineLevel="0" collapsed="false">
      <c r="A50" s="11" t="s">
        <v>561</v>
      </c>
      <c r="B50" s="11" t="s">
        <v>176</v>
      </c>
      <c r="C50" s="11" t="s">
        <v>553</v>
      </c>
      <c r="D50" s="11" t="s">
        <v>562</v>
      </c>
      <c r="E50" s="12" t="s">
        <v>563</v>
      </c>
      <c r="F50" s="13" t="s">
        <v>461</v>
      </c>
      <c r="G50" s="13" t="n">
        <v>14</v>
      </c>
      <c r="H50" s="13" t="s">
        <v>462</v>
      </c>
      <c r="I50" s="14" t="s">
        <v>564</v>
      </c>
      <c r="J50" s="15" t="n">
        <v>24251</v>
      </c>
      <c r="K50" s="13" t="n">
        <v>103</v>
      </c>
      <c r="L50" s="13" t="s">
        <v>565</v>
      </c>
      <c r="M50" s="13"/>
      <c r="N50" s="13" t="s">
        <v>184</v>
      </c>
      <c r="O50" s="13" t="s">
        <v>336</v>
      </c>
      <c r="P50" s="13" t="s">
        <v>186</v>
      </c>
      <c r="Q50" s="20" t="n">
        <v>500</v>
      </c>
      <c r="R50" s="20" t="n">
        <v>1250</v>
      </c>
      <c r="S50" s="20" t="n">
        <v>3735</v>
      </c>
      <c r="T50" s="20" t="n">
        <v>2750</v>
      </c>
      <c r="U50" s="20" t="n">
        <v>5209</v>
      </c>
      <c r="V50" s="13" t="s">
        <v>187</v>
      </c>
      <c r="W50" s="17"/>
      <c r="X50" s="13"/>
      <c r="Y50" s="13" t="s">
        <v>566</v>
      </c>
      <c r="Z50" s="13" t="s">
        <v>212</v>
      </c>
      <c r="AA50" s="13" t="s">
        <v>213</v>
      </c>
      <c r="AB50" s="13" t="s">
        <v>567</v>
      </c>
      <c r="AC50" s="18" t="n">
        <v>110.03</v>
      </c>
      <c r="AD50" s="13" t="s">
        <v>190</v>
      </c>
      <c r="AE50" s="19" t="n">
        <v>1.16</v>
      </c>
      <c r="AF50" s="19" t="n">
        <v>1.46</v>
      </c>
      <c r="AG50" s="19" t="n">
        <v>1.77</v>
      </c>
      <c r="AH50" s="13" t="s">
        <v>568</v>
      </c>
      <c r="AI50" s="17" t="n">
        <f aca="false">IF(OR(AC50="",AF50="",Settings!$B$5=""),"",ROUND(AC50-AF50*Settings!$B$5,2))</f>
        <v>104.69</v>
      </c>
      <c r="AJ50" s="13" t="s">
        <v>192</v>
      </c>
      <c r="AK50" s="13" t="s">
        <v>193</v>
      </c>
      <c r="AL50" s="14" t="s">
        <v>557</v>
      </c>
      <c r="AM50" s="13" t="s">
        <v>216</v>
      </c>
      <c r="AN50" s="15" t="n">
        <v>24251</v>
      </c>
      <c r="AO50" s="13"/>
      <c r="AP50" s="13" t="s">
        <v>196</v>
      </c>
      <c r="AQ50" s="16" t="n">
        <f aca="false">IFERROR(IF(AND(INDEX(Mob_Demob!$D$6:$D$14,MATCH(AM50,Mob_Demob!$A$6:$A$14,0))="",INDEX(Mob_Demob!$G$6:$G$14,MATCH(AM50,Mob_Demob!$A$6:$A$14,0))=""),"",ROUND(MAX(N(INDEX(Mob_Demob!$G$6:$G$14,MATCH(AM50,Mob_Demob!$A$6:$A$14,0))),N(INDEX(Mob_Demob!$D$6:$D$14,MATCH(AM50,Mob_Demob!$A$6:$A$14,0)))*Settings!$B$6)+IF(AP50="Y",N(INDEX(Mob_Demob!$I$6:$I$14,MATCH(AM50,Mob_Demob!$A$6:$A$14,0)))*Settings!$B$19,0)+N(INDEX(Mob_Demob!$L$6:$L$14,MATCH(AM50,Mob_Demob!$A$6:$A$14,0)))*N(INDEX(Mob_Demob!$K$6:$K$14,MATCH(AM50,Mob_Demob!$A$6:$A$14,0)))*Settings!$B$6+N(INDEX(Mob_Demob!$M$6:$M$14,MATCH(AM50,Mob_Demob!$A$6:$A$14,0)))*N(INDEX(Mob_Demob!$N$6:$N$14,MATCH(AM50,Mob_Demob!$A$6:$A$14,0))),0)),"")</f>
        <v>550</v>
      </c>
      <c r="AR50" s="16" t="n">
        <f aca="false">IF(AQ50="","",ROUND(AQ50*Settings!$B$18,0))</f>
        <v>550</v>
      </c>
      <c r="AS50" s="13" t="s">
        <v>569</v>
      </c>
      <c r="AT50" s="14" t="s">
        <v>570</v>
      </c>
      <c r="AU50" s="14"/>
    </row>
    <row r="51" customFormat="false" ht="53.7" hidden="false" customHeight="false" outlineLevel="0" collapsed="false">
      <c r="A51" s="11" t="s">
        <v>571</v>
      </c>
      <c r="B51" s="11" t="s">
        <v>176</v>
      </c>
      <c r="C51" s="11" t="s">
        <v>553</v>
      </c>
      <c r="D51" s="11" t="s">
        <v>572</v>
      </c>
      <c r="E51" s="12" t="s">
        <v>573</v>
      </c>
      <c r="F51" s="13" t="s">
        <v>180</v>
      </c>
      <c r="G51" s="13" t="n">
        <v>80</v>
      </c>
      <c r="H51" s="13" t="s">
        <v>181</v>
      </c>
      <c r="I51" s="14" t="s">
        <v>574</v>
      </c>
      <c r="J51" s="15"/>
      <c r="K51" s="13" t="n">
        <v>80</v>
      </c>
      <c r="L51" s="13" t="s">
        <v>575</v>
      </c>
      <c r="M51" s="13"/>
      <c r="N51" s="13" t="s">
        <v>184</v>
      </c>
      <c r="O51" s="13" t="s">
        <v>336</v>
      </c>
      <c r="P51" s="13" t="s">
        <v>186</v>
      </c>
      <c r="Q51" s="16"/>
      <c r="R51" s="16"/>
      <c r="S51" s="16"/>
      <c r="T51" s="16"/>
      <c r="U51" s="16"/>
      <c r="V51" s="13" t="s">
        <v>187</v>
      </c>
      <c r="W51" s="17"/>
      <c r="X51" s="13"/>
      <c r="Y51" s="13"/>
      <c r="Z51" s="13"/>
      <c r="AA51" s="13" t="s">
        <v>188</v>
      </c>
      <c r="AB51" s="13" t="s">
        <v>576</v>
      </c>
      <c r="AC51" s="18" t="n">
        <v>92.56</v>
      </c>
      <c r="AD51" s="13" t="s">
        <v>190</v>
      </c>
      <c r="AE51" s="19" t="n">
        <f aca="false">ROUND(K51*Settings!$B$11*Settings!$B$13,2)</f>
        <v>1.36</v>
      </c>
      <c r="AF51" s="19" t="n">
        <f aca="false">ROUND(K51*Settings!$B$11*Settings!$B$14,2)</f>
        <v>1.79</v>
      </c>
      <c r="AG51" s="19" t="n">
        <f aca="false">ROUND(K51*Settings!$B$11*Settings!$B$15,2)</f>
        <v>2.33</v>
      </c>
      <c r="AH51" s="13" t="s">
        <v>191</v>
      </c>
      <c r="AI51" s="17" t="n">
        <f aca="false">IF(OR(AC51="",AF51="",Settings!$B$5=""),"",ROUND(AC51-AF51*Settings!$B$5,2))</f>
        <v>86.01</v>
      </c>
      <c r="AJ51" s="13" t="s">
        <v>192</v>
      </c>
      <c r="AK51" s="13" t="s">
        <v>193</v>
      </c>
      <c r="AL51" s="14" t="s">
        <v>557</v>
      </c>
      <c r="AM51" s="13" t="s">
        <v>216</v>
      </c>
      <c r="AN51" s="15"/>
      <c r="AO51" s="13"/>
      <c r="AP51" s="13" t="s">
        <v>241</v>
      </c>
      <c r="AQ51" s="16" t="n">
        <f aca="false">IFERROR(IF(AND(INDEX(Mob_Demob!$D$6:$D$14,MATCH(AM51,Mob_Demob!$A$6:$A$14,0))="",INDEX(Mob_Demob!$G$6:$G$14,MATCH(AM51,Mob_Demob!$A$6:$A$14,0))=""),"",ROUND(MAX(N(INDEX(Mob_Demob!$G$6:$G$14,MATCH(AM51,Mob_Demob!$A$6:$A$14,0))),N(INDEX(Mob_Demob!$D$6:$D$14,MATCH(AM51,Mob_Demob!$A$6:$A$14,0)))*Settings!$B$6)+IF(AP51="Y",N(INDEX(Mob_Demob!$I$6:$I$14,MATCH(AM51,Mob_Demob!$A$6:$A$14,0)))*Settings!$B$19,0)+N(INDEX(Mob_Demob!$L$6:$L$14,MATCH(AM51,Mob_Demob!$A$6:$A$14,0)))*N(INDEX(Mob_Demob!$K$6:$K$14,MATCH(AM51,Mob_Demob!$A$6:$A$14,0)))*Settings!$B$6+N(INDEX(Mob_Demob!$M$6:$M$14,MATCH(AM51,Mob_Demob!$A$6:$A$14,0)))*N(INDEX(Mob_Demob!$N$6:$N$14,MATCH(AM51,Mob_Demob!$A$6:$A$14,0))),0)),"")</f>
        <v>550</v>
      </c>
      <c r="AR51" s="16" t="n">
        <f aca="false">IF(AQ51="","",ROUND(AQ51*Settings!$B$18,0))</f>
        <v>550</v>
      </c>
      <c r="AS51" s="13" t="s">
        <v>577</v>
      </c>
      <c r="AT51" s="14" t="s">
        <v>578</v>
      </c>
      <c r="AU51" s="14" t="s">
        <v>579</v>
      </c>
    </row>
    <row r="52" customFormat="false" ht="53.7" hidden="false" customHeight="false" outlineLevel="0" collapsed="false">
      <c r="A52" s="11" t="s">
        <v>580</v>
      </c>
      <c r="B52" s="11" t="s">
        <v>176</v>
      </c>
      <c r="C52" s="11" t="s">
        <v>553</v>
      </c>
      <c r="D52" s="11" t="s">
        <v>581</v>
      </c>
      <c r="E52" s="12" t="s">
        <v>582</v>
      </c>
      <c r="F52" s="13" t="s">
        <v>461</v>
      </c>
      <c r="G52" s="13" t="n">
        <v>15.1</v>
      </c>
      <c r="H52" s="13" t="s">
        <v>462</v>
      </c>
      <c r="I52" s="14" t="s">
        <v>583</v>
      </c>
      <c r="J52" s="15" t="n">
        <v>24251</v>
      </c>
      <c r="K52" s="13" t="n">
        <v>107</v>
      </c>
      <c r="L52" s="13"/>
      <c r="M52" s="13"/>
      <c r="N52" s="13" t="s">
        <v>184</v>
      </c>
      <c r="O52" s="13" t="s">
        <v>336</v>
      </c>
      <c r="P52" s="13" t="s">
        <v>186</v>
      </c>
      <c r="Q52" s="20" t="n">
        <v>684</v>
      </c>
      <c r="R52" s="20" t="n">
        <v>1982</v>
      </c>
      <c r="S52" s="20" t="n">
        <v>5749</v>
      </c>
      <c r="T52" s="16"/>
      <c r="U52" s="16"/>
      <c r="V52" s="13" t="s">
        <v>187</v>
      </c>
      <c r="W52" s="17"/>
      <c r="X52" s="13"/>
      <c r="Y52" s="13" t="s">
        <v>259</v>
      </c>
      <c r="Z52" s="13" t="s">
        <v>260</v>
      </c>
      <c r="AA52" s="13" t="s">
        <v>192</v>
      </c>
      <c r="AB52" s="13"/>
      <c r="AC52" s="17"/>
      <c r="AD52" s="13"/>
      <c r="AE52" s="19" t="n">
        <v>1.18</v>
      </c>
      <c r="AF52" s="19" t="n">
        <v>1.5</v>
      </c>
      <c r="AG52" s="19" t="n">
        <v>1.81</v>
      </c>
      <c r="AH52" s="13" t="s">
        <v>584</v>
      </c>
      <c r="AI52" s="17"/>
      <c r="AJ52" s="13" t="s">
        <v>188</v>
      </c>
      <c r="AK52" s="13" t="s">
        <v>188</v>
      </c>
      <c r="AL52" s="14" t="s">
        <v>557</v>
      </c>
      <c r="AM52" s="13" t="s">
        <v>216</v>
      </c>
      <c r="AN52" s="15" t="n">
        <v>24251</v>
      </c>
      <c r="AO52" s="13"/>
      <c r="AP52" s="13" t="s">
        <v>196</v>
      </c>
      <c r="AQ52" s="16" t="n">
        <f aca="false">IFERROR(IF(AND(INDEX(Mob_Demob!$D$6:$D$14,MATCH(AM52,Mob_Demob!$A$6:$A$14,0))="",INDEX(Mob_Demob!$G$6:$G$14,MATCH(AM52,Mob_Demob!$A$6:$A$14,0))=""),"",ROUND(MAX(N(INDEX(Mob_Demob!$G$6:$G$14,MATCH(AM52,Mob_Demob!$A$6:$A$14,0))),N(INDEX(Mob_Demob!$D$6:$D$14,MATCH(AM52,Mob_Demob!$A$6:$A$14,0)))*Settings!$B$6)+IF(AP52="Y",N(INDEX(Mob_Demob!$I$6:$I$14,MATCH(AM52,Mob_Demob!$A$6:$A$14,0)))*Settings!$B$19,0)+N(INDEX(Mob_Demob!$L$6:$L$14,MATCH(AM52,Mob_Demob!$A$6:$A$14,0)))*N(INDEX(Mob_Demob!$K$6:$K$14,MATCH(AM52,Mob_Demob!$A$6:$A$14,0)))*Settings!$B$6+N(INDEX(Mob_Demob!$M$6:$M$14,MATCH(AM52,Mob_Demob!$A$6:$A$14,0)))*N(INDEX(Mob_Demob!$N$6:$N$14,MATCH(AM52,Mob_Demob!$A$6:$A$14,0))),0)),"")</f>
        <v>550</v>
      </c>
      <c r="AR52" s="16" t="n">
        <f aca="false">IF(AQ52="","",ROUND(AQ52*Settings!$B$18,0))</f>
        <v>550</v>
      </c>
      <c r="AS52" s="13" t="s">
        <v>558</v>
      </c>
      <c r="AT52" s="14" t="s">
        <v>585</v>
      </c>
      <c r="AU52" s="14" t="s">
        <v>341</v>
      </c>
    </row>
    <row r="53" customFormat="false" ht="53.7" hidden="false" customHeight="false" outlineLevel="0" collapsed="false">
      <c r="A53" s="11" t="s">
        <v>586</v>
      </c>
      <c r="B53" s="11" t="s">
        <v>176</v>
      </c>
      <c r="C53" s="11" t="s">
        <v>553</v>
      </c>
      <c r="D53" s="11" t="s">
        <v>587</v>
      </c>
      <c r="E53" s="12" t="s">
        <v>588</v>
      </c>
      <c r="F53" s="13" t="s">
        <v>180</v>
      </c>
      <c r="G53" s="13" t="n">
        <v>104</v>
      </c>
      <c r="H53" s="13" t="s">
        <v>181</v>
      </c>
      <c r="I53" s="14" t="s">
        <v>589</v>
      </c>
      <c r="J53" s="15" t="n">
        <v>29321</v>
      </c>
      <c r="K53" s="13" t="n">
        <v>104</v>
      </c>
      <c r="L53" s="13"/>
      <c r="M53" s="13"/>
      <c r="N53" s="13" t="s">
        <v>184</v>
      </c>
      <c r="O53" s="13" t="s">
        <v>336</v>
      </c>
      <c r="P53" s="13" t="s">
        <v>186</v>
      </c>
      <c r="Q53" s="20" t="n">
        <v>927</v>
      </c>
      <c r="R53" s="20" t="n">
        <v>2688</v>
      </c>
      <c r="S53" s="20" t="n">
        <v>7796</v>
      </c>
      <c r="T53" s="16"/>
      <c r="U53" s="16"/>
      <c r="V53" s="13" t="s">
        <v>187</v>
      </c>
      <c r="W53" s="17"/>
      <c r="X53" s="13"/>
      <c r="Y53" s="13" t="s">
        <v>259</v>
      </c>
      <c r="Z53" s="13" t="s">
        <v>260</v>
      </c>
      <c r="AA53" s="13" t="s">
        <v>192</v>
      </c>
      <c r="AB53" s="13"/>
      <c r="AC53" s="17"/>
      <c r="AD53" s="13"/>
      <c r="AE53" s="19" t="n">
        <v>1.44</v>
      </c>
      <c r="AF53" s="19" t="n">
        <v>1.79</v>
      </c>
      <c r="AG53" s="19" t="n">
        <v>2.15</v>
      </c>
      <c r="AH53" s="13" t="s">
        <v>590</v>
      </c>
      <c r="AI53" s="17"/>
      <c r="AJ53" s="13" t="s">
        <v>188</v>
      </c>
      <c r="AK53" s="13" t="s">
        <v>188</v>
      </c>
      <c r="AL53" s="14" t="s">
        <v>557</v>
      </c>
      <c r="AM53" s="13" t="s">
        <v>216</v>
      </c>
      <c r="AN53" s="15" t="n">
        <v>29321</v>
      </c>
      <c r="AO53" s="13"/>
      <c r="AP53" s="13" t="s">
        <v>196</v>
      </c>
      <c r="AQ53" s="16" t="n">
        <f aca="false">IFERROR(IF(AND(INDEX(Mob_Demob!$D$6:$D$14,MATCH(AM53,Mob_Demob!$A$6:$A$14,0))="",INDEX(Mob_Demob!$G$6:$G$14,MATCH(AM53,Mob_Demob!$A$6:$A$14,0))=""),"",ROUND(MAX(N(INDEX(Mob_Demob!$G$6:$G$14,MATCH(AM53,Mob_Demob!$A$6:$A$14,0))),N(INDEX(Mob_Demob!$D$6:$D$14,MATCH(AM53,Mob_Demob!$A$6:$A$14,0)))*Settings!$B$6)+IF(AP53="Y",N(INDEX(Mob_Demob!$I$6:$I$14,MATCH(AM53,Mob_Demob!$A$6:$A$14,0)))*Settings!$B$19,0)+N(INDEX(Mob_Demob!$L$6:$L$14,MATCH(AM53,Mob_Demob!$A$6:$A$14,0)))*N(INDEX(Mob_Demob!$K$6:$K$14,MATCH(AM53,Mob_Demob!$A$6:$A$14,0)))*Settings!$B$6+N(INDEX(Mob_Demob!$M$6:$M$14,MATCH(AM53,Mob_Demob!$A$6:$A$14,0)))*N(INDEX(Mob_Demob!$N$6:$N$14,MATCH(AM53,Mob_Demob!$A$6:$A$14,0))),0)),"")</f>
        <v>550</v>
      </c>
      <c r="AR53" s="16" t="n">
        <f aca="false">IF(AQ53="","",ROUND(AQ53*Settings!$B$18,0))</f>
        <v>550</v>
      </c>
      <c r="AS53" s="13" t="s">
        <v>591</v>
      </c>
      <c r="AT53" s="14" t="s">
        <v>585</v>
      </c>
      <c r="AU53" s="14" t="s">
        <v>341</v>
      </c>
    </row>
    <row r="54" customFormat="false" ht="53.7" hidden="false" customHeight="false" outlineLevel="0" collapsed="false">
      <c r="A54" s="11" t="s">
        <v>592</v>
      </c>
      <c r="B54" s="11" t="s">
        <v>176</v>
      </c>
      <c r="C54" s="11" t="s">
        <v>553</v>
      </c>
      <c r="D54" s="11" t="s">
        <v>587</v>
      </c>
      <c r="E54" s="12" t="s">
        <v>593</v>
      </c>
      <c r="F54" s="13" t="s">
        <v>461</v>
      </c>
      <c r="G54" s="13" t="n">
        <v>17</v>
      </c>
      <c r="H54" s="13" t="s">
        <v>462</v>
      </c>
      <c r="I54" s="14" t="s">
        <v>594</v>
      </c>
      <c r="J54" s="15" t="n">
        <v>29321</v>
      </c>
      <c r="K54" s="13" t="n">
        <v>131</v>
      </c>
      <c r="L54" s="13"/>
      <c r="M54" s="13"/>
      <c r="N54" s="13" t="s">
        <v>184</v>
      </c>
      <c r="O54" s="13" t="s">
        <v>336</v>
      </c>
      <c r="P54" s="13" t="s">
        <v>186</v>
      </c>
      <c r="Q54" s="16"/>
      <c r="R54" s="16"/>
      <c r="S54" s="16"/>
      <c r="T54" s="16"/>
      <c r="U54" s="16"/>
      <c r="V54" s="13" t="s">
        <v>187</v>
      </c>
      <c r="W54" s="17"/>
      <c r="X54" s="13"/>
      <c r="Y54" s="13"/>
      <c r="Z54" s="13"/>
      <c r="AA54" s="13" t="s">
        <v>188</v>
      </c>
      <c r="AB54" s="13" t="s">
        <v>595</v>
      </c>
      <c r="AC54" s="17"/>
      <c r="AD54" s="13"/>
      <c r="AE54" s="19" t="n">
        <v>1.47</v>
      </c>
      <c r="AF54" s="19" t="n">
        <v>1.83</v>
      </c>
      <c r="AG54" s="19" t="n">
        <v>2.2</v>
      </c>
      <c r="AH54" s="13" t="s">
        <v>596</v>
      </c>
      <c r="AI54" s="17"/>
      <c r="AJ54" s="13" t="s">
        <v>188</v>
      </c>
      <c r="AK54" s="13" t="s">
        <v>188</v>
      </c>
      <c r="AL54" s="14" t="s">
        <v>557</v>
      </c>
      <c r="AM54" s="13" t="s">
        <v>216</v>
      </c>
      <c r="AN54" s="15" t="n">
        <v>29321</v>
      </c>
      <c r="AO54" s="13"/>
      <c r="AP54" s="13" t="s">
        <v>196</v>
      </c>
      <c r="AQ54" s="16" t="n">
        <f aca="false">IFERROR(IF(AND(INDEX(Mob_Demob!$D$6:$D$14,MATCH(AM54,Mob_Demob!$A$6:$A$14,0))="",INDEX(Mob_Demob!$G$6:$G$14,MATCH(AM54,Mob_Demob!$A$6:$A$14,0))=""),"",ROUND(MAX(N(INDEX(Mob_Demob!$G$6:$G$14,MATCH(AM54,Mob_Demob!$A$6:$A$14,0))),N(INDEX(Mob_Demob!$D$6:$D$14,MATCH(AM54,Mob_Demob!$A$6:$A$14,0)))*Settings!$B$6)+IF(AP54="Y",N(INDEX(Mob_Demob!$I$6:$I$14,MATCH(AM54,Mob_Demob!$A$6:$A$14,0)))*Settings!$B$19,0)+N(INDEX(Mob_Demob!$L$6:$L$14,MATCH(AM54,Mob_Demob!$A$6:$A$14,0)))*N(INDEX(Mob_Demob!$K$6:$K$14,MATCH(AM54,Mob_Demob!$A$6:$A$14,0)))*Settings!$B$6+N(INDEX(Mob_Demob!$M$6:$M$14,MATCH(AM54,Mob_Demob!$A$6:$A$14,0)))*N(INDEX(Mob_Demob!$N$6:$N$14,MATCH(AM54,Mob_Demob!$A$6:$A$14,0))),0)),"")</f>
        <v>550</v>
      </c>
      <c r="AR54" s="16" t="n">
        <f aca="false">IF(AQ54="","",ROUND(AQ54*Settings!$B$18,0))</f>
        <v>550</v>
      </c>
      <c r="AS54" s="13" t="s">
        <v>591</v>
      </c>
      <c r="AT54" s="14" t="s">
        <v>597</v>
      </c>
      <c r="AU54" s="14" t="s">
        <v>509</v>
      </c>
    </row>
    <row r="55" customFormat="false" ht="53.7" hidden="false" customHeight="false" outlineLevel="0" collapsed="false">
      <c r="A55" s="11" t="s">
        <v>598</v>
      </c>
      <c r="B55" s="11" t="s">
        <v>176</v>
      </c>
      <c r="C55" s="11" t="s">
        <v>553</v>
      </c>
      <c r="D55" s="11" t="s">
        <v>599</v>
      </c>
      <c r="E55" s="12" t="s">
        <v>600</v>
      </c>
      <c r="F55" s="13" t="s">
        <v>180</v>
      </c>
      <c r="G55" s="13" t="n">
        <v>92</v>
      </c>
      <c r="H55" s="13" t="s">
        <v>181</v>
      </c>
      <c r="I55" s="14" t="s">
        <v>601</v>
      </c>
      <c r="J55" s="15" t="n">
        <v>25353</v>
      </c>
      <c r="K55" s="13" t="n">
        <v>92</v>
      </c>
      <c r="L55" s="13"/>
      <c r="M55" s="13"/>
      <c r="N55" s="13" t="s">
        <v>184</v>
      </c>
      <c r="O55" s="13" t="s">
        <v>336</v>
      </c>
      <c r="P55" s="13" t="s">
        <v>186</v>
      </c>
      <c r="Q55" s="16"/>
      <c r="R55" s="16"/>
      <c r="S55" s="16"/>
      <c r="T55" s="16"/>
      <c r="U55" s="16"/>
      <c r="V55" s="13" t="s">
        <v>187</v>
      </c>
      <c r="W55" s="17"/>
      <c r="X55" s="13"/>
      <c r="Y55" s="13"/>
      <c r="Z55" s="13"/>
      <c r="AA55" s="13" t="s">
        <v>188</v>
      </c>
      <c r="AB55" s="13"/>
      <c r="AC55" s="17"/>
      <c r="AD55" s="13"/>
      <c r="AE55" s="19" t="n">
        <f aca="false">ROUND(K55*Settings!$B$11*Settings!$B$13,2)</f>
        <v>1.56</v>
      </c>
      <c r="AF55" s="19" t="n">
        <f aca="false">ROUND(K55*Settings!$B$11*Settings!$B$14,2)</f>
        <v>2.06</v>
      </c>
      <c r="AG55" s="19" t="n">
        <f aca="false">ROUND(K55*Settings!$B$11*Settings!$B$15,2)</f>
        <v>2.68</v>
      </c>
      <c r="AH55" s="13" t="s">
        <v>191</v>
      </c>
      <c r="AI55" s="17"/>
      <c r="AJ55" s="13" t="s">
        <v>188</v>
      </c>
      <c r="AK55" s="13" t="s">
        <v>188</v>
      </c>
      <c r="AL55" s="14" t="s">
        <v>557</v>
      </c>
      <c r="AM55" s="13" t="s">
        <v>216</v>
      </c>
      <c r="AN55" s="15" t="n">
        <v>25353</v>
      </c>
      <c r="AO55" s="13"/>
      <c r="AP55" s="13" t="s">
        <v>196</v>
      </c>
      <c r="AQ55" s="16" t="n">
        <f aca="false">IFERROR(IF(AND(INDEX(Mob_Demob!$D$6:$D$14,MATCH(AM55,Mob_Demob!$A$6:$A$14,0))="",INDEX(Mob_Demob!$G$6:$G$14,MATCH(AM55,Mob_Demob!$A$6:$A$14,0))=""),"",ROUND(MAX(N(INDEX(Mob_Demob!$G$6:$G$14,MATCH(AM55,Mob_Demob!$A$6:$A$14,0))),N(INDEX(Mob_Demob!$D$6:$D$14,MATCH(AM55,Mob_Demob!$A$6:$A$14,0)))*Settings!$B$6)+IF(AP55="Y",N(INDEX(Mob_Demob!$I$6:$I$14,MATCH(AM55,Mob_Demob!$A$6:$A$14,0)))*Settings!$B$19,0)+N(INDEX(Mob_Demob!$L$6:$L$14,MATCH(AM55,Mob_Demob!$A$6:$A$14,0)))*N(INDEX(Mob_Demob!$K$6:$K$14,MATCH(AM55,Mob_Demob!$A$6:$A$14,0)))*Settings!$B$6+N(INDEX(Mob_Demob!$M$6:$M$14,MATCH(AM55,Mob_Demob!$A$6:$A$14,0)))*N(INDEX(Mob_Demob!$N$6:$N$14,MATCH(AM55,Mob_Demob!$A$6:$A$14,0))),0)),"")</f>
        <v>550</v>
      </c>
      <c r="AR55" s="16" t="n">
        <f aca="false">IF(AQ55="","",ROUND(AQ55*Settings!$B$18,0))</f>
        <v>550</v>
      </c>
      <c r="AS55" s="13" t="s">
        <v>577</v>
      </c>
      <c r="AT55" s="14" t="s">
        <v>602</v>
      </c>
      <c r="AU55" s="14" t="s">
        <v>251</v>
      </c>
    </row>
    <row r="56" customFormat="false" ht="53.7" hidden="false" customHeight="false" outlineLevel="0" collapsed="false">
      <c r="A56" s="11" t="s">
        <v>603</v>
      </c>
      <c r="B56" s="11" t="s">
        <v>176</v>
      </c>
      <c r="C56" s="11" t="s">
        <v>604</v>
      </c>
      <c r="D56" s="11" t="s">
        <v>605</v>
      </c>
      <c r="E56" s="12" t="s">
        <v>606</v>
      </c>
      <c r="F56" s="13" t="s">
        <v>478</v>
      </c>
      <c r="G56" s="13" t="n">
        <v>0.7</v>
      </c>
      <c r="H56" s="13" t="s">
        <v>479</v>
      </c>
      <c r="I56" s="14" t="s">
        <v>607</v>
      </c>
      <c r="J56" s="15"/>
      <c r="K56" s="13" t="n">
        <v>38</v>
      </c>
      <c r="L56" s="13" t="s">
        <v>608</v>
      </c>
      <c r="M56" s="13"/>
      <c r="N56" s="13" t="s">
        <v>184</v>
      </c>
      <c r="O56" s="13" t="s">
        <v>336</v>
      </c>
      <c r="P56" s="13" t="s">
        <v>186</v>
      </c>
      <c r="Q56" s="16"/>
      <c r="R56" s="16"/>
      <c r="S56" s="16"/>
      <c r="T56" s="16"/>
      <c r="U56" s="16"/>
      <c r="V56" s="13" t="s">
        <v>187</v>
      </c>
      <c r="W56" s="17"/>
      <c r="X56" s="13"/>
      <c r="Y56" s="13"/>
      <c r="Z56" s="13"/>
      <c r="AA56" s="13" t="s">
        <v>188</v>
      </c>
      <c r="AB56" s="13" t="s">
        <v>609</v>
      </c>
      <c r="AC56" s="18" t="n">
        <v>42.33</v>
      </c>
      <c r="AD56" s="13" t="s">
        <v>190</v>
      </c>
      <c r="AE56" s="19" t="n">
        <f aca="false">ROUND(K56*Settings!$B$11*Settings!$B$13,2)</f>
        <v>0.65</v>
      </c>
      <c r="AF56" s="19" t="n">
        <f aca="false">ROUND(K56*Settings!$B$11*Settings!$B$14,2)</f>
        <v>0.85</v>
      </c>
      <c r="AG56" s="19" t="n">
        <f aca="false">ROUND(K56*Settings!$B$11*Settings!$B$15,2)</f>
        <v>1.11</v>
      </c>
      <c r="AH56" s="13" t="s">
        <v>191</v>
      </c>
      <c r="AI56" s="17" t="n">
        <f aca="false">IF(OR(AC56="",AF56="",Settings!$B$5=""),"",ROUND(AC56-AF56*Settings!$B$5,2))</f>
        <v>39.22</v>
      </c>
      <c r="AJ56" s="13" t="s">
        <v>192</v>
      </c>
      <c r="AK56" s="13" t="s">
        <v>193</v>
      </c>
      <c r="AL56" s="14" t="s">
        <v>557</v>
      </c>
      <c r="AM56" s="13" t="s">
        <v>195</v>
      </c>
      <c r="AN56" s="15"/>
      <c r="AO56" s="13"/>
      <c r="AP56" s="13" t="s">
        <v>196</v>
      </c>
      <c r="AQ56" s="16" t="n">
        <f aca="false">IFERROR(IF(AND(INDEX(Mob_Demob!$D$6:$D$14,MATCH(AM56,Mob_Demob!$A$6:$A$14,0))="",INDEX(Mob_Demob!$G$6:$G$14,MATCH(AM56,Mob_Demob!$A$6:$A$14,0))=""),"",ROUND(MAX(N(INDEX(Mob_Demob!$G$6:$G$14,MATCH(AM56,Mob_Demob!$A$6:$A$14,0))),N(INDEX(Mob_Demob!$D$6:$D$14,MATCH(AM56,Mob_Demob!$A$6:$A$14,0)))*Settings!$B$6)+IF(AP56="Y",N(INDEX(Mob_Demob!$I$6:$I$14,MATCH(AM56,Mob_Demob!$A$6:$A$14,0)))*Settings!$B$19,0)+N(INDEX(Mob_Demob!$L$6:$L$14,MATCH(AM56,Mob_Demob!$A$6:$A$14,0)))*N(INDEX(Mob_Demob!$K$6:$K$14,MATCH(AM56,Mob_Demob!$A$6:$A$14,0)))*Settings!$B$6+N(INDEX(Mob_Demob!$M$6:$M$14,MATCH(AM56,Mob_Demob!$A$6:$A$14,0)))*N(INDEX(Mob_Demob!$N$6:$N$14,MATCH(AM56,Mob_Demob!$A$6:$A$14,0))),0)),"")</f>
        <v>500</v>
      </c>
      <c r="AR56" s="16" t="n">
        <f aca="false">IF(AQ56="","",ROUND(AQ56*Settings!$B$18,0))</f>
        <v>500</v>
      </c>
      <c r="AS56" s="13" t="s">
        <v>610</v>
      </c>
      <c r="AT56" s="14" t="s">
        <v>315</v>
      </c>
      <c r="AU56" s="14" t="s">
        <v>199</v>
      </c>
    </row>
    <row r="57" customFormat="false" ht="53.7" hidden="false" customHeight="false" outlineLevel="0" collapsed="false">
      <c r="A57" s="11" t="s">
        <v>611</v>
      </c>
      <c r="B57" s="11" t="s">
        <v>176</v>
      </c>
      <c r="C57" s="11" t="s">
        <v>604</v>
      </c>
      <c r="D57" s="11" t="s">
        <v>612</v>
      </c>
      <c r="E57" s="12" t="s">
        <v>613</v>
      </c>
      <c r="F57" s="13" t="s">
        <v>478</v>
      </c>
      <c r="G57" s="13" t="n">
        <v>1</v>
      </c>
      <c r="H57" s="13" t="s">
        <v>479</v>
      </c>
      <c r="I57" s="14" t="s">
        <v>614</v>
      </c>
      <c r="J57" s="15" t="n">
        <v>12628</v>
      </c>
      <c r="K57" s="13" t="n">
        <v>74.7</v>
      </c>
      <c r="L57" s="13" t="s">
        <v>615</v>
      </c>
      <c r="M57" s="13"/>
      <c r="N57" s="13" t="s">
        <v>184</v>
      </c>
      <c r="O57" s="13" t="s">
        <v>336</v>
      </c>
      <c r="P57" s="13" t="s">
        <v>186</v>
      </c>
      <c r="Q57" s="20" t="n">
        <v>400</v>
      </c>
      <c r="R57" s="20" t="n">
        <v>1200</v>
      </c>
      <c r="S57" s="20" t="n">
        <v>3240</v>
      </c>
      <c r="T57" s="20" t="n">
        <v>3000</v>
      </c>
      <c r="U57" s="20" t="n">
        <v>5209</v>
      </c>
      <c r="V57" s="13" t="s">
        <v>187</v>
      </c>
      <c r="W57" s="17"/>
      <c r="X57" s="13"/>
      <c r="Y57" s="13" t="s">
        <v>566</v>
      </c>
      <c r="Z57" s="13" t="s">
        <v>212</v>
      </c>
      <c r="AA57" s="13" t="s">
        <v>213</v>
      </c>
      <c r="AB57" s="13" t="s">
        <v>616</v>
      </c>
      <c r="AC57" s="18" t="n">
        <v>58.08</v>
      </c>
      <c r="AD57" s="13" t="s">
        <v>190</v>
      </c>
      <c r="AE57" s="19" t="n">
        <v>0.57</v>
      </c>
      <c r="AF57" s="19" t="n">
        <v>0.75</v>
      </c>
      <c r="AG57" s="19" t="n">
        <v>0.92</v>
      </c>
      <c r="AH57" s="13" t="s">
        <v>617</v>
      </c>
      <c r="AI57" s="17" t="n">
        <f aca="false">IF(OR(AC57="",AF57="",Settings!$B$5=""),"",ROUND(AC57-AF57*Settings!$B$5,2))</f>
        <v>55.34</v>
      </c>
      <c r="AJ57" s="13" t="s">
        <v>192</v>
      </c>
      <c r="AK57" s="13" t="s">
        <v>193</v>
      </c>
      <c r="AL57" s="14" t="s">
        <v>557</v>
      </c>
      <c r="AM57" s="13" t="s">
        <v>195</v>
      </c>
      <c r="AN57" s="15" t="n">
        <v>12628</v>
      </c>
      <c r="AO57" s="13"/>
      <c r="AP57" s="13" t="s">
        <v>196</v>
      </c>
      <c r="AQ57" s="16" t="n">
        <f aca="false">IFERROR(IF(AND(INDEX(Mob_Demob!$D$6:$D$14,MATCH(AM57,Mob_Demob!$A$6:$A$14,0))="",INDEX(Mob_Demob!$G$6:$G$14,MATCH(AM57,Mob_Demob!$A$6:$A$14,0))=""),"",ROUND(MAX(N(INDEX(Mob_Demob!$G$6:$G$14,MATCH(AM57,Mob_Demob!$A$6:$A$14,0))),N(INDEX(Mob_Demob!$D$6:$D$14,MATCH(AM57,Mob_Demob!$A$6:$A$14,0)))*Settings!$B$6)+IF(AP57="Y",N(INDEX(Mob_Demob!$I$6:$I$14,MATCH(AM57,Mob_Demob!$A$6:$A$14,0)))*Settings!$B$19,0)+N(INDEX(Mob_Demob!$L$6:$L$14,MATCH(AM57,Mob_Demob!$A$6:$A$14,0)))*N(INDEX(Mob_Demob!$K$6:$K$14,MATCH(AM57,Mob_Demob!$A$6:$A$14,0)))*Settings!$B$6+N(INDEX(Mob_Demob!$M$6:$M$14,MATCH(AM57,Mob_Demob!$A$6:$A$14,0)))*N(INDEX(Mob_Demob!$N$6:$N$14,MATCH(AM57,Mob_Demob!$A$6:$A$14,0))),0)),"")</f>
        <v>500</v>
      </c>
      <c r="AR57" s="16" t="n">
        <f aca="false">IF(AQ57="","",ROUND(AQ57*Settings!$B$18,0))</f>
        <v>500</v>
      </c>
      <c r="AS57" s="13" t="s">
        <v>610</v>
      </c>
      <c r="AT57" s="14" t="s">
        <v>618</v>
      </c>
      <c r="AU57" s="14"/>
    </row>
    <row r="58" customFormat="false" ht="53.7" hidden="false" customHeight="false" outlineLevel="0" collapsed="false">
      <c r="A58" s="11" t="s">
        <v>619</v>
      </c>
      <c r="B58" s="11" t="s">
        <v>176</v>
      </c>
      <c r="C58" s="11" t="s">
        <v>604</v>
      </c>
      <c r="D58" s="11" t="s">
        <v>612</v>
      </c>
      <c r="E58" s="12" t="s">
        <v>620</v>
      </c>
      <c r="F58" s="13" t="s">
        <v>478</v>
      </c>
      <c r="G58" s="13" t="n">
        <v>2.25</v>
      </c>
      <c r="H58" s="13" t="s">
        <v>479</v>
      </c>
      <c r="I58" s="14" t="s">
        <v>621</v>
      </c>
      <c r="J58" s="15" t="n">
        <v>18102</v>
      </c>
      <c r="K58" s="13" t="n">
        <v>110</v>
      </c>
      <c r="L58" s="13" t="s">
        <v>622</v>
      </c>
      <c r="M58" s="13"/>
      <c r="N58" s="13" t="s">
        <v>184</v>
      </c>
      <c r="O58" s="13" t="s">
        <v>336</v>
      </c>
      <c r="P58" s="13" t="s">
        <v>186</v>
      </c>
      <c r="Q58" s="20" t="n">
        <v>675</v>
      </c>
      <c r="R58" s="20" t="n">
        <v>1925</v>
      </c>
      <c r="S58" s="20" t="n">
        <v>4900</v>
      </c>
      <c r="T58" s="20" t="n">
        <v>4230</v>
      </c>
      <c r="U58" s="20" t="n">
        <v>6956</v>
      </c>
      <c r="V58" s="13" t="s">
        <v>187</v>
      </c>
      <c r="W58" s="17"/>
      <c r="X58" s="13"/>
      <c r="Y58" s="13" t="s">
        <v>623</v>
      </c>
      <c r="Z58" s="13" t="s">
        <v>212</v>
      </c>
      <c r="AA58" s="13" t="s">
        <v>213</v>
      </c>
      <c r="AB58" s="13" t="s">
        <v>624</v>
      </c>
      <c r="AC58" s="18" t="n">
        <v>83.4</v>
      </c>
      <c r="AD58" s="13" t="s">
        <v>190</v>
      </c>
      <c r="AE58" s="19" t="n">
        <v>0.96</v>
      </c>
      <c r="AF58" s="19" t="n">
        <v>1.16</v>
      </c>
      <c r="AG58" s="19" t="n">
        <v>1.36</v>
      </c>
      <c r="AH58" s="13" t="s">
        <v>625</v>
      </c>
      <c r="AI58" s="17" t="n">
        <f aca="false">IF(OR(AC58="",AF58="",Settings!$B$5=""),"",ROUND(AC58-AF58*Settings!$B$5,2))</f>
        <v>79.15</v>
      </c>
      <c r="AJ58" s="13" t="s">
        <v>192</v>
      </c>
      <c r="AK58" s="13" t="s">
        <v>193</v>
      </c>
      <c r="AL58" s="14" t="s">
        <v>557</v>
      </c>
      <c r="AM58" s="13" t="s">
        <v>195</v>
      </c>
      <c r="AN58" s="15" t="n">
        <v>18102</v>
      </c>
      <c r="AO58" s="13"/>
      <c r="AP58" s="13" t="s">
        <v>196</v>
      </c>
      <c r="AQ58" s="16" t="n">
        <f aca="false">IFERROR(IF(AND(INDEX(Mob_Demob!$D$6:$D$14,MATCH(AM58,Mob_Demob!$A$6:$A$14,0))="",INDEX(Mob_Demob!$G$6:$G$14,MATCH(AM58,Mob_Demob!$A$6:$A$14,0))=""),"",ROUND(MAX(N(INDEX(Mob_Demob!$G$6:$G$14,MATCH(AM58,Mob_Demob!$A$6:$A$14,0))),N(INDEX(Mob_Demob!$D$6:$D$14,MATCH(AM58,Mob_Demob!$A$6:$A$14,0)))*Settings!$B$6)+IF(AP58="Y",N(INDEX(Mob_Demob!$I$6:$I$14,MATCH(AM58,Mob_Demob!$A$6:$A$14,0)))*Settings!$B$19,0)+N(INDEX(Mob_Demob!$L$6:$L$14,MATCH(AM58,Mob_Demob!$A$6:$A$14,0)))*N(INDEX(Mob_Demob!$K$6:$K$14,MATCH(AM58,Mob_Demob!$A$6:$A$14,0)))*Settings!$B$6+N(INDEX(Mob_Demob!$M$6:$M$14,MATCH(AM58,Mob_Demob!$A$6:$A$14,0)))*N(INDEX(Mob_Demob!$N$6:$N$14,MATCH(AM58,Mob_Demob!$A$6:$A$14,0))),0)),"")</f>
        <v>500</v>
      </c>
      <c r="AR58" s="16" t="n">
        <f aca="false">IF(AQ58="","",ROUND(AQ58*Settings!$B$18,0))</f>
        <v>500</v>
      </c>
      <c r="AS58" s="13" t="s">
        <v>610</v>
      </c>
      <c r="AT58" s="14" t="s">
        <v>626</v>
      </c>
      <c r="AU58" s="14"/>
    </row>
    <row r="59" customFormat="false" ht="53.7" hidden="false" customHeight="false" outlineLevel="0" collapsed="false">
      <c r="A59" s="11" t="s">
        <v>627</v>
      </c>
      <c r="B59" s="11" t="s">
        <v>176</v>
      </c>
      <c r="C59" s="11" t="s">
        <v>604</v>
      </c>
      <c r="D59" s="11" t="s">
        <v>628</v>
      </c>
      <c r="E59" s="12" t="s">
        <v>629</v>
      </c>
      <c r="F59" s="13" t="s">
        <v>478</v>
      </c>
      <c r="G59" s="13" t="n">
        <v>3</v>
      </c>
      <c r="H59" s="13" t="s">
        <v>479</v>
      </c>
      <c r="I59" s="14" t="s">
        <v>630</v>
      </c>
      <c r="J59" s="15" t="n">
        <v>27972</v>
      </c>
      <c r="K59" s="13" t="n">
        <v>170</v>
      </c>
      <c r="L59" s="13" t="s">
        <v>631</v>
      </c>
      <c r="M59" s="13"/>
      <c r="N59" s="13" t="s">
        <v>184</v>
      </c>
      <c r="O59" s="13" t="s">
        <v>185</v>
      </c>
      <c r="P59" s="13" t="s">
        <v>186</v>
      </c>
      <c r="Q59" s="20" t="n">
        <v>825</v>
      </c>
      <c r="R59" s="20" t="n">
        <v>2050</v>
      </c>
      <c r="S59" s="20" t="n">
        <v>5500</v>
      </c>
      <c r="T59" s="20" t="n">
        <v>5100</v>
      </c>
      <c r="U59" s="20" t="n">
        <v>8211</v>
      </c>
      <c r="V59" s="13" t="s">
        <v>187</v>
      </c>
      <c r="W59" s="17"/>
      <c r="X59" s="13"/>
      <c r="Y59" s="13" t="s">
        <v>426</v>
      </c>
      <c r="Z59" s="13" t="s">
        <v>212</v>
      </c>
      <c r="AA59" s="13" t="s">
        <v>213</v>
      </c>
      <c r="AB59" s="13" t="s">
        <v>632</v>
      </c>
      <c r="AC59" s="18" t="n">
        <v>116.74</v>
      </c>
      <c r="AD59" s="13" t="s">
        <v>190</v>
      </c>
      <c r="AE59" s="19" t="n">
        <v>1.72</v>
      </c>
      <c r="AF59" s="19" t="n">
        <v>2.11</v>
      </c>
      <c r="AG59" s="19" t="n">
        <v>2.51</v>
      </c>
      <c r="AH59" s="13" t="s">
        <v>633</v>
      </c>
      <c r="AI59" s="17" t="n">
        <f aca="false">IF(OR(AC59="",AF59="",Settings!$B$5=""),"",ROUND(AC59-AF59*Settings!$B$5,2))</f>
        <v>109.02</v>
      </c>
      <c r="AJ59" s="13" t="s">
        <v>192</v>
      </c>
      <c r="AK59" s="13" t="s">
        <v>193</v>
      </c>
      <c r="AL59" s="14" t="s">
        <v>557</v>
      </c>
      <c r="AM59" s="13" t="s">
        <v>216</v>
      </c>
      <c r="AN59" s="15" t="n">
        <v>27972</v>
      </c>
      <c r="AO59" s="13"/>
      <c r="AP59" s="13" t="s">
        <v>196</v>
      </c>
      <c r="AQ59" s="16" t="n">
        <f aca="false">IFERROR(IF(AND(INDEX(Mob_Demob!$D$6:$D$14,MATCH(AM59,Mob_Demob!$A$6:$A$14,0))="",INDEX(Mob_Demob!$G$6:$G$14,MATCH(AM59,Mob_Demob!$A$6:$A$14,0))=""),"",ROUND(MAX(N(INDEX(Mob_Demob!$G$6:$G$14,MATCH(AM59,Mob_Demob!$A$6:$A$14,0))),N(INDEX(Mob_Demob!$D$6:$D$14,MATCH(AM59,Mob_Demob!$A$6:$A$14,0)))*Settings!$B$6)+IF(AP59="Y",N(INDEX(Mob_Demob!$I$6:$I$14,MATCH(AM59,Mob_Demob!$A$6:$A$14,0)))*Settings!$B$19,0)+N(INDEX(Mob_Demob!$L$6:$L$14,MATCH(AM59,Mob_Demob!$A$6:$A$14,0)))*N(INDEX(Mob_Demob!$K$6:$K$14,MATCH(AM59,Mob_Demob!$A$6:$A$14,0)))*Settings!$B$6+N(INDEX(Mob_Demob!$M$6:$M$14,MATCH(AM59,Mob_Demob!$A$6:$A$14,0)))*N(INDEX(Mob_Demob!$N$6:$N$14,MATCH(AM59,Mob_Demob!$A$6:$A$14,0))),0)),"")</f>
        <v>550</v>
      </c>
      <c r="AR59" s="16" t="n">
        <f aca="false">IF(AQ59="","",ROUND(AQ59*Settings!$B$18,0))</f>
        <v>550</v>
      </c>
      <c r="AS59" s="13" t="s">
        <v>610</v>
      </c>
      <c r="AT59" s="14" t="s">
        <v>634</v>
      </c>
      <c r="AU59" s="14"/>
    </row>
    <row r="60" customFormat="false" ht="53.7" hidden="false" customHeight="false" outlineLevel="0" collapsed="false">
      <c r="A60" s="11" t="s">
        <v>635</v>
      </c>
      <c r="B60" s="11" t="s">
        <v>176</v>
      </c>
      <c r="C60" s="11" t="s">
        <v>604</v>
      </c>
      <c r="D60" s="11" t="s">
        <v>628</v>
      </c>
      <c r="E60" s="12" t="s">
        <v>636</v>
      </c>
      <c r="F60" s="13" t="s">
        <v>478</v>
      </c>
      <c r="G60" s="13" t="n">
        <v>3.8</v>
      </c>
      <c r="H60" s="13" t="s">
        <v>479</v>
      </c>
      <c r="I60" s="14" t="s">
        <v>637</v>
      </c>
      <c r="J60" s="15" t="n">
        <v>35528</v>
      </c>
      <c r="K60" s="13" t="n">
        <v>191</v>
      </c>
      <c r="L60" s="13" t="s">
        <v>638</v>
      </c>
      <c r="M60" s="13"/>
      <c r="N60" s="13" t="s">
        <v>184</v>
      </c>
      <c r="O60" s="13" t="s">
        <v>185</v>
      </c>
      <c r="P60" s="13" t="s">
        <v>186</v>
      </c>
      <c r="Q60" s="20" t="n">
        <v>1088</v>
      </c>
      <c r="R60" s="20" t="n">
        <v>2700</v>
      </c>
      <c r="S60" s="20" t="n">
        <v>7000</v>
      </c>
      <c r="T60" s="20" t="n">
        <v>5700</v>
      </c>
      <c r="U60" s="20" t="n">
        <v>9884</v>
      </c>
      <c r="V60" s="13" t="s">
        <v>187</v>
      </c>
      <c r="W60" s="17"/>
      <c r="X60" s="13"/>
      <c r="Y60" s="13" t="s">
        <v>426</v>
      </c>
      <c r="Z60" s="13" t="s">
        <v>212</v>
      </c>
      <c r="AA60" s="13" t="s">
        <v>213</v>
      </c>
      <c r="AB60" s="13" t="s">
        <v>639</v>
      </c>
      <c r="AC60" s="18" t="n">
        <v>116.87</v>
      </c>
      <c r="AD60" s="13" t="s">
        <v>190</v>
      </c>
      <c r="AE60" s="19" t="n">
        <v>1.9</v>
      </c>
      <c r="AF60" s="19" t="n">
        <v>2.36</v>
      </c>
      <c r="AG60" s="19" t="n">
        <v>2.82</v>
      </c>
      <c r="AH60" s="13" t="s">
        <v>640</v>
      </c>
      <c r="AI60" s="17" t="n">
        <f aca="false">IF(OR(AC60="",AF60="",Settings!$B$5=""),"",ROUND(AC60-AF60*Settings!$B$5,2))</f>
        <v>108.23</v>
      </c>
      <c r="AJ60" s="13" t="s">
        <v>192</v>
      </c>
      <c r="AK60" s="13" t="s">
        <v>193</v>
      </c>
      <c r="AL60" s="14" t="s">
        <v>557</v>
      </c>
      <c r="AM60" s="13" t="s">
        <v>216</v>
      </c>
      <c r="AN60" s="15" t="n">
        <v>35528</v>
      </c>
      <c r="AO60" s="13"/>
      <c r="AP60" s="13" t="s">
        <v>196</v>
      </c>
      <c r="AQ60" s="16" t="n">
        <f aca="false">IFERROR(IF(AND(INDEX(Mob_Demob!$D$6:$D$14,MATCH(AM60,Mob_Demob!$A$6:$A$14,0))="",INDEX(Mob_Demob!$G$6:$G$14,MATCH(AM60,Mob_Demob!$A$6:$A$14,0))=""),"",ROUND(MAX(N(INDEX(Mob_Demob!$G$6:$G$14,MATCH(AM60,Mob_Demob!$A$6:$A$14,0))),N(INDEX(Mob_Demob!$D$6:$D$14,MATCH(AM60,Mob_Demob!$A$6:$A$14,0)))*Settings!$B$6)+IF(AP60="Y",N(INDEX(Mob_Demob!$I$6:$I$14,MATCH(AM60,Mob_Demob!$A$6:$A$14,0)))*Settings!$B$19,0)+N(INDEX(Mob_Demob!$L$6:$L$14,MATCH(AM60,Mob_Demob!$A$6:$A$14,0)))*N(INDEX(Mob_Demob!$K$6:$K$14,MATCH(AM60,Mob_Demob!$A$6:$A$14,0)))*Settings!$B$6+N(INDEX(Mob_Demob!$M$6:$M$14,MATCH(AM60,Mob_Demob!$A$6:$A$14,0)))*N(INDEX(Mob_Demob!$N$6:$N$14,MATCH(AM60,Mob_Demob!$A$6:$A$14,0))),0)),"")</f>
        <v>550</v>
      </c>
      <c r="AR60" s="16" t="n">
        <f aca="false">IF(AQ60="","",ROUND(AQ60*Settings!$B$18,0))</f>
        <v>550</v>
      </c>
      <c r="AS60" s="13" t="s">
        <v>610</v>
      </c>
      <c r="AT60" s="14" t="s">
        <v>641</v>
      </c>
      <c r="AU60" s="14"/>
    </row>
    <row r="61" customFormat="false" ht="53.7" hidden="false" customHeight="false" outlineLevel="0" collapsed="false">
      <c r="A61" s="11" t="s">
        <v>642</v>
      </c>
      <c r="B61" s="11" t="s">
        <v>176</v>
      </c>
      <c r="C61" s="11" t="s">
        <v>604</v>
      </c>
      <c r="D61" s="11" t="s">
        <v>643</v>
      </c>
      <c r="E61" s="12" t="s">
        <v>644</v>
      </c>
      <c r="F61" s="13" t="s">
        <v>478</v>
      </c>
      <c r="G61" s="13" t="n">
        <v>4.5</v>
      </c>
      <c r="H61" s="13" t="s">
        <v>479</v>
      </c>
      <c r="I61" s="14" t="s">
        <v>645</v>
      </c>
      <c r="J61" s="15" t="n">
        <v>42461</v>
      </c>
      <c r="K61" s="13" t="n">
        <v>249</v>
      </c>
      <c r="L61" s="13" t="s">
        <v>646</v>
      </c>
      <c r="M61" s="13"/>
      <c r="N61" s="13" t="s">
        <v>184</v>
      </c>
      <c r="O61" s="13" t="s">
        <v>185</v>
      </c>
      <c r="P61" s="13" t="s">
        <v>186</v>
      </c>
      <c r="Q61" s="20" t="n">
        <v>1473</v>
      </c>
      <c r="R61" s="20" t="n">
        <v>4272</v>
      </c>
      <c r="S61" s="20" t="n">
        <v>12387</v>
      </c>
      <c r="T61" s="16"/>
      <c r="U61" s="16"/>
      <c r="V61" s="13" t="s">
        <v>187</v>
      </c>
      <c r="W61" s="17"/>
      <c r="X61" s="13"/>
      <c r="Y61" s="13" t="s">
        <v>259</v>
      </c>
      <c r="Z61" s="13" t="s">
        <v>260</v>
      </c>
      <c r="AA61" s="13" t="s">
        <v>192</v>
      </c>
      <c r="AB61" s="13" t="s">
        <v>647</v>
      </c>
      <c r="AC61" s="18" t="n">
        <v>139.8</v>
      </c>
      <c r="AD61" s="13" t="s">
        <v>190</v>
      </c>
      <c r="AE61" s="19" t="n">
        <v>2.38</v>
      </c>
      <c r="AF61" s="19" t="n">
        <v>3.02</v>
      </c>
      <c r="AG61" s="19" t="n">
        <v>3.66</v>
      </c>
      <c r="AH61" s="13" t="s">
        <v>648</v>
      </c>
      <c r="AI61" s="17" t="n">
        <f aca="false">IF(OR(AC61="",AF61="",Settings!$B$5=""),"",ROUND(AC61-AF61*Settings!$B$5,2))</f>
        <v>128.75</v>
      </c>
      <c r="AJ61" s="13" t="s">
        <v>192</v>
      </c>
      <c r="AK61" s="13" t="s">
        <v>193</v>
      </c>
      <c r="AL61" s="14" t="s">
        <v>557</v>
      </c>
      <c r="AM61" s="13" t="s">
        <v>216</v>
      </c>
      <c r="AN61" s="15" t="n">
        <v>42461</v>
      </c>
      <c r="AO61" s="13"/>
      <c r="AP61" s="13" t="s">
        <v>196</v>
      </c>
      <c r="AQ61" s="16" t="n">
        <f aca="false">IFERROR(IF(AND(INDEX(Mob_Demob!$D$6:$D$14,MATCH(AM61,Mob_Demob!$A$6:$A$14,0))="",INDEX(Mob_Demob!$G$6:$G$14,MATCH(AM61,Mob_Demob!$A$6:$A$14,0))=""),"",ROUND(MAX(N(INDEX(Mob_Demob!$G$6:$G$14,MATCH(AM61,Mob_Demob!$A$6:$A$14,0))),N(INDEX(Mob_Demob!$D$6:$D$14,MATCH(AM61,Mob_Demob!$A$6:$A$14,0)))*Settings!$B$6)+IF(AP61="Y",N(INDEX(Mob_Demob!$I$6:$I$14,MATCH(AM61,Mob_Demob!$A$6:$A$14,0)))*Settings!$B$19,0)+N(INDEX(Mob_Demob!$L$6:$L$14,MATCH(AM61,Mob_Demob!$A$6:$A$14,0)))*N(INDEX(Mob_Demob!$K$6:$K$14,MATCH(AM61,Mob_Demob!$A$6:$A$14,0)))*Settings!$B$6+N(INDEX(Mob_Demob!$M$6:$M$14,MATCH(AM61,Mob_Demob!$A$6:$A$14,0)))*N(INDEX(Mob_Demob!$N$6:$N$14,MATCH(AM61,Mob_Demob!$A$6:$A$14,0))),0)),"")</f>
        <v>550</v>
      </c>
      <c r="AR61" s="16" t="n">
        <f aca="false">IF(AQ61="","",ROUND(AQ61*Settings!$B$18,0))</f>
        <v>550</v>
      </c>
      <c r="AS61" s="13" t="s">
        <v>610</v>
      </c>
      <c r="AT61" s="14" t="s">
        <v>649</v>
      </c>
      <c r="AU61" s="14"/>
    </row>
    <row r="62" customFormat="false" ht="53.7" hidden="false" customHeight="false" outlineLevel="0" collapsed="false">
      <c r="A62" s="11" t="s">
        <v>650</v>
      </c>
      <c r="B62" s="11" t="s">
        <v>176</v>
      </c>
      <c r="C62" s="11" t="s">
        <v>604</v>
      </c>
      <c r="D62" s="11" t="s">
        <v>643</v>
      </c>
      <c r="E62" s="12" t="s">
        <v>651</v>
      </c>
      <c r="F62" s="13" t="s">
        <v>478</v>
      </c>
      <c r="G62" s="13" t="n">
        <v>5.25</v>
      </c>
      <c r="H62" s="13" t="s">
        <v>479</v>
      </c>
      <c r="I62" s="14" t="s">
        <v>652</v>
      </c>
      <c r="J62" s="15" t="n">
        <v>51124</v>
      </c>
      <c r="K62" s="13" t="n">
        <v>321</v>
      </c>
      <c r="L62" s="13" t="s">
        <v>653</v>
      </c>
      <c r="M62" s="13"/>
      <c r="N62" s="13" t="s">
        <v>184</v>
      </c>
      <c r="O62" s="13" t="s">
        <v>185</v>
      </c>
      <c r="P62" s="13" t="s">
        <v>186</v>
      </c>
      <c r="Q62" s="20" t="n">
        <v>2085</v>
      </c>
      <c r="R62" s="20" t="n">
        <v>6046</v>
      </c>
      <c r="S62" s="20" t="n">
        <v>17533</v>
      </c>
      <c r="T62" s="16"/>
      <c r="U62" s="16"/>
      <c r="V62" s="13" t="s">
        <v>187</v>
      </c>
      <c r="W62" s="17"/>
      <c r="X62" s="13"/>
      <c r="Y62" s="13" t="s">
        <v>259</v>
      </c>
      <c r="Z62" s="13" t="s">
        <v>260</v>
      </c>
      <c r="AA62" s="13" t="s">
        <v>192</v>
      </c>
      <c r="AB62" s="13" t="s">
        <v>654</v>
      </c>
      <c r="AC62" s="18" t="n">
        <v>163.2</v>
      </c>
      <c r="AD62" s="13" t="s">
        <v>190</v>
      </c>
      <c r="AE62" s="19" t="n">
        <v>3.08</v>
      </c>
      <c r="AF62" s="19" t="n">
        <v>3.88</v>
      </c>
      <c r="AG62" s="19" t="n">
        <v>4.69</v>
      </c>
      <c r="AH62" s="13" t="s">
        <v>655</v>
      </c>
      <c r="AI62" s="17" t="n">
        <f aca="false">IF(OR(AC62="",AF62="",Settings!$B$5=""),"",ROUND(AC62-AF62*Settings!$B$5,2))</f>
        <v>149</v>
      </c>
      <c r="AJ62" s="13" t="s">
        <v>192</v>
      </c>
      <c r="AK62" s="13" t="s">
        <v>193</v>
      </c>
      <c r="AL62" s="14" t="s">
        <v>557</v>
      </c>
      <c r="AM62" s="13" t="s">
        <v>216</v>
      </c>
      <c r="AN62" s="15" t="n">
        <v>51124</v>
      </c>
      <c r="AO62" s="13"/>
      <c r="AP62" s="13" t="s">
        <v>241</v>
      </c>
      <c r="AQ62" s="16" t="n">
        <f aca="false">IFERROR(IF(AND(INDEX(Mob_Demob!$D$6:$D$14,MATCH(AM62,Mob_Demob!$A$6:$A$14,0))="",INDEX(Mob_Demob!$G$6:$G$14,MATCH(AM62,Mob_Demob!$A$6:$A$14,0))=""),"",ROUND(MAX(N(INDEX(Mob_Demob!$G$6:$G$14,MATCH(AM62,Mob_Demob!$A$6:$A$14,0))),N(INDEX(Mob_Demob!$D$6:$D$14,MATCH(AM62,Mob_Demob!$A$6:$A$14,0)))*Settings!$B$6)+IF(AP62="Y",N(INDEX(Mob_Demob!$I$6:$I$14,MATCH(AM62,Mob_Demob!$A$6:$A$14,0)))*Settings!$B$19,0)+N(INDEX(Mob_Demob!$L$6:$L$14,MATCH(AM62,Mob_Demob!$A$6:$A$14,0)))*N(INDEX(Mob_Demob!$K$6:$K$14,MATCH(AM62,Mob_Demob!$A$6:$A$14,0)))*Settings!$B$6+N(INDEX(Mob_Demob!$M$6:$M$14,MATCH(AM62,Mob_Demob!$A$6:$A$14,0)))*N(INDEX(Mob_Demob!$N$6:$N$14,MATCH(AM62,Mob_Demob!$A$6:$A$14,0))),0)),"")</f>
        <v>550</v>
      </c>
      <c r="AR62" s="16" t="n">
        <f aca="false">IF(AQ62="","",ROUND(AQ62*Settings!$B$18,0))</f>
        <v>550</v>
      </c>
      <c r="AS62" s="13" t="s">
        <v>610</v>
      </c>
      <c r="AT62" s="14" t="s">
        <v>656</v>
      </c>
      <c r="AU62" s="14"/>
    </row>
    <row r="63" customFormat="false" ht="53.7" hidden="false" customHeight="false" outlineLevel="0" collapsed="false">
      <c r="A63" s="11" t="s">
        <v>657</v>
      </c>
      <c r="B63" s="11" t="s">
        <v>176</v>
      </c>
      <c r="C63" s="11" t="s">
        <v>604</v>
      </c>
      <c r="D63" s="11" t="s">
        <v>643</v>
      </c>
      <c r="E63" s="12" t="s">
        <v>658</v>
      </c>
      <c r="F63" s="13" t="s">
        <v>180</v>
      </c>
      <c r="G63" s="13" t="n">
        <v>339</v>
      </c>
      <c r="H63" s="13" t="s">
        <v>181</v>
      </c>
      <c r="I63" s="14" t="s">
        <v>659</v>
      </c>
      <c r="J63" s="15" t="n">
        <v>54858</v>
      </c>
      <c r="K63" s="13" t="n">
        <v>339</v>
      </c>
      <c r="L63" s="13"/>
      <c r="M63" s="13"/>
      <c r="N63" s="13" t="s">
        <v>184</v>
      </c>
      <c r="O63" s="13" t="s">
        <v>185</v>
      </c>
      <c r="P63" s="13" t="s">
        <v>186</v>
      </c>
      <c r="Q63" s="20" t="n">
        <v>2236</v>
      </c>
      <c r="R63" s="20" t="n">
        <v>6484</v>
      </c>
      <c r="S63" s="20" t="n">
        <v>18803</v>
      </c>
      <c r="T63" s="16"/>
      <c r="U63" s="16"/>
      <c r="V63" s="13" t="s">
        <v>187</v>
      </c>
      <c r="W63" s="17"/>
      <c r="X63" s="13"/>
      <c r="Y63" s="13" t="s">
        <v>259</v>
      </c>
      <c r="Z63" s="13" t="s">
        <v>260</v>
      </c>
      <c r="AA63" s="13" t="s">
        <v>192</v>
      </c>
      <c r="AB63" s="13" t="s">
        <v>660</v>
      </c>
      <c r="AC63" s="18" t="n">
        <v>188.93</v>
      </c>
      <c r="AD63" s="13" t="s">
        <v>190</v>
      </c>
      <c r="AE63" s="19" t="n">
        <v>3.3</v>
      </c>
      <c r="AF63" s="19" t="n">
        <v>4.18</v>
      </c>
      <c r="AG63" s="19" t="n">
        <v>5.06</v>
      </c>
      <c r="AH63" s="13" t="s">
        <v>661</v>
      </c>
      <c r="AI63" s="17" t="n">
        <f aca="false">IF(OR(AC63="",AF63="",Settings!$B$5=""),"",ROUND(AC63-AF63*Settings!$B$5,2))</f>
        <v>173.63</v>
      </c>
      <c r="AJ63" s="13" t="s">
        <v>192</v>
      </c>
      <c r="AK63" s="13" t="s">
        <v>193</v>
      </c>
      <c r="AL63" s="14" t="s">
        <v>557</v>
      </c>
      <c r="AM63" s="13" t="s">
        <v>216</v>
      </c>
      <c r="AN63" s="15" t="n">
        <v>54858</v>
      </c>
      <c r="AO63" s="13"/>
      <c r="AP63" s="13" t="s">
        <v>241</v>
      </c>
      <c r="AQ63" s="16" t="n">
        <f aca="false">IFERROR(IF(AND(INDEX(Mob_Demob!$D$6:$D$14,MATCH(AM63,Mob_Demob!$A$6:$A$14,0))="",INDEX(Mob_Demob!$G$6:$G$14,MATCH(AM63,Mob_Demob!$A$6:$A$14,0))=""),"",ROUND(MAX(N(INDEX(Mob_Demob!$G$6:$G$14,MATCH(AM63,Mob_Demob!$A$6:$A$14,0))),N(INDEX(Mob_Demob!$D$6:$D$14,MATCH(AM63,Mob_Demob!$A$6:$A$14,0)))*Settings!$B$6)+IF(AP63="Y",N(INDEX(Mob_Demob!$I$6:$I$14,MATCH(AM63,Mob_Demob!$A$6:$A$14,0)))*Settings!$B$19,0)+N(INDEX(Mob_Demob!$L$6:$L$14,MATCH(AM63,Mob_Demob!$A$6:$A$14,0)))*N(INDEX(Mob_Demob!$K$6:$K$14,MATCH(AM63,Mob_Demob!$A$6:$A$14,0)))*Settings!$B$6+N(INDEX(Mob_Demob!$M$6:$M$14,MATCH(AM63,Mob_Demob!$A$6:$A$14,0)))*N(INDEX(Mob_Demob!$N$6:$N$14,MATCH(AM63,Mob_Demob!$A$6:$A$14,0))),0)),"")</f>
        <v>550</v>
      </c>
      <c r="AR63" s="16" t="n">
        <f aca="false">IF(AQ63="","",ROUND(AQ63*Settings!$B$18,0))</f>
        <v>550</v>
      </c>
      <c r="AS63" s="13" t="s">
        <v>610</v>
      </c>
      <c r="AT63" s="14" t="s">
        <v>662</v>
      </c>
      <c r="AU63" s="14"/>
    </row>
    <row r="64" customFormat="false" ht="53.7" hidden="false" customHeight="false" outlineLevel="0" collapsed="false">
      <c r="A64" s="11" t="s">
        <v>663</v>
      </c>
      <c r="B64" s="11" t="s">
        <v>176</v>
      </c>
      <c r="C64" s="11" t="s">
        <v>604</v>
      </c>
      <c r="D64" s="11" t="s">
        <v>643</v>
      </c>
      <c r="E64" s="12" t="s">
        <v>664</v>
      </c>
      <c r="F64" s="13" t="s">
        <v>180</v>
      </c>
      <c r="G64" s="13" t="n">
        <v>420</v>
      </c>
      <c r="H64" s="13" t="s">
        <v>181</v>
      </c>
      <c r="I64" s="14" t="s">
        <v>665</v>
      </c>
      <c r="J64" s="15" t="n">
        <v>65610</v>
      </c>
      <c r="K64" s="13" t="n">
        <v>393</v>
      </c>
      <c r="L64" s="13" t="s">
        <v>666</v>
      </c>
      <c r="M64" s="13"/>
      <c r="N64" s="13" t="s">
        <v>184</v>
      </c>
      <c r="O64" s="13" t="s">
        <v>185</v>
      </c>
      <c r="P64" s="13" t="s">
        <v>186</v>
      </c>
      <c r="Q64" s="20" t="n">
        <v>2719</v>
      </c>
      <c r="R64" s="20" t="n">
        <v>7886</v>
      </c>
      <c r="S64" s="20" t="n">
        <v>22869</v>
      </c>
      <c r="T64" s="16"/>
      <c r="U64" s="16"/>
      <c r="V64" s="13" t="s">
        <v>187</v>
      </c>
      <c r="W64" s="17"/>
      <c r="X64" s="13"/>
      <c r="Y64" s="13" t="s">
        <v>259</v>
      </c>
      <c r="Z64" s="13" t="s">
        <v>260</v>
      </c>
      <c r="AA64" s="13" t="s">
        <v>192</v>
      </c>
      <c r="AB64" s="13"/>
      <c r="AC64" s="17" t="n">
        <f aca="false">ROUND(AC63+(AC67-AC63)*(K64-K63)/(K67-K63),2)</f>
        <v>223.06</v>
      </c>
      <c r="AD64" s="13" t="s">
        <v>205</v>
      </c>
      <c r="AE64" s="19" t="n">
        <v>4.07</v>
      </c>
      <c r="AF64" s="19" t="n">
        <v>5.19</v>
      </c>
      <c r="AG64" s="19" t="n">
        <v>6.32</v>
      </c>
      <c r="AH64" s="13" t="s">
        <v>667</v>
      </c>
      <c r="AI64" s="17" t="n">
        <f aca="false">IF(OR(AC64="",AF64="",Settings!$B$5=""),"",ROUND(AC64-AF64*Settings!$B$5,2))</f>
        <v>204.06</v>
      </c>
      <c r="AJ64" s="13" t="s">
        <v>193</v>
      </c>
      <c r="AK64" s="13" t="s">
        <v>193</v>
      </c>
      <c r="AL64" s="14" t="s">
        <v>557</v>
      </c>
      <c r="AM64" s="13" t="s">
        <v>216</v>
      </c>
      <c r="AN64" s="15" t="n">
        <v>65610</v>
      </c>
      <c r="AO64" s="13"/>
      <c r="AP64" s="13" t="s">
        <v>241</v>
      </c>
      <c r="AQ64" s="16" t="n">
        <f aca="false">IFERROR(IF(AND(INDEX(Mob_Demob!$D$6:$D$14,MATCH(AM64,Mob_Demob!$A$6:$A$14,0))="",INDEX(Mob_Demob!$G$6:$G$14,MATCH(AM64,Mob_Demob!$A$6:$A$14,0))=""),"",ROUND(MAX(N(INDEX(Mob_Demob!$G$6:$G$14,MATCH(AM64,Mob_Demob!$A$6:$A$14,0))),N(INDEX(Mob_Demob!$D$6:$D$14,MATCH(AM64,Mob_Demob!$A$6:$A$14,0)))*Settings!$B$6)+IF(AP64="Y",N(INDEX(Mob_Demob!$I$6:$I$14,MATCH(AM64,Mob_Demob!$A$6:$A$14,0)))*Settings!$B$19,0)+N(INDEX(Mob_Demob!$L$6:$L$14,MATCH(AM64,Mob_Demob!$A$6:$A$14,0)))*N(INDEX(Mob_Demob!$K$6:$K$14,MATCH(AM64,Mob_Demob!$A$6:$A$14,0)))*Settings!$B$6+N(INDEX(Mob_Demob!$M$6:$M$14,MATCH(AM64,Mob_Demob!$A$6:$A$14,0)))*N(INDEX(Mob_Demob!$N$6:$N$14,MATCH(AM64,Mob_Demob!$A$6:$A$14,0))),0)),"")</f>
        <v>550</v>
      </c>
      <c r="AR64" s="16" t="n">
        <f aca="false">IF(AQ64="","",ROUND(AQ64*Settings!$B$18,0))</f>
        <v>550</v>
      </c>
      <c r="AS64" s="13" t="s">
        <v>610</v>
      </c>
      <c r="AT64" s="14" t="s">
        <v>668</v>
      </c>
      <c r="AU64" s="14"/>
    </row>
    <row r="65" customFormat="false" ht="53.7" hidden="false" customHeight="false" outlineLevel="0" collapsed="false">
      <c r="A65" s="11" t="s">
        <v>669</v>
      </c>
      <c r="B65" s="11" t="s">
        <v>176</v>
      </c>
      <c r="C65" s="11" t="s">
        <v>604</v>
      </c>
      <c r="D65" s="11" t="s">
        <v>643</v>
      </c>
      <c r="E65" s="12" t="s">
        <v>670</v>
      </c>
      <c r="F65" s="13" t="s">
        <v>180</v>
      </c>
      <c r="G65" s="13" t="n">
        <v>432</v>
      </c>
      <c r="H65" s="13" t="s">
        <v>181</v>
      </c>
      <c r="I65" s="14" t="s">
        <v>671</v>
      </c>
      <c r="J65" s="15" t="n">
        <v>78264</v>
      </c>
      <c r="K65" s="13" t="n">
        <v>432</v>
      </c>
      <c r="L65" s="13"/>
      <c r="M65" s="13"/>
      <c r="N65" s="13" t="s">
        <v>184</v>
      </c>
      <c r="O65" s="13" t="s">
        <v>185</v>
      </c>
      <c r="P65" s="13" t="s">
        <v>186</v>
      </c>
      <c r="Q65" s="16"/>
      <c r="R65" s="16"/>
      <c r="S65" s="16"/>
      <c r="T65" s="16"/>
      <c r="U65" s="16"/>
      <c r="V65" s="13" t="s">
        <v>187</v>
      </c>
      <c r="W65" s="17"/>
      <c r="X65" s="13"/>
      <c r="Y65" s="13"/>
      <c r="Z65" s="13"/>
      <c r="AA65" s="13" t="s">
        <v>188</v>
      </c>
      <c r="AB65" s="13"/>
      <c r="AC65" s="17" t="n">
        <f aca="false">ROUND(AC63+(AC67-AC63)*(K65-K63)/(K67-K63),2)</f>
        <v>247.71</v>
      </c>
      <c r="AD65" s="13" t="s">
        <v>205</v>
      </c>
      <c r="AE65" s="19" t="n">
        <v>4.49</v>
      </c>
      <c r="AF65" s="19" t="n">
        <v>5.77</v>
      </c>
      <c r="AG65" s="19" t="n">
        <v>7.04</v>
      </c>
      <c r="AH65" s="13" t="s">
        <v>672</v>
      </c>
      <c r="AI65" s="17" t="n">
        <f aca="false">IF(OR(AC65="",AF65="",Settings!$B$5=""),"",ROUND(AC65-AF65*Settings!$B$5,2))</f>
        <v>226.59</v>
      </c>
      <c r="AJ65" s="13" t="s">
        <v>193</v>
      </c>
      <c r="AK65" s="13" t="s">
        <v>193</v>
      </c>
      <c r="AL65" s="14" t="s">
        <v>557</v>
      </c>
      <c r="AM65" s="13" t="s">
        <v>268</v>
      </c>
      <c r="AN65" s="15" t="n">
        <v>78264</v>
      </c>
      <c r="AO65" s="13"/>
      <c r="AP65" s="13" t="s">
        <v>269</v>
      </c>
      <c r="AQ65" s="16" t="n">
        <f aca="false">IFERROR(IF(AND(INDEX(Mob_Demob!$D$6:$D$14,MATCH(AM65,Mob_Demob!$A$6:$A$14,0))="",INDEX(Mob_Demob!$G$6:$G$14,MATCH(AM65,Mob_Demob!$A$6:$A$14,0))=""),"",ROUND(MAX(N(INDEX(Mob_Demob!$G$6:$G$14,MATCH(AM65,Mob_Demob!$A$6:$A$14,0))),N(INDEX(Mob_Demob!$D$6:$D$14,MATCH(AM65,Mob_Demob!$A$6:$A$14,0)))*Settings!$B$6)+IF(AP65="Y",N(INDEX(Mob_Demob!$I$6:$I$14,MATCH(AM65,Mob_Demob!$A$6:$A$14,0)))*Settings!$B$19,0)+N(INDEX(Mob_Demob!$L$6:$L$14,MATCH(AM65,Mob_Demob!$A$6:$A$14,0)))*N(INDEX(Mob_Demob!$K$6:$K$14,MATCH(AM65,Mob_Demob!$A$6:$A$14,0)))*Settings!$B$6+N(INDEX(Mob_Demob!$M$6:$M$14,MATCH(AM65,Mob_Demob!$A$6:$A$14,0)))*N(INDEX(Mob_Demob!$N$6:$N$14,MATCH(AM65,Mob_Demob!$A$6:$A$14,0))),0)),"")</f>
        <v>1800</v>
      </c>
      <c r="AR65" s="16" t="n">
        <f aca="false">IF(AQ65="","",ROUND(AQ65*Settings!$B$18,0))</f>
        <v>1800</v>
      </c>
      <c r="AS65" s="13" t="s">
        <v>673</v>
      </c>
      <c r="AT65" s="14" t="s">
        <v>674</v>
      </c>
      <c r="AU65" s="14" t="s">
        <v>199</v>
      </c>
    </row>
    <row r="66" customFormat="false" ht="53.7" hidden="false" customHeight="false" outlineLevel="0" collapsed="false">
      <c r="A66" s="11" t="s">
        <v>675</v>
      </c>
      <c r="B66" s="11" t="s">
        <v>176</v>
      </c>
      <c r="C66" s="11" t="s">
        <v>604</v>
      </c>
      <c r="D66" s="11" t="s">
        <v>676</v>
      </c>
      <c r="E66" s="12" t="s">
        <v>677</v>
      </c>
      <c r="F66" s="13" t="s">
        <v>180</v>
      </c>
      <c r="G66" s="13" t="n">
        <v>449</v>
      </c>
      <c r="H66" s="13" t="s">
        <v>181</v>
      </c>
      <c r="I66" s="14" t="s">
        <v>678</v>
      </c>
      <c r="J66" s="15" t="n">
        <v>97785</v>
      </c>
      <c r="K66" s="13" t="n">
        <v>449</v>
      </c>
      <c r="L66" s="13" t="s">
        <v>679</v>
      </c>
      <c r="M66" s="13"/>
      <c r="N66" s="13" t="s">
        <v>184</v>
      </c>
      <c r="O66" s="13" t="s">
        <v>185</v>
      </c>
      <c r="P66" s="13" t="s">
        <v>186</v>
      </c>
      <c r="Q66" s="16"/>
      <c r="R66" s="16"/>
      <c r="S66" s="16"/>
      <c r="T66" s="16"/>
      <c r="U66" s="16"/>
      <c r="V66" s="13" t="s">
        <v>187</v>
      </c>
      <c r="W66" s="17"/>
      <c r="X66" s="13"/>
      <c r="Y66" s="13"/>
      <c r="Z66" s="13"/>
      <c r="AA66" s="13" t="s">
        <v>188</v>
      </c>
      <c r="AB66" s="13"/>
      <c r="AC66" s="17" t="n">
        <f aca="false">ROUND(AC63+(AC67-AC63)*(K66-K63)/(K67-K63),2)</f>
        <v>258.45</v>
      </c>
      <c r="AD66" s="13" t="s">
        <v>205</v>
      </c>
      <c r="AE66" s="19" t="n">
        <f aca="false">ROUND(K66*Settings!$B$11*Settings!$B$13,2)</f>
        <v>7.64</v>
      </c>
      <c r="AF66" s="19" t="n">
        <f aca="false">ROUND(K66*Settings!$B$11*Settings!$B$14,2)</f>
        <v>10.04</v>
      </c>
      <c r="AG66" s="19" t="n">
        <f aca="false">ROUND(K66*Settings!$B$11*Settings!$B$15,2)</f>
        <v>13.09</v>
      </c>
      <c r="AH66" s="13" t="s">
        <v>191</v>
      </c>
      <c r="AI66" s="17" t="n">
        <f aca="false">IF(OR(AC66="",AF66="",Settings!$B$5=""),"",ROUND(AC66-AF66*Settings!$B$5,2))</f>
        <v>221.7</v>
      </c>
      <c r="AJ66" s="13" t="s">
        <v>193</v>
      </c>
      <c r="AK66" s="13" t="s">
        <v>193</v>
      </c>
      <c r="AL66" s="14" t="s">
        <v>557</v>
      </c>
      <c r="AM66" s="13" t="s">
        <v>268</v>
      </c>
      <c r="AN66" s="15" t="n">
        <v>97785</v>
      </c>
      <c r="AO66" s="13"/>
      <c r="AP66" s="13" t="s">
        <v>269</v>
      </c>
      <c r="AQ66" s="16" t="n">
        <f aca="false">IFERROR(IF(AND(INDEX(Mob_Demob!$D$6:$D$14,MATCH(AM66,Mob_Demob!$A$6:$A$14,0))="",INDEX(Mob_Demob!$G$6:$G$14,MATCH(AM66,Mob_Demob!$A$6:$A$14,0))=""),"",ROUND(MAX(N(INDEX(Mob_Demob!$G$6:$G$14,MATCH(AM66,Mob_Demob!$A$6:$A$14,0))),N(INDEX(Mob_Demob!$D$6:$D$14,MATCH(AM66,Mob_Demob!$A$6:$A$14,0)))*Settings!$B$6)+IF(AP66="Y",N(INDEX(Mob_Demob!$I$6:$I$14,MATCH(AM66,Mob_Demob!$A$6:$A$14,0)))*Settings!$B$19,0)+N(INDEX(Mob_Demob!$L$6:$L$14,MATCH(AM66,Mob_Demob!$A$6:$A$14,0)))*N(INDEX(Mob_Demob!$K$6:$K$14,MATCH(AM66,Mob_Demob!$A$6:$A$14,0)))*Settings!$B$6+N(INDEX(Mob_Demob!$M$6:$M$14,MATCH(AM66,Mob_Demob!$A$6:$A$14,0)))*N(INDEX(Mob_Demob!$N$6:$N$14,MATCH(AM66,Mob_Demob!$A$6:$A$14,0))),0)),"")</f>
        <v>1800</v>
      </c>
      <c r="AR66" s="16" t="n">
        <f aca="false">IF(AQ66="","",ROUND(AQ66*Settings!$B$18,0))</f>
        <v>1800</v>
      </c>
      <c r="AS66" s="13" t="s">
        <v>673</v>
      </c>
      <c r="AT66" s="14" t="s">
        <v>680</v>
      </c>
      <c r="AU66" s="14" t="s">
        <v>681</v>
      </c>
    </row>
    <row r="67" customFormat="false" ht="53.7" hidden="false" customHeight="false" outlineLevel="0" collapsed="false">
      <c r="A67" s="11" t="s">
        <v>682</v>
      </c>
      <c r="B67" s="11" t="s">
        <v>176</v>
      </c>
      <c r="C67" s="11" t="s">
        <v>604</v>
      </c>
      <c r="D67" s="11" t="s">
        <v>676</v>
      </c>
      <c r="E67" s="12" t="s">
        <v>683</v>
      </c>
      <c r="F67" s="13" t="s">
        <v>180</v>
      </c>
      <c r="G67" s="13" t="n">
        <v>580</v>
      </c>
      <c r="H67" s="13" t="s">
        <v>181</v>
      </c>
      <c r="I67" s="14" t="s">
        <v>684</v>
      </c>
      <c r="J67" s="15" t="n">
        <v>112574</v>
      </c>
      <c r="K67" s="13" t="n">
        <v>580</v>
      </c>
      <c r="L67" s="13" t="s">
        <v>685</v>
      </c>
      <c r="M67" s="13"/>
      <c r="N67" s="13" t="s">
        <v>184</v>
      </c>
      <c r="O67" s="13" t="s">
        <v>185</v>
      </c>
      <c r="P67" s="13" t="s">
        <v>186</v>
      </c>
      <c r="Q67" s="16"/>
      <c r="R67" s="16"/>
      <c r="S67" s="16"/>
      <c r="T67" s="16"/>
      <c r="U67" s="16"/>
      <c r="V67" s="13" t="s">
        <v>187</v>
      </c>
      <c r="W67" s="17"/>
      <c r="X67" s="13"/>
      <c r="Y67" s="13"/>
      <c r="Z67" s="13"/>
      <c r="AA67" s="13" t="s">
        <v>188</v>
      </c>
      <c r="AB67" s="13" t="s">
        <v>686</v>
      </c>
      <c r="AC67" s="18" t="n">
        <v>341.25</v>
      </c>
      <c r="AD67" s="13" t="s">
        <v>190</v>
      </c>
      <c r="AE67" s="19" t="n">
        <v>6.76</v>
      </c>
      <c r="AF67" s="19" t="n">
        <v>8.62</v>
      </c>
      <c r="AG67" s="19" t="n">
        <v>10.48</v>
      </c>
      <c r="AH67" s="13" t="s">
        <v>687</v>
      </c>
      <c r="AI67" s="17" t="n">
        <f aca="false">IF(OR(AC67="",AF67="",Settings!$B$5=""),"",ROUND(AC67-AF67*Settings!$B$5,2))</f>
        <v>309.7</v>
      </c>
      <c r="AJ67" s="13" t="s">
        <v>192</v>
      </c>
      <c r="AK67" s="13" t="s">
        <v>193</v>
      </c>
      <c r="AL67" s="14" t="s">
        <v>557</v>
      </c>
      <c r="AM67" s="13" t="s">
        <v>286</v>
      </c>
      <c r="AN67" s="15" t="n">
        <v>112574</v>
      </c>
      <c r="AO67" s="13"/>
      <c r="AP67" s="13" t="s">
        <v>269</v>
      </c>
      <c r="AQ67" s="16" t="n">
        <f aca="false">IFERROR(IF(AND(INDEX(Mob_Demob!$D$6:$D$14,MATCH(AM67,Mob_Demob!$A$6:$A$14,0))="",INDEX(Mob_Demob!$G$6:$G$14,MATCH(AM67,Mob_Demob!$A$6:$A$14,0))=""),"",ROUND(MAX(N(INDEX(Mob_Demob!$G$6:$G$14,MATCH(AM67,Mob_Demob!$A$6:$A$14,0))),N(INDEX(Mob_Demob!$D$6:$D$14,MATCH(AM67,Mob_Demob!$A$6:$A$14,0)))*Settings!$B$6)+IF(AP67="Y",N(INDEX(Mob_Demob!$I$6:$I$14,MATCH(AM67,Mob_Demob!$A$6:$A$14,0)))*Settings!$B$19,0)+N(INDEX(Mob_Demob!$L$6:$L$14,MATCH(AM67,Mob_Demob!$A$6:$A$14,0)))*N(INDEX(Mob_Demob!$K$6:$K$14,MATCH(AM67,Mob_Demob!$A$6:$A$14,0)))*Settings!$B$6+N(INDEX(Mob_Demob!$M$6:$M$14,MATCH(AM67,Mob_Demob!$A$6:$A$14,0)))*N(INDEX(Mob_Demob!$N$6:$N$14,MATCH(AM67,Mob_Demob!$A$6:$A$14,0))),0)),"")</f>
        <v>1913</v>
      </c>
      <c r="AR67" s="16" t="n">
        <f aca="false">IF(AQ67="","",ROUND(AQ67*Settings!$B$18,0))</f>
        <v>1913</v>
      </c>
      <c r="AS67" s="13" t="s">
        <v>673</v>
      </c>
      <c r="AT67" s="14" t="s">
        <v>688</v>
      </c>
      <c r="AU67" s="14" t="s">
        <v>199</v>
      </c>
    </row>
    <row r="68" customFormat="false" ht="53.7" hidden="false" customHeight="false" outlineLevel="0" collapsed="false">
      <c r="A68" s="11" t="s">
        <v>689</v>
      </c>
      <c r="B68" s="11" t="s">
        <v>176</v>
      </c>
      <c r="C68" s="11" t="s">
        <v>604</v>
      </c>
      <c r="D68" s="11" t="s">
        <v>690</v>
      </c>
      <c r="E68" s="12" t="s">
        <v>691</v>
      </c>
      <c r="F68" s="13" t="s">
        <v>180</v>
      </c>
      <c r="G68" s="13" t="n">
        <v>786</v>
      </c>
      <c r="H68" s="13" t="s">
        <v>181</v>
      </c>
      <c r="I68" s="14" t="s">
        <v>692</v>
      </c>
      <c r="J68" s="15" t="n">
        <v>178517</v>
      </c>
      <c r="K68" s="13" t="n">
        <v>786</v>
      </c>
      <c r="L68" s="13"/>
      <c r="M68" s="13"/>
      <c r="N68" s="13" t="s">
        <v>184</v>
      </c>
      <c r="O68" s="13" t="s">
        <v>185</v>
      </c>
      <c r="P68" s="13" t="s">
        <v>186</v>
      </c>
      <c r="Q68" s="16"/>
      <c r="R68" s="16"/>
      <c r="S68" s="16"/>
      <c r="T68" s="16"/>
      <c r="U68" s="16"/>
      <c r="V68" s="13" t="s">
        <v>187</v>
      </c>
      <c r="W68" s="17"/>
      <c r="X68" s="13"/>
      <c r="Y68" s="13"/>
      <c r="Z68" s="13"/>
      <c r="AA68" s="13" t="s">
        <v>188</v>
      </c>
      <c r="AB68" s="13"/>
      <c r="AC68" s="17"/>
      <c r="AD68" s="13"/>
      <c r="AE68" s="19" t="n">
        <f aca="false">ROUND(K68*Settings!$B$11*Settings!$B$13,2)</f>
        <v>13.37</v>
      </c>
      <c r="AF68" s="19" t="n">
        <f aca="false">ROUND(K68*Settings!$B$11*Settings!$B$14,2)</f>
        <v>17.57</v>
      </c>
      <c r="AG68" s="19" t="n">
        <f aca="false">ROUND(K68*Settings!$B$11*Settings!$B$15,2)</f>
        <v>22.92</v>
      </c>
      <c r="AH68" s="13" t="s">
        <v>191</v>
      </c>
      <c r="AI68" s="17"/>
      <c r="AJ68" s="13" t="s">
        <v>188</v>
      </c>
      <c r="AK68" s="13" t="s">
        <v>188</v>
      </c>
      <c r="AL68" s="14" t="s">
        <v>557</v>
      </c>
      <c r="AM68" s="13" t="s">
        <v>286</v>
      </c>
      <c r="AN68" s="15" t="n">
        <v>178517</v>
      </c>
      <c r="AO68" s="13"/>
      <c r="AP68" s="13" t="s">
        <v>269</v>
      </c>
      <c r="AQ68" s="16" t="n">
        <f aca="false">IFERROR(IF(AND(INDEX(Mob_Demob!$D$6:$D$14,MATCH(AM68,Mob_Demob!$A$6:$A$14,0))="",INDEX(Mob_Demob!$G$6:$G$14,MATCH(AM68,Mob_Demob!$A$6:$A$14,0))=""),"",ROUND(MAX(N(INDEX(Mob_Demob!$G$6:$G$14,MATCH(AM68,Mob_Demob!$A$6:$A$14,0))),N(INDEX(Mob_Demob!$D$6:$D$14,MATCH(AM68,Mob_Demob!$A$6:$A$14,0)))*Settings!$B$6)+IF(AP68="Y",N(INDEX(Mob_Demob!$I$6:$I$14,MATCH(AM68,Mob_Demob!$A$6:$A$14,0)))*Settings!$B$19,0)+N(INDEX(Mob_Demob!$L$6:$L$14,MATCH(AM68,Mob_Demob!$A$6:$A$14,0)))*N(INDEX(Mob_Demob!$K$6:$K$14,MATCH(AM68,Mob_Demob!$A$6:$A$14,0)))*Settings!$B$6+N(INDEX(Mob_Demob!$M$6:$M$14,MATCH(AM68,Mob_Demob!$A$6:$A$14,0)))*N(INDEX(Mob_Demob!$N$6:$N$14,MATCH(AM68,Mob_Demob!$A$6:$A$14,0))),0)),"")</f>
        <v>1913</v>
      </c>
      <c r="AR68" s="16" t="n">
        <f aca="false">IF(AQ68="","",ROUND(AQ68*Settings!$B$18,0))</f>
        <v>1913</v>
      </c>
      <c r="AS68" s="13" t="s">
        <v>693</v>
      </c>
      <c r="AT68" s="14" t="s">
        <v>694</v>
      </c>
      <c r="AU68" s="14" t="s">
        <v>251</v>
      </c>
    </row>
    <row r="69" customFormat="false" ht="53.7" hidden="false" customHeight="false" outlineLevel="0" collapsed="false">
      <c r="A69" s="11" t="s">
        <v>695</v>
      </c>
      <c r="B69" s="11" t="s">
        <v>176</v>
      </c>
      <c r="C69" s="11" t="s">
        <v>604</v>
      </c>
      <c r="D69" s="11" t="s">
        <v>690</v>
      </c>
      <c r="E69" s="12" t="s">
        <v>696</v>
      </c>
      <c r="F69" s="13" t="s">
        <v>180</v>
      </c>
      <c r="G69" s="13" t="n">
        <v>814</v>
      </c>
      <c r="H69" s="13" t="s">
        <v>181</v>
      </c>
      <c r="I69" s="14" t="s">
        <v>697</v>
      </c>
      <c r="J69" s="15" t="n">
        <v>233430</v>
      </c>
      <c r="K69" s="13" t="n">
        <v>814</v>
      </c>
      <c r="L69" s="13" t="s">
        <v>698</v>
      </c>
      <c r="M69" s="13"/>
      <c r="N69" s="13" t="s">
        <v>184</v>
      </c>
      <c r="O69" s="13" t="s">
        <v>185</v>
      </c>
      <c r="P69" s="13" t="s">
        <v>186</v>
      </c>
      <c r="Q69" s="16"/>
      <c r="R69" s="16"/>
      <c r="S69" s="16"/>
      <c r="T69" s="16"/>
      <c r="U69" s="16"/>
      <c r="V69" s="13" t="s">
        <v>187</v>
      </c>
      <c r="W69" s="17"/>
      <c r="X69" s="13"/>
      <c r="Y69" s="13"/>
      <c r="Z69" s="13"/>
      <c r="AA69" s="13" t="s">
        <v>188</v>
      </c>
      <c r="AB69" s="13"/>
      <c r="AC69" s="17"/>
      <c r="AD69" s="13"/>
      <c r="AE69" s="19" t="n">
        <f aca="false">ROUND(K69*Settings!$B$11*Settings!$B$13,2)</f>
        <v>13.85</v>
      </c>
      <c r="AF69" s="19" t="n">
        <f aca="false">ROUND(K69*Settings!$B$11*Settings!$B$14,2)</f>
        <v>18.2</v>
      </c>
      <c r="AG69" s="19" t="n">
        <f aca="false">ROUND(K69*Settings!$B$11*Settings!$B$15,2)</f>
        <v>23.74</v>
      </c>
      <c r="AH69" s="13" t="s">
        <v>191</v>
      </c>
      <c r="AI69" s="17"/>
      <c r="AJ69" s="13" t="s">
        <v>188</v>
      </c>
      <c r="AK69" s="13" t="s">
        <v>188</v>
      </c>
      <c r="AL69" s="14" t="s">
        <v>557</v>
      </c>
      <c r="AM69" s="13" t="s">
        <v>286</v>
      </c>
      <c r="AN69" s="15" t="n">
        <v>233430</v>
      </c>
      <c r="AO69" s="13"/>
      <c r="AP69" s="13" t="s">
        <v>269</v>
      </c>
      <c r="AQ69" s="16" t="n">
        <f aca="false">IFERROR(IF(AND(INDEX(Mob_Demob!$D$6:$D$14,MATCH(AM69,Mob_Demob!$A$6:$A$14,0))="",INDEX(Mob_Demob!$G$6:$G$14,MATCH(AM69,Mob_Demob!$A$6:$A$14,0))=""),"",ROUND(MAX(N(INDEX(Mob_Demob!$G$6:$G$14,MATCH(AM69,Mob_Demob!$A$6:$A$14,0))),N(INDEX(Mob_Demob!$D$6:$D$14,MATCH(AM69,Mob_Demob!$A$6:$A$14,0)))*Settings!$B$6)+IF(AP69="Y",N(INDEX(Mob_Demob!$I$6:$I$14,MATCH(AM69,Mob_Demob!$A$6:$A$14,0)))*Settings!$B$19,0)+N(INDEX(Mob_Demob!$L$6:$L$14,MATCH(AM69,Mob_Demob!$A$6:$A$14,0)))*N(INDEX(Mob_Demob!$K$6:$K$14,MATCH(AM69,Mob_Demob!$A$6:$A$14,0)))*Settings!$B$6+N(INDEX(Mob_Demob!$M$6:$M$14,MATCH(AM69,Mob_Demob!$A$6:$A$14,0)))*N(INDEX(Mob_Demob!$N$6:$N$14,MATCH(AM69,Mob_Demob!$A$6:$A$14,0))),0)),"")</f>
        <v>1913</v>
      </c>
      <c r="AR69" s="16" t="n">
        <f aca="false">IF(AQ69="","",ROUND(AQ69*Settings!$B$18,0))</f>
        <v>1913</v>
      </c>
      <c r="AS69" s="13" t="s">
        <v>693</v>
      </c>
      <c r="AT69" s="14" t="s">
        <v>694</v>
      </c>
      <c r="AU69" s="14" t="s">
        <v>251</v>
      </c>
    </row>
    <row r="70" customFormat="false" ht="53.7" hidden="false" customHeight="false" outlineLevel="0" collapsed="false">
      <c r="A70" s="11" t="s">
        <v>699</v>
      </c>
      <c r="B70" s="11" t="s">
        <v>176</v>
      </c>
      <c r="C70" s="11" t="s">
        <v>700</v>
      </c>
      <c r="D70" s="11" t="s">
        <v>701</v>
      </c>
      <c r="E70" s="12" t="s">
        <v>702</v>
      </c>
      <c r="F70" s="13" t="s">
        <v>478</v>
      </c>
      <c r="G70" s="13" t="n">
        <v>3</v>
      </c>
      <c r="H70" s="13" t="s">
        <v>479</v>
      </c>
      <c r="I70" s="14" t="s">
        <v>703</v>
      </c>
      <c r="J70" s="15"/>
      <c r="K70" s="13" t="n">
        <v>178</v>
      </c>
      <c r="L70" s="13" t="s">
        <v>704</v>
      </c>
      <c r="M70" s="13"/>
      <c r="N70" s="13" t="s">
        <v>184</v>
      </c>
      <c r="O70" s="13" t="s">
        <v>185</v>
      </c>
      <c r="P70" s="13" t="s">
        <v>186</v>
      </c>
      <c r="Q70" s="16"/>
      <c r="R70" s="16"/>
      <c r="S70" s="16"/>
      <c r="T70" s="16"/>
      <c r="U70" s="16"/>
      <c r="V70" s="13" t="s">
        <v>187</v>
      </c>
      <c r="W70" s="17"/>
      <c r="X70" s="13"/>
      <c r="Y70" s="13"/>
      <c r="Z70" s="13"/>
      <c r="AA70" s="13" t="s">
        <v>188</v>
      </c>
      <c r="AB70" s="13" t="s">
        <v>705</v>
      </c>
      <c r="AC70" s="18" t="n">
        <v>197.79</v>
      </c>
      <c r="AD70" s="13" t="s">
        <v>190</v>
      </c>
      <c r="AE70" s="19" t="n">
        <f aca="false">ROUND(K70*Settings!$B$11*Settings!$B$13,2)</f>
        <v>3.03</v>
      </c>
      <c r="AF70" s="19" t="n">
        <f aca="false">ROUND(K70*Settings!$B$11*Settings!$B$14,2)</f>
        <v>3.98</v>
      </c>
      <c r="AG70" s="19" t="n">
        <f aca="false">ROUND(K70*Settings!$B$11*Settings!$B$15,2)</f>
        <v>5.19</v>
      </c>
      <c r="AH70" s="13" t="s">
        <v>191</v>
      </c>
      <c r="AI70" s="17" t="n">
        <f aca="false">IF(OR(AC70="",AF70="",Settings!$B$5=""),"",ROUND(AC70-AF70*Settings!$B$5,2))</f>
        <v>183.22</v>
      </c>
      <c r="AJ70" s="13" t="s">
        <v>192</v>
      </c>
      <c r="AK70" s="13" t="s">
        <v>193</v>
      </c>
      <c r="AL70" s="14" t="s">
        <v>706</v>
      </c>
      <c r="AM70" s="13" t="s">
        <v>216</v>
      </c>
      <c r="AN70" s="15"/>
      <c r="AO70" s="13"/>
      <c r="AP70" s="13" t="s">
        <v>241</v>
      </c>
      <c r="AQ70" s="16" t="n">
        <f aca="false">IFERROR(IF(AND(INDEX(Mob_Demob!$D$6:$D$14,MATCH(AM70,Mob_Demob!$A$6:$A$14,0))="",INDEX(Mob_Demob!$G$6:$G$14,MATCH(AM70,Mob_Demob!$A$6:$A$14,0))=""),"",ROUND(MAX(N(INDEX(Mob_Demob!$G$6:$G$14,MATCH(AM70,Mob_Demob!$A$6:$A$14,0))),N(INDEX(Mob_Demob!$D$6:$D$14,MATCH(AM70,Mob_Demob!$A$6:$A$14,0)))*Settings!$B$6)+IF(AP70="Y",N(INDEX(Mob_Demob!$I$6:$I$14,MATCH(AM70,Mob_Demob!$A$6:$A$14,0)))*Settings!$B$19,0)+N(INDEX(Mob_Demob!$L$6:$L$14,MATCH(AM70,Mob_Demob!$A$6:$A$14,0)))*N(INDEX(Mob_Demob!$K$6:$K$14,MATCH(AM70,Mob_Demob!$A$6:$A$14,0)))*Settings!$B$6+N(INDEX(Mob_Demob!$M$6:$M$14,MATCH(AM70,Mob_Demob!$A$6:$A$14,0)))*N(INDEX(Mob_Demob!$N$6:$N$14,MATCH(AM70,Mob_Demob!$A$6:$A$14,0))),0)),"")</f>
        <v>550</v>
      </c>
      <c r="AR70" s="16" t="n">
        <f aca="false">IF(AQ70="","",ROUND(AQ70*Settings!$B$18,0))</f>
        <v>550</v>
      </c>
      <c r="AS70" s="13" t="s">
        <v>707</v>
      </c>
      <c r="AT70" s="14" t="s">
        <v>708</v>
      </c>
      <c r="AU70" s="14" t="s">
        <v>199</v>
      </c>
    </row>
    <row r="71" customFormat="false" ht="53.7" hidden="false" customHeight="false" outlineLevel="0" collapsed="false">
      <c r="A71" s="11" t="s">
        <v>709</v>
      </c>
      <c r="B71" s="11" t="s">
        <v>176</v>
      </c>
      <c r="C71" s="11" t="s">
        <v>700</v>
      </c>
      <c r="D71" s="11" t="s">
        <v>701</v>
      </c>
      <c r="E71" s="12" t="s">
        <v>710</v>
      </c>
      <c r="F71" s="13" t="s">
        <v>478</v>
      </c>
      <c r="G71" s="13" t="n">
        <v>4</v>
      </c>
      <c r="H71" s="13" t="s">
        <v>479</v>
      </c>
      <c r="I71" s="14" t="s">
        <v>711</v>
      </c>
      <c r="J71" s="15"/>
      <c r="K71" s="13" t="n">
        <v>238</v>
      </c>
      <c r="L71" s="13" t="s">
        <v>712</v>
      </c>
      <c r="M71" s="13"/>
      <c r="N71" s="13" t="s">
        <v>184</v>
      </c>
      <c r="O71" s="13" t="s">
        <v>185</v>
      </c>
      <c r="P71" s="13" t="s">
        <v>186</v>
      </c>
      <c r="Q71" s="16"/>
      <c r="R71" s="16"/>
      <c r="S71" s="16"/>
      <c r="T71" s="16"/>
      <c r="U71" s="16"/>
      <c r="V71" s="13" t="s">
        <v>187</v>
      </c>
      <c r="W71" s="17"/>
      <c r="X71" s="13"/>
      <c r="Y71" s="13"/>
      <c r="Z71" s="13"/>
      <c r="AA71" s="13" t="s">
        <v>188</v>
      </c>
      <c r="AB71" s="13" t="s">
        <v>713</v>
      </c>
      <c r="AC71" s="18" t="n">
        <v>254.71</v>
      </c>
      <c r="AD71" s="13" t="s">
        <v>190</v>
      </c>
      <c r="AE71" s="19" t="n">
        <f aca="false">ROUND(K71*Settings!$B$11*Settings!$B$13,2)</f>
        <v>4.05</v>
      </c>
      <c r="AF71" s="19" t="n">
        <f aca="false">ROUND(K71*Settings!$B$11*Settings!$B$14,2)</f>
        <v>5.32</v>
      </c>
      <c r="AG71" s="19" t="n">
        <f aca="false">ROUND(K71*Settings!$B$11*Settings!$B$15,2)</f>
        <v>6.94</v>
      </c>
      <c r="AH71" s="13" t="s">
        <v>191</v>
      </c>
      <c r="AI71" s="17" t="n">
        <f aca="false">IF(OR(AC71="",AF71="",Settings!$B$5=""),"",ROUND(AC71-AF71*Settings!$B$5,2))</f>
        <v>235.24</v>
      </c>
      <c r="AJ71" s="13" t="s">
        <v>192</v>
      </c>
      <c r="AK71" s="13" t="s">
        <v>193</v>
      </c>
      <c r="AL71" s="14" t="s">
        <v>706</v>
      </c>
      <c r="AM71" s="13" t="s">
        <v>268</v>
      </c>
      <c r="AN71" s="15"/>
      <c r="AO71" s="13"/>
      <c r="AP71" s="13" t="s">
        <v>269</v>
      </c>
      <c r="AQ71" s="16" t="n">
        <f aca="false">IFERROR(IF(AND(INDEX(Mob_Demob!$D$6:$D$14,MATCH(AM71,Mob_Demob!$A$6:$A$14,0))="",INDEX(Mob_Demob!$G$6:$G$14,MATCH(AM71,Mob_Demob!$A$6:$A$14,0))=""),"",ROUND(MAX(N(INDEX(Mob_Demob!$G$6:$G$14,MATCH(AM71,Mob_Demob!$A$6:$A$14,0))),N(INDEX(Mob_Demob!$D$6:$D$14,MATCH(AM71,Mob_Demob!$A$6:$A$14,0)))*Settings!$B$6)+IF(AP71="Y",N(INDEX(Mob_Demob!$I$6:$I$14,MATCH(AM71,Mob_Demob!$A$6:$A$14,0)))*Settings!$B$19,0)+N(INDEX(Mob_Demob!$L$6:$L$14,MATCH(AM71,Mob_Demob!$A$6:$A$14,0)))*N(INDEX(Mob_Demob!$K$6:$K$14,MATCH(AM71,Mob_Demob!$A$6:$A$14,0)))*Settings!$B$6+N(INDEX(Mob_Demob!$M$6:$M$14,MATCH(AM71,Mob_Demob!$A$6:$A$14,0)))*N(INDEX(Mob_Demob!$N$6:$N$14,MATCH(AM71,Mob_Demob!$A$6:$A$14,0))),0)),"")</f>
        <v>1800</v>
      </c>
      <c r="AR71" s="16" t="n">
        <f aca="false">IF(AQ71="","",ROUND(AQ71*Settings!$B$18,0))</f>
        <v>1800</v>
      </c>
      <c r="AS71" s="13" t="s">
        <v>707</v>
      </c>
      <c r="AT71" s="14" t="s">
        <v>714</v>
      </c>
      <c r="AU71" s="14" t="s">
        <v>199</v>
      </c>
    </row>
    <row r="72" customFormat="false" ht="64.15" hidden="false" customHeight="false" outlineLevel="0" collapsed="false">
      <c r="A72" s="11" t="s">
        <v>715</v>
      </c>
      <c r="B72" s="11" t="s">
        <v>176</v>
      </c>
      <c r="C72" s="11" t="s">
        <v>716</v>
      </c>
      <c r="D72" s="11" t="s">
        <v>717</v>
      </c>
      <c r="E72" s="12" t="s">
        <v>718</v>
      </c>
      <c r="F72" s="13" t="s">
        <v>719</v>
      </c>
      <c r="G72" s="13" t="n">
        <v>900</v>
      </c>
      <c r="H72" s="13" t="s">
        <v>334</v>
      </c>
      <c r="I72" s="14" t="s">
        <v>720</v>
      </c>
      <c r="J72" s="15"/>
      <c r="K72" s="13" t="n">
        <v>24</v>
      </c>
      <c r="L72" s="13" t="s">
        <v>721</v>
      </c>
      <c r="M72" s="13"/>
      <c r="N72" s="13" t="s">
        <v>184</v>
      </c>
      <c r="O72" s="13" t="s">
        <v>336</v>
      </c>
      <c r="P72" s="13" t="s">
        <v>186</v>
      </c>
      <c r="Q72" s="20" t="n">
        <v>230</v>
      </c>
      <c r="R72" s="20" t="n">
        <v>690</v>
      </c>
      <c r="S72" s="20" t="n">
        <v>2070</v>
      </c>
      <c r="T72" s="16"/>
      <c r="U72" s="16"/>
      <c r="V72" s="13" t="s">
        <v>187</v>
      </c>
      <c r="W72" s="17"/>
      <c r="X72" s="13"/>
      <c r="Y72" s="13" t="s">
        <v>722</v>
      </c>
      <c r="Z72" s="13" t="s">
        <v>723</v>
      </c>
      <c r="AA72" s="13" t="s">
        <v>192</v>
      </c>
      <c r="AB72" s="13" t="s">
        <v>724</v>
      </c>
      <c r="AC72" s="18" t="n">
        <v>31.67</v>
      </c>
      <c r="AD72" s="13" t="s">
        <v>190</v>
      </c>
      <c r="AE72" s="19" t="n">
        <f aca="false">ROUND(K72*Settings!$B$11*Settings!$B$13,2)</f>
        <v>0.41</v>
      </c>
      <c r="AF72" s="19" t="n">
        <f aca="false">ROUND(K72*Settings!$B$11*Settings!$B$14,2)</f>
        <v>0.54</v>
      </c>
      <c r="AG72" s="19" t="n">
        <f aca="false">ROUND(K72*Settings!$B$11*Settings!$B$15,2)</f>
        <v>0.7</v>
      </c>
      <c r="AH72" s="13" t="s">
        <v>191</v>
      </c>
      <c r="AI72" s="17" t="n">
        <f aca="false">IF(OR(AC72="",AF72="",Settings!$B$5=""),"",ROUND(AC72-AF72*Settings!$B$5,2))</f>
        <v>29.69</v>
      </c>
      <c r="AJ72" s="13" t="s">
        <v>192</v>
      </c>
      <c r="AK72" s="13" t="s">
        <v>193</v>
      </c>
      <c r="AL72" s="14" t="s">
        <v>194</v>
      </c>
      <c r="AM72" s="13" t="s">
        <v>195</v>
      </c>
      <c r="AN72" s="15"/>
      <c r="AO72" s="13"/>
      <c r="AP72" s="13" t="s">
        <v>196</v>
      </c>
      <c r="AQ72" s="16" t="n">
        <f aca="false">IFERROR(IF(AND(INDEX(Mob_Demob!$D$6:$D$14,MATCH(AM72,Mob_Demob!$A$6:$A$14,0))="",INDEX(Mob_Demob!$G$6:$G$14,MATCH(AM72,Mob_Demob!$A$6:$A$14,0))=""),"",ROUND(MAX(N(INDEX(Mob_Demob!$G$6:$G$14,MATCH(AM72,Mob_Demob!$A$6:$A$14,0))),N(INDEX(Mob_Demob!$D$6:$D$14,MATCH(AM72,Mob_Demob!$A$6:$A$14,0)))*Settings!$B$6)+IF(AP72="Y",N(INDEX(Mob_Demob!$I$6:$I$14,MATCH(AM72,Mob_Demob!$A$6:$A$14,0)))*Settings!$B$19,0)+N(INDEX(Mob_Demob!$L$6:$L$14,MATCH(AM72,Mob_Demob!$A$6:$A$14,0)))*N(INDEX(Mob_Demob!$K$6:$K$14,MATCH(AM72,Mob_Demob!$A$6:$A$14,0)))*Settings!$B$6+N(INDEX(Mob_Demob!$M$6:$M$14,MATCH(AM72,Mob_Demob!$A$6:$A$14,0)))*N(INDEX(Mob_Demob!$N$6:$N$14,MATCH(AM72,Mob_Demob!$A$6:$A$14,0))),0)),"")</f>
        <v>500</v>
      </c>
      <c r="AR72" s="16" t="n">
        <f aca="false">IF(AQ72="","",ROUND(AQ72*Settings!$B$18,0))</f>
        <v>500</v>
      </c>
      <c r="AS72" s="13" t="s">
        <v>725</v>
      </c>
      <c r="AT72" s="14" t="s">
        <v>726</v>
      </c>
      <c r="AU72" s="14"/>
    </row>
    <row r="73" customFormat="false" ht="64.15" hidden="false" customHeight="false" outlineLevel="0" collapsed="false">
      <c r="A73" s="11" t="s">
        <v>727</v>
      </c>
      <c r="B73" s="11" t="s">
        <v>176</v>
      </c>
      <c r="C73" s="11" t="s">
        <v>716</v>
      </c>
      <c r="D73" s="11" t="s">
        <v>728</v>
      </c>
      <c r="E73" s="12" t="s">
        <v>729</v>
      </c>
      <c r="F73" s="13" t="s">
        <v>719</v>
      </c>
      <c r="G73" s="13" t="n">
        <v>1500</v>
      </c>
      <c r="H73" s="13" t="s">
        <v>334</v>
      </c>
      <c r="I73" s="14" t="s">
        <v>730</v>
      </c>
      <c r="J73" s="15" t="n">
        <v>5500</v>
      </c>
      <c r="K73" s="13" t="n">
        <v>50</v>
      </c>
      <c r="L73" s="13" t="s">
        <v>731</v>
      </c>
      <c r="M73" s="13"/>
      <c r="N73" s="13" t="s">
        <v>184</v>
      </c>
      <c r="O73" s="13" t="s">
        <v>336</v>
      </c>
      <c r="P73" s="13" t="s">
        <v>186</v>
      </c>
      <c r="Q73" s="20" t="n">
        <v>230</v>
      </c>
      <c r="R73" s="20" t="n">
        <v>743</v>
      </c>
      <c r="S73" s="20" t="n">
        <v>2038</v>
      </c>
      <c r="T73" s="20" t="n">
        <v>1875</v>
      </c>
      <c r="U73" s="20" t="n">
        <v>3462</v>
      </c>
      <c r="V73" s="13" t="s">
        <v>187</v>
      </c>
      <c r="W73" s="17"/>
      <c r="X73" s="13"/>
      <c r="Y73" s="13" t="s">
        <v>732</v>
      </c>
      <c r="Z73" s="13" t="s">
        <v>212</v>
      </c>
      <c r="AA73" s="13" t="s">
        <v>213</v>
      </c>
      <c r="AB73" s="13"/>
      <c r="AC73" s="17"/>
      <c r="AD73" s="13"/>
      <c r="AE73" s="19"/>
      <c r="AF73" s="19" t="n">
        <v>2.46</v>
      </c>
      <c r="AG73" s="19"/>
      <c r="AH73" s="13" t="s">
        <v>733</v>
      </c>
      <c r="AI73" s="17"/>
      <c r="AJ73" s="13" t="s">
        <v>188</v>
      </c>
      <c r="AK73" s="13" t="s">
        <v>188</v>
      </c>
      <c r="AL73" s="14" t="s">
        <v>194</v>
      </c>
      <c r="AM73" s="13" t="s">
        <v>195</v>
      </c>
      <c r="AN73" s="15" t="n">
        <v>5500</v>
      </c>
      <c r="AO73" s="13"/>
      <c r="AP73" s="13" t="s">
        <v>196</v>
      </c>
      <c r="AQ73" s="16" t="n">
        <f aca="false">IFERROR(IF(AND(INDEX(Mob_Demob!$D$6:$D$14,MATCH(AM73,Mob_Demob!$A$6:$A$14,0))="",INDEX(Mob_Demob!$G$6:$G$14,MATCH(AM73,Mob_Demob!$A$6:$A$14,0))=""),"",ROUND(MAX(N(INDEX(Mob_Demob!$G$6:$G$14,MATCH(AM73,Mob_Demob!$A$6:$A$14,0))),N(INDEX(Mob_Demob!$D$6:$D$14,MATCH(AM73,Mob_Demob!$A$6:$A$14,0)))*Settings!$B$6)+IF(AP73="Y",N(INDEX(Mob_Demob!$I$6:$I$14,MATCH(AM73,Mob_Demob!$A$6:$A$14,0)))*Settings!$B$19,0)+N(INDEX(Mob_Demob!$L$6:$L$14,MATCH(AM73,Mob_Demob!$A$6:$A$14,0)))*N(INDEX(Mob_Demob!$K$6:$K$14,MATCH(AM73,Mob_Demob!$A$6:$A$14,0)))*Settings!$B$6+N(INDEX(Mob_Demob!$M$6:$M$14,MATCH(AM73,Mob_Demob!$A$6:$A$14,0)))*N(INDEX(Mob_Demob!$N$6:$N$14,MATCH(AM73,Mob_Demob!$A$6:$A$14,0))),0)),"")</f>
        <v>500</v>
      </c>
      <c r="AR73" s="16" t="n">
        <f aca="false">IF(AQ73="","",ROUND(AQ73*Settings!$B$18,0))</f>
        <v>500</v>
      </c>
      <c r="AS73" s="13" t="s">
        <v>725</v>
      </c>
      <c r="AT73" s="14" t="s">
        <v>734</v>
      </c>
      <c r="AU73" s="14" t="s">
        <v>341</v>
      </c>
    </row>
    <row r="74" customFormat="false" ht="64.15" hidden="false" customHeight="false" outlineLevel="0" collapsed="false">
      <c r="A74" s="11" t="s">
        <v>735</v>
      </c>
      <c r="B74" s="11" t="s">
        <v>176</v>
      </c>
      <c r="C74" s="11" t="s">
        <v>716</v>
      </c>
      <c r="D74" s="11" t="s">
        <v>736</v>
      </c>
      <c r="E74" s="12" t="s">
        <v>737</v>
      </c>
      <c r="F74" s="13" t="s">
        <v>719</v>
      </c>
      <c r="G74" s="13" t="n">
        <v>2100</v>
      </c>
      <c r="H74" s="13" t="s">
        <v>334</v>
      </c>
      <c r="I74" s="14" t="s">
        <v>738</v>
      </c>
      <c r="J74" s="15" t="n">
        <v>6500</v>
      </c>
      <c r="K74" s="13" t="n">
        <v>70</v>
      </c>
      <c r="L74" s="13" t="s">
        <v>739</v>
      </c>
      <c r="M74" s="13"/>
      <c r="N74" s="13" t="s">
        <v>184</v>
      </c>
      <c r="O74" s="13" t="s">
        <v>336</v>
      </c>
      <c r="P74" s="13" t="s">
        <v>186</v>
      </c>
      <c r="Q74" s="20" t="n">
        <v>257</v>
      </c>
      <c r="R74" s="20" t="n">
        <v>838</v>
      </c>
      <c r="S74" s="20" t="n">
        <v>2310</v>
      </c>
      <c r="T74" s="20" t="n">
        <v>2250</v>
      </c>
      <c r="U74" s="20" t="n">
        <v>2500</v>
      </c>
      <c r="V74" s="13" t="s">
        <v>187</v>
      </c>
      <c r="W74" s="17"/>
      <c r="X74" s="13"/>
      <c r="Y74" s="13" t="s">
        <v>740</v>
      </c>
      <c r="Z74" s="13" t="s">
        <v>212</v>
      </c>
      <c r="AA74" s="13" t="s">
        <v>213</v>
      </c>
      <c r="AB74" s="13"/>
      <c r="AC74" s="17"/>
      <c r="AD74" s="13"/>
      <c r="AE74" s="19"/>
      <c r="AF74" s="19" t="n">
        <v>2.62</v>
      </c>
      <c r="AG74" s="19"/>
      <c r="AH74" s="13" t="s">
        <v>741</v>
      </c>
      <c r="AI74" s="17"/>
      <c r="AJ74" s="13" t="s">
        <v>188</v>
      </c>
      <c r="AK74" s="13" t="s">
        <v>188</v>
      </c>
      <c r="AL74" s="14" t="s">
        <v>194</v>
      </c>
      <c r="AM74" s="13" t="s">
        <v>195</v>
      </c>
      <c r="AN74" s="15" t="n">
        <v>6500</v>
      </c>
      <c r="AO74" s="13"/>
      <c r="AP74" s="13" t="s">
        <v>196</v>
      </c>
      <c r="AQ74" s="16" t="n">
        <f aca="false">IFERROR(IF(AND(INDEX(Mob_Demob!$D$6:$D$14,MATCH(AM74,Mob_Demob!$A$6:$A$14,0))="",INDEX(Mob_Demob!$G$6:$G$14,MATCH(AM74,Mob_Demob!$A$6:$A$14,0))=""),"",ROUND(MAX(N(INDEX(Mob_Demob!$G$6:$G$14,MATCH(AM74,Mob_Demob!$A$6:$A$14,0))),N(INDEX(Mob_Demob!$D$6:$D$14,MATCH(AM74,Mob_Demob!$A$6:$A$14,0)))*Settings!$B$6)+IF(AP74="Y",N(INDEX(Mob_Demob!$I$6:$I$14,MATCH(AM74,Mob_Demob!$A$6:$A$14,0)))*Settings!$B$19,0)+N(INDEX(Mob_Demob!$L$6:$L$14,MATCH(AM74,Mob_Demob!$A$6:$A$14,0)))*N(INDEX(Mob_Demob!$K$6:$K$14,MATCH(AM74,Mob_Demob!$A$6:$A$14,0)))*Settings!$B$6+N(INDEX(Mob_Demob!$M$6:$M$14,MATCH(AM74,Mob_Demob!$A$6:$A$14,0)))*N(INDEX(Mob_Demob!$N$6:$N$14,MATCH(AM74,Mob_Demob!$A$6:$A$14,0))),0)),"")</f>
        <v>500</v>
      </c>
      <c r="AR74" s="16" t="n">
        <f aca="false">IF(AQ74="","",ROUND(AQ74*Settings!$B$18,0))</f>
        <v>500</v>
      </c>
      <c r="AS74" s="13" t="s">
        <v>725</v>
      </c>
      <c r="AT74" s="14" t="s">
        <v>742</v>
      </c>
      <c r="AU74" s="14" t="s">
        <v>341</v>
      </c>
    </row>
    <row r="75" customFormat="false" ht="64.15" hidden="false" customHeight="false" outlineLevel="0" collapsed="false">
      <c r="A75" s="11" t="s">
        <v>743</v>
      </c>
      <c r="B75" s="11" t="s">
        <v>176</v>
      </c>
      <c r="C75" s="11" t="s">
        <v>716</v>
      </c>
      <c r="D75" s="11" t="s">
        <v>744</v>
      </c>
      <c r="E75" s="12" t="s">
        <v>745</v>
      </c>
      <c r="F75" s="13" t="s">
        <v>719</v>
      </c>
      <c r="G75" s="13" t="n">
        <v>3000</v>
      </c>
      <c r="H75" s="13" t="s">
        <v>334</v>
      </c>
      <c r="I75" s="14" t="s">
        <v>746</v>
      </c>
      <c r="J75" s="15" t="n">
        <v>8500</v>
      </c>
      <c r="K75" s="13" t="n">
        <v>74</v>
      </c>
      <c r="L75" s="13" t="s">
        <v>747</v>
      </c>
      <c r="M75" s="13"/>
      <c r="N75" s="13" t="s">
        <v>184</v>
      </c>
      <c r="O75" s="13" t="s">
        <v>336</v>
      </c>
      <c r="P75" s="13" t="s">
        <v>186</v>
      </c>
      <c r="Q75" s="20" t="n">
        <v>373</v>
      </c>
      <c r="R75" s="20" t="n">
        <v>1175</v>
      </c>
      <c r="S75" s="20" t="n">
        <v>2958</v>
      </c>
      <c r="T75" s="20" t="n">
        <v>2750</v>
      </c>
      <c r="U75" s="20" t="n">
        <v>6003</v>
      </c>
      <c r="V75" s="13" t="s">
        <v>187</v>
      </c>
      <c r="W75" s="17"/>
      <c r="X75" s="13"/>
      <c r="Y75" s="13" t="s">
        <v>748</v>
      </c>
      <c r="Z75" s="13" t="s">
        <v>212</v>
      </c>
      <c r="AA75" s="13" t="s">
        <v>213</v>
      </c>
      <c r="AB75" s="13" t="s">
        <v>749</v>
      </c>
      <c r="AC75" s="18" t="n">
        <v>45.23</v>
      </c>
      <c r="AD75" s="13" t="s">
        <v>190</v>
      </c>
      <c r="AE75" s="19"/>
      <c r="AF75" s="19" t="n">
        <v>3.3</v>
      </c>
      <c r="AG75" s="19"/>
      <c r="AH75" s="13" t="s">
        <v>750</v>
      </c>
      <c r="AI75" s="17" t="n">
        <f aca="false">IF(OR(AC75="",AF75="",Settings!$B$5=""),"",ROUND(AC75-AF75*Settings!$B$5,2))</f>
        <v>33.15</v>
      </c>
      <c r="AJ75" s="13" t="s">
        <v>192</v>
      </c>
      <c r="AK75" s="13" t="s">
        <v>193</v>
      </c>
      <c r="AL75" s="14" t="s">
        <v>194</v>
      </c>
      <c r="AM75" s="13" t="s">
        <v>195</v>
      </c>
      <c r="AN75" s="15" t="n">
        <v>8500</v>
      </c>
      <c r="AO75" s="13"/>
      <c r="AP75" s="13" t="s">
        <v>196</v>
      </c>
      <c r="AQ75" s="16" t="n">
        <f aca="false">IFERROR(IF(AND(INDEX(Mob_Demob!$D$6:$D$14,MATCH(AM75,Mob_Demob!$A$6:$A$14,0))="",INDEX(Mob_Demob!$G$6:$G$14,MATCH(AM75,Mob_Demob!$A$6:$A$14,0))=""),"",ROUND(MAX(N(INDEX(Mob_Demob!$G$6:$G$14,MATCH(AM75,Mob_Demob!$A$6:$A$14,0))),N(INDEX(Mob_Demob!$D$6:$D$14,MATCH(AM75,Mob_Demob!$A$6:$A$14,0)))*Settings!$B$6)+IF(AP75="Y",N(INDEX(Mob_Demob!$I$6:$I$14,MATCH(AM75,Mob_Demob!$A$6:$A$14,0)))*Settings!$B$19,0)+N(INDEX(Mob_Demob!$L$6:$L$14,MATCH(AM75,Mob_Demob!$A$6:$A$14,0)))*N(INDEX(Mob_Demob!$K$6:$K$14,MATCH(AM75,Mob_Demob!$A$6:$A$14,0)))*Settings!$B$6+N(INDEX(Mob_Demob!$M$6:$M$14,MATCH(AM75,Mob_Demob!$A$6:$A$14,0)))*N(INDEX(Mob_Demob!$N$6:$N$14,MATCH(AM75,Mob_Demob!$A$6:$A$14,0))),0)),"")</f>
        <v>500</v>
      </c>
      <c r="AR75" s="16" t="n">
        <f aca="false">IF(AQ75="","",ROUND(AQ75*Settings!$B$18,0))</f>
        <v>500</v>
      </c>
      <c r="AS75" s="13" t="s">
        <v>725</v>
      </c>
      <c r="AT75" s="14" t="s">
        <v>751</v>
      </c>
      <c r="AU75" s="14"/>
    </row>
    <row r="76" customFormat="false" ht="64.15" hidden="false" customHeight="false" outlineLevel="0" collapsed="false">
      <c r="A76" s="11" t="s">
        <v>752</v>
      </c>
      <c r="B76" s="11" t="s">
        <v>176</v>
      </c>
      <c r="C76" s="11" t="s">
        <v>716</v>
      </c>
      <c r="D76" s="11" t="s">
        <v>753</v>
      </c>
      <c r="E76" s="12" t="s">
        <v>754</v>
      </c>
      <c r="F76" s="13" t="s">
        <v>719</v>
      </c>
      <c r="G76" s="13" t="n">
        <v>3400</v>
      </c>
      <c r="H76" s="13" t="s">
        <v>334</v>
      </c>
      <c r="I76" s="14" t="s">
        <v>755</v>
      </c>
      <c r="J76" s="15"/>
      <c r="K76" s="13" t="n">
        <v>105</v>
      </c>
      <c r="L76" s="13" t="s">
        <v>756</v>
      </c>
      <c r="M76" s="13"/>
      <c r="N76" s="13" t="s">
        <v>184</v>
      </c>
      <c r="O76" s="13" t="s">
        <v>336</v>
      </c>
      <c r="P76" s="13" t="s">
        <v>186</v>
      </c>
      <c r="Q76" s="20" t="n">
        <v>330</v>
      </c>
      <c r="R76" s="20" t="n">
        <v>1090</v>
      </c>
      <c r="S76" s="20" t="n">
        <v>3170</v>
      </c>
      <c r="T76" s="20" t="n">
        <v>3100</v>
      </c>
      <c r="U76" s="20" t="n">
        <v>3240</v>
      </c>
      <c r="V76" s="13" t="s">
        <v>187</v>
      </c>
      <c r="W76" s="17"/>
      <c r="X76" s="13"/>
      <c r="Y76" s="13" t="s">
        <v>757</v>
      </c>
      <c r="Z76" s="13" t="s">
        <v>212</v>
      </c>
      <c r="AA76" s="13" t="s">
        <v>213</v>
      </c>
      <c r="AB76" s="13" t="s">
        <v>758</v>
      </c>
      <c r="AC76" s="18" t="n">
        <v>60.67</v>
      </c>
      <c r="AD76" s="13" t="s">
        <v>190</v>
      </c>
      <c r="AE76" s="19"/>
      <c r="AF76" s="19" t="n">
        <v>3.3</v>
      </c>
      <c r="AG76" s="19"/>
      <c r="AH76" s="13" t="s">
        <v>750</v>
      </c>
      <c r="AI76" s="17" t="n">
        <f aca="false">IF(OR(AC76="",AF76="",Settings!$B$5=""),"",ROUND(AC76-AF76*Settings!$B$5,2))</f>
        <v>48.59</v>
      </c>
      <c r="AJ76" s="13" t="s">
        <v>192</v>
      </c>
      <c r="AK76" s="13" t="s">
        <v>193</v>
      </c>
      <c r="AL76" s="14" t="s">
        <v>194</v>
      </c>
      <c r="AM76" s="13" t="s">
        <v>195</v>
      </c>
      <c r="AN76" s="15"/>
      <c r="AO76" s="13"/>
      <c r="AP76" s="13" t="s">
        <v>196</v>
      </c>
      <c r="AQ76" s="16" t="n">
        <f aca="false">IFERROR(IF(AND(INDEX(Mob_Demob!$D$6:$D$14,MATCH(AM76,Mob_Demob!$A$6:$A$14,0))="",INDEX(Mob_Demob!$G$6:$G$14,MATCH(AM76,Mob_Demob!$A$6:$A$14,0))=""),"",ROUND(MAX(N(INDEX(Mob_Demob!$G$6:$G$14,MATCH(AM76,Mob_Demob!$A$6:$A$14,0))),N(INDEX(Mob_Demob!$D$6:$D$14,MATCH(AM76,Mob_Demob!$A$6:$A$14,0)))*Settings!$B$6)+IF(AP76="Y",N(INDEX(Mob_Demob!$I$6:$I$14,MATCH(AM76,Mob_Demob!$A$6:$A$14,0)))*Settings!$B$19,0)+N(INDEX(Mob_Demob!$L$6:$L$14,MATCH(AM76,Mob_Demob!$A$6:$A$14,0)))*N(INDEX(Mob_Demob!$K$6:$K$14,MATCH(AM76,Mob_Demob!$A$6:$A$14,0)))*Settings!$B$6+N(INDEX(Mob_Demob!$M$6:$M$14,MATCH(AM76,Mob_Demob!$A$6:$A$14,0)))*N(INDEX(Mob_Demob!$N$6:$N$14,MATCH(AM76,Mob_Demob!$A$6:$A$14,0))),0)),"")</f>
        <v>500</v>
      </c>
      <c r="AR76" s="16" t="n">
        <f aca="false">IF(AQ76="","",ROUND(AQ76*Settings!$B$18,0))</f>
        <v>500</v>
      </c>
      <c r="AS76" s="13" t="s">
        <v>725</v>
      </c>
      <c r="AT76" s="14" t="s">
        <v>759</v>
      </c>
      <c r="AU76" s="14"/>
    </row>
    <row r="77" customFormat="false" ht="64.15" hidden="false" customHeight="false" outlineLevel="0" collapsed="false">
      <c r="A77" s="11" t="s">
        <v>760</v>
      </c>
      <c r="B77" s="11" t="s">
        <v>176</v>
      </c>
      <c r="C77" s="11" t="s">
        <v>716</v>
      </c>
      <c r="D77" s="11" t="s">
        <v>761</v>
      </c>
      <c r="E77" s="12" t="s">
        <v>762</v>
      </c>
      <c r="F77" s="13" t="s">
        <v>180</v>
      </c>
      <c r="G77" s="13" t="n">
        <v>25</v>
      </c>
      <c r="H77" s="13" t="s">
        <v>181</v>
      </c>
      <c r="I77" s="14" t="s">
        <v>763</v>
      </c>
      <c r="J77" s="15"/>
      <c r="K77" s="13" t="n">
        <v>25</v>
      </c>
      <c r="L77" s="13"/>
      <c r="M77" s="13"/>
      <c r="N77" s="13" t="s">
        <v>184</v>
      </c>
      <c r="O77" s="13" t="s">
        <v>336</v>
      </c>
      <c r="P77" s="13" t="s">
        <v>186</v>
      </c>
      <c r="Q77" s="20" t="n">
        <v>250</v>
      </c>
      <c r="R77" s="20" t="n">
        <v>975</v>
      </c>
      <c r="S77" s="20" t="n">
        <v>2695</v>
      </c>
      <c r="T77" s="16"/>
      <c r="U77" s="16"/>
      <c r="V77" s="13" t="s">
        <v>187</v>
      </c>
      <c r="W77" s="17"/>
      <c r="X77" s="13"/>
      <c r="Y77" s="13" t="s">
        <v>764</v>
      </c>
      <c r="Z77" s="13" t="s">
        <v>765</v>
      </c>
      <c r="AA77" s="13" t="s">
        <v>192</v>
      </c>
      <c r="AB77" s="13" t="s">
        <v>766</v>
      </c>
      <c r="AC77" s="18" t="n">
        <v>36.92</v>
      </c>
      <c r="AD77" s="13" t="s">
        <v>190</v>
      </c>
      <c r="AE77" s="19" t="n">
        <f aca="false">ROUND(K77*Settings!$B$11*Settings!$B$13,2)</f>
        <v>0.43</v>
      </c>
      <c r="AF77" s="19" t="n">
        <f aca="false">ROUND(K77*Settings!$B$11*Settings!$B$14,2)</f>
        <v>0.56</v>
      </c>
      <c r="AG77" s="19" t="n">
        <f aca="false">ROUND(K77*Settings!$B$11*Settings!$B$15,2)</f>
        <v>0.73</v>
      </c>
      <c r="AH77" s="13" t="s">
        <v>191</v>
      </c>
      <c r="AI77" s="17" t="n">
        <f aca="false">IF(OR(AC77="",AF77="",Settings!$B$5=""),"",ROUND(AC77-AF77*Settings!$B$5,2))</f>
        <v>34.87</v>
      </c>
      <c r="AJ77" s="13" t="s">
        <v>192</v>
      </c>
      <c r="AK77" s="13" t="s">
        <v>193</v>
      </c>
      <c r="AL77" s="14" t="s">
        <v>194</v>
      </c>
      <c r="AM77" s="13" t="s">
        <v>195</v>
      </c>
      <c r="AN77" s="15"/>
      <c r="AO77" s="13"/>
      <c r="AP77" s="13" t="s">
        <v>196</v>
      </c>
      <c r="AQ77" s="16" t="n">
        <f aca="false">IFERROR(IF(AND(INDEX(Mob_Demob!$D$6:$D$14,MATCH(AM77,Mob_Demob!$A$6:$A$14,0))="",INDEX(Mob_Demob!$G$6:$G$14,MATCH(AM77,Mob_Demob!$A$6:$A$14,0))=""),"",ROUND(MAX(N(INDEX(Mob_Demob!$G$6:$G$14,MATCH(AM77,Mob_Demob!$A$6:$A$14,0))),N(INDEX(Mob_Demob!$D$6:$D$14,MATCH(AM77,Mob_Demob!$A$6:$A$14,0)))*Settings!$B$6)+IF(AP77="Y",N(INDEX(Mob_Demob!$I$6:$I$14,MATCH(AM77,Mob_Demob!$A$6:$A$14,0)))*Settings!$B$19,0)+N(INDEX(Mob_Demob!$L$6:$L$14,MATCH(AM77,Mob_Demob!$A$6:$A$14,0)))*N(INDEX(Mob_Demob!$K$6:$K$14,MATCH(AM77,Mob_Demob!$A$6:$A$14,0)))*Settings!$B$6+N(INDEX(Mob_Demob!$M$6:$M$14,MATCH(AM77,Mob_Demob!$A$6:$A$14,0)))*N(INDEX(Mob_Demob!$N$6:$N$14,MATCH(AM77,Mob_Demob!$A$6:$A$14,0))),0)),"")</f>
        <v>500</v>
      </c>
      <c r="AR77" s="16" t="n">
        <f aca="false">IF(AQ77="","",ROUND(AQ77*Settings!$B$18,0))</f>
        <v>500</v>
      </c>
      <c r="AS77" s="13" t="s">
        <v>767</v>
      </c>
      <c r="AT77" s="14" t="s">
        <v>768</v>
      </c>
      <c r="AU77" s="14"/>
    </row>
    <row r="78" customFormat="false" ht="64.15" hidden="false" customHeight="false" outlineLevel="0" collapsed="false">
      <c r="A78" s="11" t="s">
        <v>769</v>
      </c>
      <c r="B78" s="11" t="s">
        <v>176</v>
      </c>
      <c r="C78" s="11" t="s">
        <v>716</v>
      </c>
      <c r="D78" s="11" t="s">
        <v>770</v>
      </c>
      <c r="E78" s="12" t="s">
        <v>771</v>
      </c>
      <c r="F78" s="13" t="s">
        <v>719</v>
      </c>
      <c r="G78" s="13" t="n">
        <v>1700</v>
      </c>
      <c r="H78" s="13" t="s">
        <v>334</v>
      </c>
      <c r="I78" s="14" t="s">
        <v>772</v>
      </c>
      <c r="J78" s="15"/>
      <c r="K78" s="13" t="n">
        <v>55</v>
      </c>
      <c r="L78" s="13" t="s">
        <v>771</v>
      </c>
      <c r="M78" s="13"/>
      <c r="N78" s="13" t="s">
        <v>184</v>
      </c>
      <c r="O78" s="13" t="s">
        <v>336</v>
      </c>
      <c r="P78" s="13" t="s">
        <v>186</v>
      </c>
      <c r="Q78" s="20" t="n">
        <v>372</v>
      </c>
      <c r="R78" s="20" t="n">
        <v>1288</v>
      </c>
      <c r="S78" s="20" t="n">
        <v>3198</v>
      </c>
      <c r="T78" s="20" t="n">
        <v>2795</v>
      </c>
      <c r="U78" s="20" t="n">
        <v>4542</v>
      </c>
      <c r="V78" s="13" t="s">
        <v>187</v>
      </c>
      <c r="W78" s="17"/>
      <c r="X78" s="13"/>
      <c r="Y78" s="13" t="s">
        <v>773</v>
      </c>
      <c r="Z78" s="13" t="s">
        <v>212</v>
      </c>
      <c r="AA78" s="13" t="s">
        <v>213</v>
      </c>
      <c r="AB78" s="13" t="s">
        <v>774</v>
      </c>
      <c r="AC78" s="18" t="n">
        <v>41.49</v>
      </c>
      <c r="AD78" s="13" t="s">
        <v>190</v>
      </c>
      <c r="AE78" s="19"/>
      <c r="AF78" s="19" t="n">
        <v>2.46</v>
      </c>
      <c r="AG78" s="19"/>
      <c r="AH78" s="13" t="s">
        <v>775</v>
      </c>
      <c r="AI78" s="17" t="n">
        <f aca="false">IF(OR(AC78="",AF78="",Settings!$B$5=""),"",ROUND(AC78-AF78*Settings!$B$5,2))</f>
        <v>32.49</v>
      </c>
      <c r="AJ78" s="13" t="s">
        <v>192</v>
      </c>
      <c r="AK78" s="13" t="s">
        <v>193</v>
      </c>
      <c r="AL78" s="14" t="s">
        <v>194</v>
      </c>
      <c r="AM78" s="13" t="s">
        <v>195</v>
      </c>
      <c r="AN78" s="15"/>
      <c r="AO78" s="13"/>
      <c r="AP78" s="13" t="s">
        <v>196</v>
      </c>
      <c r="AQ78" s="16" t="n">
        <f aca="false">IFERROR(IF(AND(INDEX(Mob_Demob!$D$6:$D$14,MATCH(AM78,Mob_Demob!$A$6:$A$14,0))="",INDEX(Mob_Demob!$G$6:$G$14,MATCH(AM78,Mob_Demob!$A$6:$A$14,0))=""),"",ROUND(MAX(N(INDEX(Mob_Demob!$G$6:$G$14,MATCH(AM78,Mob_Demob!$A$6:$A$14,0))),N(INDEX(Mob_Demob!$D$6:$D$14,MATCH(AM78,Mob_Demob!$A$6:$A$14,0)))*Settings!$B$6)+IF(AP78="Y",N(INDEX(Mob_Demob!$I$6:$I$14,MATCH(AM78,Mob_Demob!$A$6:$A$14,0)))*Settings!$B$19,0)+N(INDEX(Mob_Demob!$L$6:$L$14,MATCH(AM78,Mob_Demob!$A$6:$A$14,0)))*N(INDEX(Mob_Demob!$K$6:$K$14,MATCH(AM78,Mob_Demob!$A$6:$A$14,0)))*Settings!$B$6+N(INDEX(Mob_Demob!$M$6:$M$14,MATCH(AM78,Mob_Demob!$A$6:$A$14,0)))*N(INDEX(Mob_Demob!$N$6:$N$14,MATCH(AM78,Mob_Demob!$A$6:$A$14,0))),0)),"")</f>
        <v>500</v>
      </c>
      <c r="AR78" s="16" t="n">
        <f aca="false">IF(AQ78="","",ROUND(AQ78*Settings!$B$18,0))</f>
        <v>500</v>
      </c>
      <c r="AS78" s="13" t="s">
        <v>725</v>
      </c>
      <c r="AT78" s="14" t="s">
        <v>776</v>
      </c>
      <c r="AU78" s="14"/>
    </row>
    <row r="79" customFormat="false" ht="64.15" hidden="false" customHeight="false" outlineLevel="0" collapsed="false">
      <c r="A79" s="11" t="s">
        <v>777</v>
      </c>
      <c r="B79" s="11" t="s">
        <v>176</v>
      </c>
      <c r="C79" s="11" t="s">
        <v>716</v>
      </c>
      <c r="D79" s="11" t="s">
        <v>778</v>
      </c>
      <c r="E79" s="12" t="s">
        <v>779</v>
      </c>
      <c r="F79" s="13" t="s">
        <v>719</v>
      </c>
      <c r="G79" s="13" t="n">
        <v>2500</v>
      </c>
      <c r="H79" s="13" t="s">
        <v>334</v>
      </c>
      <c r="I79" s="14" t="s">
        <v>780</v>
      </c>
      <c r="J79" s="15"/>
      <c r="K79" s="13"/>
      <c r="L79" s="13" t="s">
        <v>781</v>
      </c>
      <c r="M79" s="13"/>
      <c r="N79" s="13" t="s">
        <v>184</v>
      </c>
      <c r="O79" s="13" t="s">
        <v>336</v>
      </c>
      <c r="P79" s="13" t="s">
        <v>186</v>
      </c>
      <c r="Q79" s="20" t="n">
        <v>383</v>
      </c>
      <c r="R79" s="20" t="n">
        <v>1383</v>
      </c>
      <c r="S79" s="20" t="n">
        <v>3450</v>
      </c>
      <c r="T79" s="20" t="n">
        <v>3133</v>
      </c>
      <c r="U79" s="20" t="n">
        <v>4106</v>
      </c>
      <c r="V79" s="13" t="s">
        <v>187</v>
      </c>
      <c r="W79" s="17"/>
      <c r="X79" s="13"/>
      <c r="Y79" s="13" t="s">
        <v>782</v>
      </c>
      <c r="Z79" s="13" t="s">
        <v>212</v>
      </c>
      <c r="AA79" s="13" t="s">
        <v>213</v>
      </c>
      <c r="AB79" s="13"/>
      <c r="AC79" s="17"/>
      <c r="AD79" s="13"/>
      <c r="AE79" s="19"/>
      <c r="AF79" s="19" t="n">
        <v>2.62</v>
      </c>
      <c r="AG79" s="19"/>
      <c r="AH79" s="13" t="s">
        <v>783</v>
      </c>
      <c r="AI79" s="17"/>
      <c r="AJ79" s="13" t="s">
        <v>188</v>
      </c>
      <c r="AK79" s="13" t="s">
        <v>188</v>
      </c>
      <c r="AL79" s="14" t="s">
        <v>194</v>
      </c>
      <c r="AM79" s="13" t="s">
        <v>195</v>
      </c>
      <c r="AN79" s="15"/>
      <c r="AO79" s="13"/>
      <c r="AP79" s="13" t="s">
        <v>196</v>
      </c>
      <c r="AQ79" s="16" t="n">
        <f aca="false">IFERROR(IF(AND(INDEX(Mob_Demob!$D$6:$D$14,MATCH(AM79,Mob_Demob!$A$6:$A$14,0))="",INDEX(Mob_Demob!$G$6:$G$14,MATCH(AM79,Mob_Demob!$A$6:$A$14,0))=""),"",ROUND(MAX(N(INDEX(Mob_Demob!$G$6:$G$14,MATCH(AM79,Mob_Demob!$A$6:$A$14,0))),N(INDEX(Mob_Demob!$D$6:$D$14,MATCH(AM79,Mob_Demob!$A$6:$A$14,0)))*Settings!$B$6)+IF(AP79="Y",N(INDEX(Mob_Demob!$I$6:$I$14,MATCH(AM79,Mob_Demob!$A$6:$A$14,0)))*Settings!$B$19,0)+N(INDEX(Mob_Demob!$L$6:$L$14,MATCH(AM79,Mob_Demob!$A$6:$A$14,0)))*N(INDEX(Mob_Demob!$K$6:$K$14,MATCH(AM79,Mob_Demob!$A$6:$A$14,0)))*Settings!$B$6+N(INDEX(Mob_Demob!$M$6:$M$14,MATCH(AM79,Mob_Demob!$A$6:$A$14,0)))*N(INDEX(Mob_Demob!$N$6:$N$14,MATCH(AM79,Mob_Demob!$A$6:$A$14,0))),0)),"")</f>
        <v>500</v>
      </c>
      <c r="AR79" s="16" t="n">
        <f aca="false">IF(AQ79="","",ROUND(AQ79*Settings!$B$18,0))</f>
        <v>500</v>
      </c>
      <c r="AS79" s="13" t="s">
        <v>725</v>
      </c>
      <c r="AT79" s="14" t="s">
        <v>784</v>
      </c>
      <c r="AU79" s="14" t="s">
        <v>341</v>
      </c>
    </row>
    <row r="80" customFormat="false" ht="64.15" hidden="false" customHeight="false" outlineLevel="0" collapsed="false">
      <c r="A80" s="11" t="s">
        <v>785</v>
      </c>
      <c r="B80" s="11" t="s">
        <v>176</v>
      </c>
      <c r="C80" s="11" t="s">
        <v>716</v>
      </c>
      <c r="D80" s="11" t="s">
        <v>786</v>
      </c>
      <c r="E80" s="12" t="s">
        <v>787</v>
      </c>
      <c r="F80" s="13" t="s">
        <v>719</v>
      </c>
      <c r="G80" s="13" t="n">
        <v>3500</v>
      </c>
      <c r="H80" s="13" t="s">
        <v>334</v>
      </c>
      <c r="I80" s="14" t="s">
        <v>788</v>
      </c>
      <c r="J80" s="15"/>
      <c r="K80" s="13" t="n">
        <v>105</v>
      </c>
      <c r="L80" s="13" t="s">
        <v>789</v>
      </c>
      <c r="M80" s="13"/>
      <c r="N80" s="13" t="s">
        <v>184</v>
      </c>
      <c r="O80" s="13" t="s">
        <v>336</v>
      </c>
      <c r="P80" s="13" t="s">
        <v>186</v>
      </c>
      <c r="Q80" s="20" t="n">
        <v>500</v>
      </c>
      <c r="R80" s="20" t="n">
        <v>1700</v>
      </c>
      <c r="S80" s="20" t="n">
        <v>4200</v>
      </c>
      <c r="T80" s="20" t="n">
        <v>3950</v>
      </c>
      <c r="U80" s="20" t="n">
        <v>10185</v>
      </c>
      <c r="V80" s="13" t="s">
        <v>187</v>
      </c>
      <c r="W80" s="17"/>
      <c r="X80" s="13"/>
      <c r="Y80" s="13" t="s">
        <v>790</v>
      </c>
      <c r="Z80" s="13" t="s">
        <v>212</v>
      </c>
      <c r="AA80" s="13" t="s">
        <v>213</v>
      </c>
      <c r="AB80" s="13" t="s">
        <v>791</v>
      </c>
      <c r="AC80" s="18" t="n">
        <v>62.38</v>
      </c>
      <c r="AD80" s="13" t="s">
        <v>190</v>
      </c>
      <c r="AE80" s="19"/>
      <c r="AF80" s="19" t="n">
        <v>3.3</v>
      </c>
      <c r="AG80" s="19"/>
      <c r="AH80" s="13" t="s">
        <v>792</v>
      </c>
      <c r="AI80" s="17" t="n">
        <f aca="false">IF(OR(AC80="",AF80="",Settings!$B$5=""),"",ROUND(AC80-AF80*Settings!$B$5,2))</f>
        <v>50.3</v>
      </c>
      <c r="AJ80" s="13" t="s">
        <v>192</v>
      </c>
      <c r="AK80" s="13" t="s">
        <v>193</v>
      </c>
      <c r="AL80" s="14" t="s">
        <v>194</v>
      </c>
      <c r="AM80" s="13" t="s">
        <v>195</v>
      </c>
      <c r="AN80" s="15"/>
      <c r="AO80" s="13"/>
      <c r="AP80" s="13" t="s">
        <v>196</v>
      </c>
      <c r="AQ80" s="16" t="n">
        <f aca="false">IFERROR(IF(AND(INDEX(Mob_Demob!$D$6:$D$14,MATCH(AM80,Mob_Demob!$A$6:$A$14,0))="",INDEX(Mob_Demob!$G$6:$G$14,MATCH(AM80,Mob_Demob!$A$6:$A$14,0))=""),"",ROUND(MAX(N(INDEX(Mob_Demob!$G$6:$G$14,MATCH(AM80,Mob_Demob!$A$6:$A$14,0))),N(INDEX(Mob_Demob!$D$6:$D$14,MATCH(AM80,Mob_Demob!$A$6:$A$14,0)))*Settings!$B$6)+IF(AP80="Y",N(INDEX(Mob_Demob!$I$6:$I$14,MATCH(AM80,Mob_Demob!$A$6:$A$14,0)))*Settings!$B$19,0)+N(INDEX(Mob_Demob!$L$6:$L$14,MATCH(AM80,Mob_Demob!$A$6:$A$14,0)))*N(INDEX(Mob_Demob!$K$6:$K$14,MATCH(AM80,Mob_Demob!$A$6:$A$14,0)))*Settings!$B$6+N(INDEX(Mob_Demob!$M$6:$M$14,MATCH(AM80,Mob_Demob!$A$6:$A$14,0)))*N(INDEX(Mob_Demob!$N$6:$N$14,MATCH(AM80,Mob_Demob!$A$6:$A$14,0))),0)),"")</f>
        <v>500</v>
      </c>
      <c r="AR80" s="16" t="n">
        <f aca="false">IF(AQ80="","",ROUND(AQ80*Settings!$B$18,0))</f>
        <v>500</v>
      </c>
      <c r="AS80" s="13" t="s">
        <v>725</v>
      </c>
      <c r="AT80" s="14" t="s">
        <v>793</v>
      </c>
      <c r="AU80" s="14"/>
    </row>
    <row r="81" customFormat="false" ht="64.15" hidden="false" customHeight="false" outlineLevel="0" collapsed="false">
      <c r="A81" s="11" t="s">
        <v>794</v>
      </c>
      <c r="B81" s="11" t="s">
        <v>176</v>
      </c>
      <c r="C81" s="11" t="s">
        <v>795</v>
      </c>
      <c r="D81" s="11" t="s">
        <v>796</v>
      </c>
      <c r="E81" s="12" t="s">
        <v>797</v>
      </c>
      <c r="F81" s="13" t="s">
        <v>798</v>
      </c>
      <c r="G81" s="13" t="n">
        <v>24</v>
      </c>
      <c r="H81" s="13" t="s">
        <v>799</v>
      </c>
      <c r="I81" s="14" t="s">
        <v>800</v>
      </c>
      <c r="J81" s="15"/>
      <c r="K81" s="13"/>
      <c r="L81" s="13" t="s">
        <v>801</v>
      </c>
      <c r="M81" s="13"/>
      <c r="N81" s="13" t="s">
        <v>184</v>
      </c>
      <c r="O81" s="13" t="s">
        <v>185</v>
      </c>
      <c r="P81" s="13" t="s">
        <v>186</v>
      </c>
      <c r="Q81" s="16"/>
      <c r="R81" s="16"/>
      <c r="S81" s="16"/>
      <c r="T81" s="16"/>
      <c r="U81" s="16"/>
      <c r="V81" s="13" t="s">
        <v>187</v>
      </c>
      <c r="W81" s="17"/>
      <c r="X81" s="13"/>
      <c r="Y81" s="13"/>
      <c r="Z81" s="13"/>
      <c r="AA81" s="13" t="s">
        <v>188</v>
      </c>
      <c r="AB81" s="13" t="s">
        <v>802</v>
      </c>
      <c r="AC81" s="18" t="n">
        <v>189.79</v>
      </c>
      <c r="AD81" s="13" t="s">
        <v>190</v>
      </c>
      <c r="AE81" s="19" t="n">
        <v>5.14</v>
      </c>
      <c r="AF81" s="19" t="n">
        <v>6.56</v>
      </c>
      <c r="AG81" s="19" t="n">
        <v>7.97</v>
      </c>
      <c r="AH81" s="13" t="s">
        <v>803</v>
      </c>
      <c r="AI81" s="17" t="n">
        <f aca="false">IF(OR(AC81="",AF81="",Settings!$B$5=""),"",ROUND(AC81-AF81*Settings!$B$5,2))</f>
        <v>165.78</v>
      </c>
      <c r="AJ81" s="13" t="s">
        <v>192</v>
      </c>
      <c r="AK81" s="13" t="s">
        <v>193</v>
      </c>
      <c r="AL81" s="14" t="s">
        <v>194</v>
      </c>
      <c r="AM81" s="13" t="s">
        <v>268</v>
      </c>
      <c r="AN81" s="15"/>
      <c r="AO81" s="13"/>
      <c r="AP81" s="13" t="s">
        <v>269</v>
      </c>
      <c r="AQ81" s="16" t="n">
        <f aca="false">IFERROR(IF(AND(INDEX(Mob_Demob!$D$6:$D$14,MATCH(AM81,Mob_Demob!$A$6:$A$14,0))="",INDEX(Mob_Demob!$G$6:$G$14,MATCH(AM81,Mob_Demob!$A$6:$A$14,0))=""),"",ROUND(MAX(N(INDEX(Mob_Demob!$G$6:$G$14,MATCH(AM81,Mob_Demob!$A$6:$A$14,0))),N(INDEX(Mob_Demob!$D$6:$D$14,MATCH(AM81,Mob_Demob!$A$6:$A$14,0)))*Settings!$B$6)+IF(AP81="Y",N(INDEX(Mob_Demob!$I$6:$I$14,MATCH(AM81,Mob_Demob!$A$6:$A$14,0)))*Settings!$B$19,0)+N(INDEX(Mob_Demob!$L$6:$L$14,MATCH(AM81,Mob_Demob!$A$6:$A$14,0)))*N(INDEX(Mob_Demob!$K$6:$K$14,MATCH(AM81,Mob_Demob!$A$6:$A$14,0)))*Settings!$B$6+N(INDEX(Mob_Demob!$M$6:$M$14,MATCH(AM81,Mob_Demob!$A$6:$A$14,0)))*N(INDEX(Mob_Demob!$N$6:$N$14,MATCH(AM81,Mob_Demob!$A$6:$A$14,0))),0)),"")</f>
        <v>1800</v>
      </c>
      <c r="AR81" s="16" t="n">
        <f aca="false">IF(AQ81="","",ROUND(AQ81*Settings!$B$18,0))</f>
        <v>1800</v>
      </c>
      <c r="AS81" s="13" t="s">
        <v>804</v>
      </c>
      <c r="AT81" s="14" t="s">
        <v>805</v>
      </c>
      <c r="AU81" s="14" t="s">
        <v>199</v>
      </c>
    </row>
    <row r="82" customFormat="false" ht="64.15" hidden="false" customHeight="false" outlineLevel="0" collapsed="false">
      <c r="A82" s="11" t="s">
        <v>806</v>
      </c>
      <c r="B82" s="11" t="s">
        <v>176</v>
      </c>
      <c r="C82" s="11" t="s">
        <v>795</v>
      </c>
      <c r="D82" s="11" t="s">
        <v>807</v>
      </c>
      <c r="E82" s="12" t="s">
        <v>808</v>
      </c>
      <c r="F82" s="13" t="s">
        <v>798</v>
      </c>
      <c r="G82" s="13" t="n">
        <v>23</v>
      </c>
      <c r="H82" s="13" t="s">
        <v>799</v>
      </c>
      <c r="I82" s="14" t="s">
        <v>809</v>
      </c>
      <c r="J82" s="15"/>
      <c r="K82" s="13"/>
      <c r="L82" s="13" t="s">
        <v>810</v>
      </c>
      <c r="M82" s="13"/>
      <c r="N82" s="13" t="s">
        <v>184</v>
      </c>
      <c r="O82" s="13" t="s">
        <v>185</v>
      </c>
      <c r="P82" s="13" t="s">
        <v>186</v>
      </c>
      <c r="Q82" s="16"/>
      <c r="R82" s="16"/>
      <c r="S82" s="16"/>
      <c r="T82" s="16"/>
      <c r="U82" s="16"/>
      <c r="V82" s="13" t="s">
        <v>187</v>
      </c>
      <c r="W82" s="17"/>
      <c r="X82" s="13"/>
      <c r="Y82" s="13"/>
      <c r="Z82" s="13"/>
      <c r="AA82" s="13" t="s">
        <v>188</v>
      </c>
      <c r="AB82" s="13"/>
      <c r="AC82" s="17"/>
      <c r="AD82" s="13"/>
      <c r="AE82" s="19" t="n">
        <v>5.93</v>
      </c>
      <c r="AF82" s="19" t="n">
        <v>7.59</v>
      </c>
      <c r="AG82" s="19" t="n">
        <v>9.25</v>
      </c>
      <c r="AH82" s="13" t="s">
        <v>811</v>
      </c>
      <c r="AI82" s="17"/>
      <c r="AJ82" s="13" t="s">
        <v>188</v>
      </c>
      <c r="AK82" s="13" t="s">
        <v>188</v>
      </c>
      <c r="AL82" s="14" t="s">
        <v>194</v>
      </c>
      <c r="AM82" s="13" t="s">
        <v>268</v>
      </c>
      <c r="AN82" s="15"/>
      <c r="AO82" s="13"/>
      <c r="AP82" s="13" t="s">
        <v>269</v>
      </c>
      <c r="AQ82" s="16" t="n">
        <f aca="false">IFERROR(IF(AND(INDEX(Mob_Demob!$D$6:$D$14,MATCH(AM82,Mob_Demob!$A$6:$A$14,0))="",INDEX(Mob_Demob!$G$6:$G$14,MATCH(AM82,Mob_Demob!$A$6:$A$14,0))=""),"",ROUND(MAX(N(INDEX(Mob_Demob!$G$6:$G$14,MATCH(AM82,Mob_Demob!$A$6:$A$14,0))),N(INDEX(Mob_Demob!$D$6:$D$14,MATCH(AM82,Mob_Demob!$A$6:$A$14,0)))*Settings!$B$6)+IF(AP82="Y",N(INDEX(Mob_Demob!$I$6:$I$14,MATCH(AM82,Mob_Demob!$A$6:$A$14,0)))*Settings!$B$19,0)+N(INDEX(Mob_Demob!$L$6:$L$14,MATCH(AM82,Mob_Demob!$A$6:$A$14,0)))*N(INDEX(Mob_Demob!$K$6:$K$14,MATCH(AM82,Mob_Demob!$A$6:$A$14,0)))*Settings!$B$6+N(INDEX(Mob_Demob!$M$6:$M$14,MATCH(AM82,Mob_Demob!$A$6:$A$14,0)))*N(INDEX(Mob_Demob!$N$6:$N$14,MATCH(AM82,Mob_Demob!$A$6:$A$14,0))),0)),"")</f>
        <v>1800</v>
      </c>
      <c r="AR82" s="16" t="n">
        <f aca="false">IF(AQ82="","",ROUND(AQ82*Settings!$B$18,0))</f>
        <v>1800</v>
      </c>
      <c r="AS82" s="13" t="s">
        <v>804</v>
      </c>
      <c r="AT82" s="14" t="s">
        <v>812</v>
      </c>
      <c r="AU82" s="14" t="s">
        <v>251</v>
      </c>
    </row>
    <row r="83" customFormat="false" ht="64.15" hidden="false" customHeight="false" outlineLevel="0" collapsed="false">
      <c r="A83" s="11" t="s">
        <v>813</v>
      </c>
      <c r="B83" s="11" t="s">
        <v>176</v>
      </c>
      <c r="C83" s="11" t="s">
        <v>795</v>
      </c>
      <c r="D83" s="11" t="s">
        <v>814</v>
      </c>
      <c r="E83" s="12" t="s">
        <v>797</v>
      </c>
      <c r="F83" s="13" t="s">
        <v>798</v>
      </c>
      <c r="G83" s="13" t="n">
        <v>24</v>
      </c>
      <c r="H83" s="13" t="s">
        <v>799</v>
      </c>
      <c r="I83" s="14" t="s">
        <v>815</v>
      </c>
      <c r="J83" s="15"/>
      <c r="K83" s="13"/>
      <c r="L83" s="13" t="s">
        <v>816</v>
      </c>
      <c r="M83" s="13"/>
      <c r="N83" s="13" t="s">
        <v>184</v>
      </c>
      <c r="O83" s="13" t="s">
        <v>185</v>
      </c>
      <c r="P83" s="13" t="s">
        <v>186</v>
      </c>
      <c r="Q83" s="16"/>
      <c r="R83" s="16"/>
      <c r="S83" s="16"/>
      <c r="T83" s="16"/>
      <c r="U83" s="16"/>
      <c r="V83" s="13" t="s">
        <v>187</v>
      </c>
      <c r="W83" s="17"/>
      <c r="X83" s="13"/>
      <c r="Y83" s="13"/>
      <c r="Z83" s="13"/>
      <c r="AA83" s="13" t="s">
        <v>188</v>
      </c>
      <c r="AB83" s="13"/>
      <c r="AC83" s="17"/>
      <c r="AD83" s="13"/>
      <c r="AE83" s="19" t="n">
        <v>10.52</v>
      </c>
      <c r="AF83" s="19" t="n">
        <v>9.77</v>
      </c>
      <c r="AG83" s="19" t="n">
        <v>9.03</v>
      </c>
      <c r="AH83" s="13" t="s">
        <v>817</v>
      </c>
      <c r="AI83" s="17"/>
      <c r="AJ83" s="13" t="s">
        <v>188</v>
      </c>
      <c r="AK83" s="13" t="s">
        <v>188</v>
      </c>
      <c r="AL83" s="14" t="s">
        <v>194</v>
      </c>
      <c r="AM83" s="13" t="s">
        <v>268</v>
      </c>
      <c r="AN83" s="15"/>
      <c r="AO83" s="13"/>
      <c r="AP83" s="13" t="s">
        <v>269</v>
      </c>
      <c r="AQ83" s="16" t="n">
        <f aca="false">IFERROR(IF(AND(INDEX(Mob_Demob!$D$6:$D$14,MATCH(AM83,Mob_Demob!$A$6:$A$14,0))="",INDEX(Mob_Demob!$G$6:$G$14,MATCH(AM83,Mob_Demob!$A$6:$A$14,0))=""),"",ROUND(MAX(N(INDEX(Mob_Demob!$G$6:$G$14,MATCH(AM83,Mob_Demob!$A$6:$A$14,0))),N(INDEX(Mob_Demob!$D$6:$D$14,MATCH(AM83,Mob_Demob!$A$6:$A$14,0)))*Settings!$B$6)+IF(AP83="Y",N(INDEX(Mob_Demob!$I$6:$I$14,MATCH(AM83,Mob_Demob!$A$6:$A$14,0)))*Settings!$B$19,0)+N(INDEX(Mob_Demob!$L$6:$L$14,MATCH(AM83,Mob_Demob!$A$6:$A$14,0)))*N(INDEX(Mob_Demob!$K$6:$K$14,MATCH(AM83,Mob_Demob!$A$6:$A$14,0)))*Settings!$B$6+N(INDEX(Mob_Demob!$M$6:$M$14,MATCH(AM83,Mob_Demob!$A$6:$A$14,0)))*N(INDEX(Mob_Demob!$N$6:$N$14,MATCH(AM83,Mob_Demob!$A$6:$A$14,0))),0)),"")</f>
        <v>1800</v>
      </c>
      <c r="AR83" s="16" t="n">
        <f aca="false">IF(AQ83="","",ROUND(AQ83*Settings!$B$18,0))</f>
        <v>1800</v>
      </c>
      <c r="AS83" s="13" t="s">
        <v>804</v>
      </c>
      <c r="AT83" s="14" t="s">
        <v>818</v>
      </c>
      <c r="AU83" s="14" t="s">
        <v>819</v>
      </c>
    </row>
    <row r="84" customFormat="false" ht="64.15" hidden="false" customHeight="false" outlineLevel="0" collapsed="false">
      <c r="A84" s="11" t="s">
        <v>820</v>
      </c>
      <c r="B84" s="11" t="s">
        <v>176</v>
      </c>
      <c r="C84" s="11" t="s">
        <v>795</v>
      </c>
      <c r="D84" s="11" t="s">
        <v>796</v>
      </c>
      <c r="E84" s="12" t="s">
        <v>821</v>
      </c>
      <c r="F84" s="13" t="s">
        <v>798</v>
      </c>
      <c r="G84" s="13" t="n">
        <v>34</v>
      </c>
      <c r="H84" s="13" t="s">
        <v>799</v>
      </c>
      <c r="I84" s="14" t="s">
        <v>822</v>
      </c>
      <c r="J84" s="15"/>
      <c r="K84" s="13"/>
      <c r="L84" s="13" t="s">
        <v>823</v>
      </c>
      <c r="M84" s="13"/>
      <c r="N84" s="13" t="s">
        <v>184</v>
      </c>
      <c r="O84" s="13" t="s">
        <v>185</v>
      </c>
      <c r="P84" s="13" t="s">
        <v>186</v>
      </c>
      <c r="Q84" s="16"/>
      <c r="R84" s="16"/>
      <c r="S84" s="16"/>
      <c r="T84" s="16"/>
      <c r="U84" s="16"/>
      <c r="V84" s="13" t="s">
        <v>187</v>
      </c>
      <c r="W84" s="17"/>
      <c r="X84" s="13"/>
      <c r="Y84" s="13"/>
      <c r="Z84" s="13"/>
      <c r="AA84" s="13" t="s">
        <v>188</v>
      </c>
      <c r="AB84" s="13" t="s">
        <v>824</v>
      </c>
      <c r="AC84" s="18" t="n">
        <v>344.22</v>
      </c>
      <c r="AD84" s="13" t="s">
        <v>190</v>
      </c>
      <c r="AE84" s="19" t="n">
        <v>6.99</v>
      </c>
      <c r="AF84" s="19" t="n">
        <v>9.06</v>
      </c>
      <c r="AG84" s="19" t="n">
        <v>11.13</v>
      </c>
      <c r="AH84" s="13" t="s">
        <v>825</v>
      </c>
      <c r="AI84" s="17" t="n">
        <f aca="false">IF(OR(AC84="",AF84="",Settings!$B$5=""),"",ROUND(AC84-AF84*Settings!$B$5,2))</f>
        <v>311.06</v>
      </c>
      <c r="AJ84" s="13" t="s">
        <v>192</v>
      </c>
      <c r="AK84" s="13" t="s">
        <v>193</v>
      </c>
      <c r="AL84" s="14" t="s">
        <v>194</v>
      </c>
      <c r="AM84" s="13" t="s">
        <v>268</v>
      </c>
      <c r="AN84" s="15"/>
      <c r="AO84" s="13"/>
      <c r="AP84" s="13" t="s">
        <v>269</v>
      </c>
      <c r="AQ84" s="16" t="n">
        <f aca="false">IFERROR(IF(AND(INDEX(Mob_Demob!$D$6:$D$14,MATCH(AM84,Mob_Demob!$A$6:$A$14,0))="",INDEX(Mob_Demob!$G$6:$G$14,MATCH(AM84,Mob_Demob!$A$6:$A$14,0))=""),"",ROUND(MAX(N(INDEX(Mob_Demob!$G$6:$G$14,MATCH(AM84,Mob_Demob!$A$6:$A$14,0))),N(INDEX(Mob_Demob!$D$6:$D$14,MATCH(AM84,Mob_Demob!$A$6:$A$14,0)))*Settings!$B$6)+IF(AP84="Y",N(INDEX(Mob_Demob!$I$6:$I$14,MATCH(AM84,Mob_Demob!$A$6:$A$14,0)))*Settings!$B$19,0)+N(INDEX(Mob_Demob!$L$6:$L$14,MATCH(AM84,Mob_Demob!$A$6:$A$14,0)))*N(INDEX(Mob_Demob!$K$6:$K$14,MATCH(AM84,Mob_Demob!$A$6:$A$14,0)))*Settings!$B$6+N(INDEX(Mob_Demob!$M$6:$M$14,MATCH(AM84,Mob_Demob!$A$6:$A$14,0)))*N(INDEX(Mob_Demob!$N$6:$N$14,MATCH(AM84,Mob_Demob!$A$6:$A$14,0))),0)),"")</f>
        <v>1800</v>
      </c>
      <c r="AR84" s="16" t="n">
        <f aca="false">IF(AQ84="","",ROUND(AQ84*Settings!$B$18,0))</f>
        <v>1800</v>
      </c>
      <c r="AS84" s="13" t="s">
        <v>804</v>
      </c>
      <c r="AT84" s="14" t="s">
        <v>826</v>
      </c>
      <c r="AU84" s="14" t="s">
        <v>199</v>
      </c>
    </row>
    <row r="85" customFormat="false" ht="64.15" hidden="false" customHeight="false" outlineLevel="0" collapsed="false">
      <c r="A85" s="11" t="s">
        <v>827</v>
      </c>
      <c r="B85" s="11" t="s">
        <v>176</v>
      </c>
      <c r="C85" s="11" t="s">
        <v>795</v>
      </c>
      <c r="D85" s="11" t="s">
        <v>828</v>
      </c>
      <c r="E85" s="12" t="s">
        <v>821</v>
      </c>
      <c r="F85" s="13" t="s">
        <v>798</v>
      </c>
      <c r="G85" s="13" t="n">
        <v>34</v>
      </c>
      <c r="H85" s="13" t="s">
        <v>799</v>
      </c>
      <c r="I85" s="14" t="s">
        <v>829</v>
      </c>
      <c r="J85" s="15"/>
      <c r="K85" s="13"/>
      <c r="L85" s="13" t="s">
        <v>823</v>
      </c>
      <c r="M85" s="13"/>
      <c r="N85" s="13" t="s">
        <v>184</v>
      </c>
      <c r="O85" s="13" t="s">
        <v>185</v>
      </c>
      <c r="P85" s="13" t="s">
        <v>186</v>
      </c>
      <c r="Q85" s="16"/>
      <c r="R85" s="16"/>
      <c r="S85" s="16"/>
      <c r="T85" s="16"/>
      <c r="U85" s="16"/>
      <c r="V85" s="13" t="s">
        <v>187</v>
      </c>
      <c r="W85" s="17"/>
      <c r="X85" s="13"/>
      <c r="Y85" s="13"/>
      <c r="Z85" s="13"/>
      <c r="AA85" s="13" t="s">
        <v>188</v>
      </c>
      <c r="AB85" s="13"/>
      <c r="AC85" s="17"/>
      <c r="AD85" s="13"/>
      <c r="AE85" s="19" t="n">
        <v>12.6</v>
      </c>
      <c r="AF85" s="19" t="n">
        <v>12.2</v>
      </c>
      <c r="AG85" s="19" t="n">
        <v>11.79</v>
      </c>
      <c r="AH85" s="13" t="s">
        <v>830</v>
      </c>
      <c r="AI85" s="17"/>
      <c r="AJ85" s="13" t="s">
        <v>188</v>
      </c>
      <c r="AK85" s="13" t="s">
        <v>188</v>
      </c>
      <c r="AL85" s="14" t="s">
        <v>194</v>
      </c>
      <c r="AM85" s="13" t="s">
        <v>268</v>
      </c>
      <c r="AN85" s="15"/>
      <c r="AO85" s="13"/>
      <c r="AP85" s="13" t="s">
        <v>269</v>
      </c>
      <c r="AQ85" s="16" t="n">
        <f aca="false">IFERROR(IF(AND(INDEX(Mob_Demob!$D$6:$D$14,MATCH(AM85,Mob_Demob!$A$6:$A$14,0))="",INDEX(Mob_Demob!$G$6:$G$14,MATCH(AM85,Mob_Demob!$A$6:$A$14,0))=""),"",ROUND(MAX(N(INDEX(Mob_Demob!$G$6:$G$14,MATCH(AM85,Mob_Demob!$A$6:$A$14,0))),N(INDEX(Mob_Demob!$D$6:$D$14,MATCH(AM85,Mob_Demob!$A$6:$A$14,0)))*Settings!$B$6)+IF(AP85="Y",N(INDEX(Mob_Demob!$I$6:$I$14,MATCH(AM85,Mob_Demob!$A$6:$A$14,0)))*Settings!$B$19,0)+N(INDEX(Mob_Demob!$L$6:$L$14,MATCH(AM85,Mob_Demob!$A$6:$A$14,0)))*N(INDEX(Mob_Demob!$K$6:$K$14,MATCH(AM85,Mob_Demob!$A$6:$A$14,0)))*Settings!$B$6+N(INDEX(Mob_Demob!$M$6:$M$14,MATCH(AM85,Mob_Demob!$A$6:$A$14,0)))*N(INDEX(Mob_Demob!$N$6:$N$14,MATCH(AM85,Mob_Demob!$A$6:$A$14,0))),0)),"")</f>
        <v>1800</v>
      </c>
      <c r="AR85" s="16" t="n">
        <f aca="false">IF(AQ85="","",ROUND(AQ85*Settings!$B$18,0))</f>
        <v>1800</v>
      </c>
      <c r="AS85" s="13" t="s">
        <v>804</v>
      </c>
      <c r="AT85" s="14" t="s">
        <v>831</v>
      </c>
      <c r="AU85" s="14" t="s">
        <v>819</v>
      </c>
    </row>
    <row r="86" customFormat="false" ht="64.15" hidden="false" customHeight="false" outlineLevel="0" collapsed="false">
      <c r="A86" s="11" t="s">
        <v>832</v>
      </c>
      <c r="B86" s="11" t="s">
        <v>176</v>
      </c>
      <c r="C86" s="11" t="s">
        <v>795</v>
      </c>
      <c r="D86" s="11" t="s">
        <v>796</v>
      </c>
      <c r="E86" s="12" t="s">
        <v>833</v>
      </c>
      <c r="F86" s="13" t="s">
        <v>798</v>
      </c>
      <c r="G86" s="13" t="n">
        <v>44</v>
      </c>
      <c r="H86" s="13" t="s">
        <v>799</v>
      </c>
      <c r="I86" s="14" t="s">
        <v>834</v>
      </c>
      <c r="J86" s="15"/>
      <c r="K86" s="13"/>
      <c r="L86" s="13" t="s">
        <v>835</v>
      </c>
      <c r="M86" s="13"/>
      <c r="N86" s="13" t="s">
        <v>184</v>
      </c>
      <c r="O86" s="13" t="s">
        <v>185</v>
      </c>
      <c r="P86" s="13" t="s">
        <v>186</v>
      </c>
      <c r="Q86" s="16"/>
      <c r="R86" s="16"/>
      <c r="S86" s="16"/>
      <c r="T86" s="16"/>
      <c r="U86" s="16"/>
      <c r="V86" s="13" t="s">
        <v>187</v>
      </c>
      <c r="W86" s="17"/>
      <c r="X86" s="13"/>
      <c r="Y86" s="13"/>
      <c r="Z86" s="13"/>
      <c r="AA86" s="13" t="s">
        <v>188</v>
      </c>
      <c r="AB86" s="13" t="s">
        <v>836</v>
      </c>
      <c r="AC86" s="18" t="n">
        <v>545.78</v>
      </c>
      <c r="AD86" s="13" t="s">
        <v>190</v>
      </c>
      <c r="AE86" s="19"/>
      <c r="AF86" s="19"/>
      <c r="AG86" s="19"/>
      <c r="AH86" s="13"/>
      <c r="AI86" s="17" t="str">
        <f aca="false">IF(OR(AC86="",AF86="",Settings!$B$5=""),"",ROUND(AC86-AF86*Settings!$B$5,2))</f>
        <v/>
      </c>
      <c r="AJ86" s="13" t="s">
        <v>192</v>
      </c>
      <c r="AK86" s="13" t="s">
        <v>193</v>
      </c>
      <c r="AL86" s="14" t="s">
        <v>194</v>
      </c>
      <c r="AM86" s="13" t="s">
        <v>268</v>
      </c>
      <c r="AN86" s="15"/>
      <c r="AO86" s="13"/>
      <c r="AP86" s="13" t="s">
        <v>269</v>
      </c>
      <c r="AQ86" s="16" t="n">
        <f aca="false">IFERROR(IF(AND(INDEX(Mob_Demob!$D$6:$D$14,MATCH(AM86,Mob_Demob!$A$6:$A$14,0))="",INDEX(Mob_Demob!$G$6:$G$14,MATCH(AM86,Mob_Demob!$A$6:$A$14,0))=""),"",ROUND(MAX(N(INDEX(Mob_Demob!$G$6:$G$14,MATCH(AM86,Mob_Demob!$A$6:$A$14,0))),N(INDEX(Mob_Demob!$D$6:$D$14,MATCH(AM86,Mob_Demob!$A$6:$A$14,0)))*Settings!$B$6)+IF(AP86="Y",N(INDEX(Mob_Demob!$I$6:$I$14,MATCH(AM86,Mob_Demob!$A$6:$A$14,0)))*Settings!$B$19,0)+N(INDEX(Mob_Demob!$L$6:$L$14,MATCH(AM86,Mob_Demob!$A$6:$A$14,0)))*N(INDEX(Mob_Demob!$K$6:$K$14,MATCH(AM86,Mob_Demob!$A$6:$A$14,0)))*Settings!$B$6+N(INDEX(Mob_Demob!$M$6:$M$14,MATCH(AM86,Mob_Demob!$A$6:$A$14,0)))*N(INDEX(Mob_Demob!$N$6:$N$14,MATCH(AM86,Mob_Demob!$A$6:$A$14,0))),0)),"")</f>
        <v>1800</v>
      </c>
      <c r="AR86" s="16" t="n">
        <f aca="false">IF(AQ86="","",ROUND(AQ86*Settings!$B$18,0))</f>
        <v>1800</v>
      </c>
      <c r="AS86" s="13" t="s">
        <v>804</v>
      </c>
      <c r="AT86" s="14" t="s">
        <v>837</v>
      </c>
      <c r="AU86" s="14" t="s">
        <v>838</v>
      </c>
    </row>
    <row r="87" customFormat="false" ht="64.15" hidden="false" customHeight="false" outlineLevel="0" collapsed="false">
      <c r="A87" s="11" t="s">
        <v>839</v>
      </c>
      <c r="B87" s="11" t="s">
        <v>176</v>
      </c>
      <c r="C87" s="11" t="s">
        <v>795</v>
      </c>
      <c r="D87" s="11" t="s">
        <v>828</v>
      </c>
      <c r="E87" s="12" t="s">
        <v>833</v>
      </c>
      <c r="F87" s="13" t="s">
        <v>798</v>
      </c>
      <c r="G87" s="13" t="n">
        <v>44</v>
      </c>
      <c r="H87" s="13" t="s">
        <v>799</v>
      </c>
      <c r="I87" s="14" t="s">
        <v>840</v>
      </c>
      <c r="J87" s="15"/>
      <c r="K87" s="13"/>
      <c r="L87" s="13" t="s">
        <v>841</v>
      </c>
      <c r="M87" s="13"/>
      <c r="N87" s="13" t="s">
        <v>184</v>
      </c>
      <c r="O87" s="13" t="s">
        <v>185</v>
      </c>
      <c r="P87" s="13" t="s">
        <v>186</v>
      </c>
      <c r="Q87" s="16"/>
      <c r="R87" s="16"/>
      <c r="S87" s="16"/>
      <c r="T87" s="16"/>
      <c r="U87" s="16"/>
      <c r="V87" s="13" t="s">
        <v>187</v>
      </c>
      <c r="W87" s="17"/>
      <c r="X87" s="13"/>
      <c r="Y87" s="13"/>
      <c r="Z87" s="13"/>
      <c r="AA87" s="13" t="s">
        <v>188</v>
      </c>
      <c r="AB87" s="13"/>
      <c r="AC87" s="17"/>
      <c r="AD87" s="13"/>
      <c r="AE87" s="19" t="n">
        <v>15.65</v>
      </c>
      <c r="AF87" s="19" t="n">
        <v>13.87</v>
      </c>
      <c r="AG87" s="19" t="n">
        <v>12.08</v>
      </c>
      <c r="AH87" s="13" t="s">
        <v>842</v>
      </c>
      <c r="AI87" s="17"/>
      <c r="AJ87" s="13" t="s">
        <v>188</v>
      </c>
      <c r="AK87" s="13" t="s">
        <v>188</v>
      </c>
      <c r="AL87" s="14" t="s">
        <v>194</v>
      </c>
      <c r="AM87" s="13" t="s">
        <v>268</v>
      </c>
      <c r="AN87" s="15"/>
      <c r="AO87" s="13"/>
      <c r="AP87" s="13" t="s">
        <v>269</v>
      </c>
      <c r="AQ87" s="16" t="n">
        <f aca="false">IFERROR(IF(AND(INDEX(Mob_Demob!$D$6:$D$14,MATCH(AM87,Mob_Demob!$A$6:$A$14,0))="",INDEX(Mob_Demob!$G$6:$G$14,MATCH(AM87,Mob_Demob!$A$6:$A$14,0))=""),"",ROUND(MAX(N(INDEX(Mob_Demob!$G$6:$G$14,MATCH(AM87,Mob_Demob!$A$6:$A$14,0))),N(INDEX(Mob_Demob!$D$6:$D$14,MATCH(AM87,Mob_Demob!$A$6:$A$14,0)))*Settings!$B$6)+IF(AP87="Y",N(INDEX(Mob_Demob!$I$6:$I$14,MATCH(AM87,Mob_Demob!$A$6:$A$14,0)))*Settings!$B$19,0)+N(INDEX(Mob_Demob!$L$6:$L$14,MATCH(AM87,Mob_Demob!$A$6:$A$14,0)))*N(INDEX(Mob_Demob!$K$6:$K$14,MATCH(AM87,Mob_Demob!$A$6:$A$14,0)))*Settings!$B$6+N(INDEX(Mob_Demob!$M$6:$M$14,MATCH(AM87,Mob_Demob!$A$6:$A$14,0)))*N(INDEX(Mob_Demob!$N$6:$N$14,MATCH(AM87,Mob_Demob!$A$6:$A$14,0))),0)),"")</f>
        <v>1800</v>
      </c>
      <c r="AR87" s="16" t="n">
        <f aca="false">IF(AQ87="","",ROUND(AQ87*Settings!$B$18,0))</f>
        <v>1800</v>
      </c>
      <c r="AS87" s="13" t="s">
        <v>804</v>
      </c>
      <c r="AT87" s="14" t="s">
        <v>843</v>
      </c>
      <c r="AU87" s="14" t="s">
        <v>819</v>
      </c>
    </row>
    <row r="88" customFormat="false" ht="64.15" hidden="false" customHeight="false" outlineLevel="0" collapsed="false">
      <c r="A88" s="11" t="s">
        <v>844</v>
      </c>
      <c r="B88" s="11" t="s">
        <v>176</v>
      </c>
      <c r="C88" s="11" t="s">
        <v>845</v>
      </c>
      <c r="D88" s="11" t="s">
        <v>846</v>
      </c>
      <c r="E88" s="12" t="s">
        <v>847</v>
      </c>
      <c r="F88" s="13" t="s">
        <v>848</v>
      </c>
      <c r="G88" s="13" t="n">
        <v>4.1</v>
      </c>
      <c r="H88" s="13" t="s">
        <v>479</v>
      </c>
      <c r="I88" s="14" t="s">
        <v>849</v>
      </c>
      <c r="J88" s="15"/>
      <c r="K88" s="13"/>
      <c r="L88" s="13" t="s">
        <v>850</v>
      </c>
      <c r="M88" s="13"/>
      <c r="N88" s="13" t="s">
        <v>851</v>
      </c>
      <c r="O88" s="13" t="s">
        <v>504</v>
      </c>
      <c r="P88" s="13" t="s">
        <v>186</v>
      </c>
      <c r="Q88" s="16"/>
      <c r="R88" s="16"/>
      <c r="S88" s="16"/>
      <c r="T88" s="16"/>
      <c r="U88" s="16"/>
      <c r="V88" s="13" t="s">
        <v>187</v>
      </c>
      <c r="W88" s="17"/>
      <c r="X88" s="13"/>
      <c r="Y88" s="13"/>
      <c r="Z88" s="13"/>
      <c r="AA88" s="13" t="s">
        <v>188</v>
      </c>
      <c r="AB88" s="13" t="s">
        <v>852</v>
      </c>
      <c r="AC88" s="18" t="n">
        <v>18.41</v>
      </c>
      <c r="AD88" s="13" t="s">
        <v>190</v>
      </c>
      <c r="AE88" s="19" t="n">
        <v>0</v>
      </c>
      <c r="AF88" s="19" t="n">
        <v>0</v>
      </c>
      <c r="AG88" s="19" t="n">
        <v>0</v>
      </c>
      <c r="AH88" s="13" t="s">
        <v>506</v>
      </c>
      <c r="AI88" s="17" t="n">
        <f aca="false">IF(OR(AC88="",AF88="",Settings!$B$5=""),"",ROUND(AC88-AF88*Settings!$B$5,2))</f>
        <v>18.41</v>
      </c>
      <c r="AJ88" s="13" t="s">
        <v>192</v>
      </c>
      <c r="AK88" s="13" t="s">
        <v>193</v>
      </c>
      <c r="AL88" s="14" t="s">
        <v>194</v>
      </c>
      <c r="AM88" s="13" t="s">
        <v>507</v>
      </c>
      <c r="AN88" s="15"/>
      <c r="AO88" s="13"/>
      <c r="AP88" s="13" t="s">
        <v>196</v>
      </c>
      <c r="AQ88" s="16" t="n">
        <f aca="false">IFERROR(IF(AND(INDEX(Mob_Demob!$D$6:$D$14,MATCH(AM88,Mob_Demob!$A$6:$A$14,0))="",INDEX(Mob_Demob!$G$6:$G$14,MATCH(AM88,Mob_Demob!$A$6:$A$14,0))=""),"",ROUND(MAX(N(INDEX(Mob_Demob!$G$6:$G$14,MATCH(AM88,Mob_Demob!$A$6:$A$14,0))),N(INDEX(Mob_Demob!$D$6:$D$14,MATCH(AM88,Mob_Demob!$A$6:$A$14,0)))*Settings!$B$6)+IF(AP88="Y",N(INDEX(Mob_Demob!$I$6:$I$14,MATCH(AM88,Mob_Demob!$A$6:$A$14,0)))*Settings!$B$19,0)+N(INDEX(Mob_Demob!$L$6:$L$14,MATCH(AM88,Mob_Demob!$A$6:$A$14,0)))*N(INDEX(Mob_Demob!$K$6:$K$14,MATCH(AM88,Mob_Demob!$A$6:$A$14,0)))*Settings!$B$6+N(INDEX(Mob_Demob!$M$6:$M$14,MATCH(AM88,Mob_Demob!$A$6:$A$14,0)))*N(INDEX(Mob_Demob!$N$6:$N$14,MATCH(AM88,Mob_Demob!$A$6:$A$14,0))),0)),"")</f>
        <v>400</v>
      </c>
      <c r="AR88" s="16" t="n">
        <f aca="false">IF(AQ88="","",ROUND(AQ88*Settings!$B$18,0))</f>
        <v>400</v>
      </c>
      <c r="AS88" s="13"/>
      <c r="AT88" s="14" t="s">
        <v>853</v>
      </c>
      <c r="AU88" s="14" t="s">
        <v>199</v>
      </c>
    </row>
    <row r="89" customFormat="false" ht="53.7" hidden="false" customHeight="false" outlineLevel="0" collapsed="false">
      <c r="A89" s="11" t="s">
        <v>854</v>
      </c>
      <c r="B89" s="11" t="s">
        <v>176</v>
      </c>
      <c r="C89" s="11" t="s">
        <v>855</v>
      </c>
      <c r="D89" s="11" t="s">
        <v>612</v>
      </c>
      <c r="E89" s="12" t="s">
        <v>856</v>
      </c>
      <c r="F89" s="13" t="s">
        <v>857</v>
      </c>
      <c r="G89" s="13" t="s">
        <v>858</v>
      </c>
      <c r="H89" s="13"/>
      <c r="I89" s="14" t="s">
        <v>859</v>
      </c>
      <c r="J89" s="15"/>
      <c r="K89" s="13"/>
      <c r="L89" s="13"/>
      <c r="M89" s="13"/>
      <c r="N89" s="13" t="s">
        <v>184</v>
      </c>
      <c r="O89" s="13" t="s">
        <v>185</v>
      </c>
      <c r="P89" s="13" t="s">
        <v>186</v>
      </c>
      <c r="Q89" s="20" t="n">
        <v>1073</v>
      </c>
      <c r="R89" s="20" t="n">
        <v>3111</v>
      </c>
      <c r="S89" s="20" t="n">
        <v>9021</v>
      </c>
      <c r="T89" s="16"/>
      <c r="U89" s="16"/>
      <c r="V89" s="13" t="s">
        <v>187</v>
      </c>
      <c r="W89" s="17"/>
      <c r="X89" s="13"/>
      <c r="Y89" s="13" t="s">
        <v>259</v>
      </c>
      <c r="Z89" s="13" t="s">
        <v>260</v>
      </c>
      <c r="AA89" s="13" t="s">
        <v>192</v>
      </c>
      <c r="AB89" s="13"/>
      <c r="AC89" s="17"/>
      <c r="AD89" s="13"/>
      <c r="AE89" s="19"/>
      <c r="AF89" s="19"/>
      <c r="AG89" s="19"/>
      <c r="AH89" s="13"/>
      <c r="AI89" s="17"/>
      <c r="AJ89" s="13" t="s">
        <v>188</v>
      </c>
      <c r="AK89" s="13" t="s">
        <v>188</v>
      </c>
      <c r="AL89" s="14" t="s">
        <v>860</v>
      </c>
      <c r="AM89" s="13" t="s">
        <v>216</v>
      </c>
      <c r="AN89" s="15"/>
      <c r="AO89" s="13"/>
      <c r="AP89" s="13" t="s">
        <v>241</v>
      </c>
      <c r="AQ89" s="16" t="n">
        <f aca="false">IFERROR(IF(AND(INDEX(Mob_Demob!$D$6:$D$14,MATCH(AM89,Mob_Demob!$A$6:$A$14,0))="",INDEX(Mob_Demob!$G$6:$G$14,MATCH(AM89,Mob_Demob!$A$6:$A$14,0))=""),"",ROUND(MAX(N(INDEX(Mob_Demob!$G$6:$G$14,MATCH(AM89,Mob_Demob!$A$6:$A$14,0))),N(INDEX(Mob_Demob!$D$6:$D$14,MATCH(AM89,Mob_Demob!$A$6:$A$14,0)))*Settings!$B$6)+IF(AP89="Y",N(INDEX(Mob_Demob!$I$6:$I$14,MATCH(AM89,Mob_Demob!$A$6:$A$14,0)))*Settings!$B$19,0)+N(INDEX(Mob_Demob!$L$6:$L$14,MATCH(AM89,Mob_Demob!$A$6:$A$14,0)))*N(INDEX(Mob_Demob!$K$6:$K$14,MATCH(AM89,Mob_Demob!$A$6:$A$14,0)))*Settings!$B$6+N(INDEX(Mob_Demob!$M$6:$M$14,MATCH(AM89,Mob_Demob!$A$6:$A$14,0)))*N(INDEX(Mob_Demob!$N$6:$N$14,MATCH(AM89,Mob_Demob!$A$6:$A$14,0))),0)),"")</f>
        <v>550</v>
      </c>
      <c r="AR89" s="16" t="n">
        <f aca="false">IF(AQ89="","",ROUND(AQ89*Settings!$B$18,0))</f>
        <v>550</v>
      </c>
      <c r="AS89" s="13" t="s">
        <v>861</v>
      </c>
      <c r="AT89" s="14" t="s">
        <v>862</v>
      </c>
      <c r="AU89" s="14" t="s">
        <v>262</v>
      </c>
    </row>
    <row r="90" customFormat="false" ht="53.7" hidden="false" customHeight="false" outlineLevel="0" collapsed="false">
      <c r="A90" s="11" t="s">
        <v>863</v>
      </c>
      <c r="B90" s="11" t="s">
        <v>176</v>
      </c>
      <c r="C90" s="11" t="s">
        <v>855</v>
      </c>
      <c r="D90" s="11" t="s">
        <v>864</v>
      </c>
      <c r="E90" s="12" t="s">
        <v>865</v>
      </c>
      <c r="F90" s="13" t="s">
        <v>866</v>
      </c>
      <c r="G90" s="13" t="n">
        <v>12</v>
      </c>
      <c r="H90" s="13" t="s">
        <v>462</v>
      </c>
      <c r="I90" s="14" t="s">
        <v>867</v>
      </c>
      <c r="J90" s="15" t="n">
        <v>35067</v>
      </c>
      <c r="K90" s="13" t="n">
        <v>130</v>
      </c>
      <c r="L90" s="13" t="s">
        <v>864</v>
      </c>
      <c r="M90" s="13"/>
      <c r="N90" s="13" t="s">
        <v>184</v>
      </c>
      <c r="O90" s="13" t="s">
        <v>185</v>
      </c>
      <c r="P90" s="13" t="s">
        <v>186</v>
      </c>
      <c r="Q90" s="16"/>
      <c r="R90" s="16"/>
      <c r="S90" s="16"/>
      <c r="T90" s="16"/>
      <c r="U90" s="16"/>
      <c r="V90" s="13" t="s">
        <v>187</v>
      </c>
      <c r="W90" s="17"/>
      <c r="X90" s="13"/>
      <c r="Y90" s="13"/>
      <c r="Z90" s="13"/>
      <c r="AA90" s="13" t="s">
        <v>188</v>
      </c>
      <c r="AB90" s="13" t="s">
        <v>868</v>
      </c>
      <c r="AC90" s="18" t="n">
        <v>131.96</v>
      </c>
      <c r="AD90" s="13" t="s">
        <v>190</v>
      </c>
      <c r="AE90" s="19" t="n">
        <v>2.35</v>
      </c>
      <c r="AF90" s="19" t="n">
        <v>2.9</v>
      </c>
      <c r="AG90" s="19" t="n">
        <v>3.45</v>
      </c>
      <c r="AH90" s="13" t="s">
        <v>869</v>
      </c>
      <c r="AI90" s="17" t="n">
        <f aca="false">IF(OR(AC90="",AF90="",Settings!$B$5=""),"",ROUND(AC90-AF90*Settings!$B$5,2))</f>
        <v>121.35</v>
      </c>
      <c r="AJ90" s="13" t="s">
        <v>192</v>
      </c>
      <c r="AK90" s="13" t="s">
        <v>193</v>
      </c>
      <c r="AL90" s="14" t="s">
        <v>860</v>
      </c>
      <c r="AM90" s="13" t="s">
        <v>216</v>
      </c>
      <c r="AN90" s="15" t="n">
        <v>35067</v>
      </c>
      <c r="AO90" s="13"/>
      <c r="AP90" s="13" t="s">
        <v>196</v>
      </c>
      <c r="AQ90" s="16" t="n">
        <f aca="false">IFERROR(IF(AND(INDEX(Mob_Demob!$D$6:$D$14,MATCH(AM90,Mob_Demob!$A$6:$A$14,0))="",INDEX(Mob_Demob!$G$6:$G$14,MATCH(AM90,Mob_Demob!$A$6:$A$14,0))=""),"",ROUND(MAX(N(INDEX(Mob_Demob!$G$6:$G$14,MATCH(AM90,Mob_Demob!$A$6:$A$14,0))),N(INDEX(Mob_Demob!$D$6:$D$14,MATCH(AM90,Mob_Demob!$A$6:$A$14,0)))*Settings!$B$6)+IF(AP90="Y",N(INDEX(Mob_Demob!$I$6:$I$14,MATCH(AM90,Mob_Demob!$A$6:$A$14,0)))*Settings!$B$19,0)+N(INDEX(Mob_Demob!$L$6:$L$14,MATCH(AM90,Mob_Demob!$A$6:$A$14,0)))*N(INDEX(Mob_Demob!$K$6:$K$14,MATCH(AM90,Mob_Demob!$A$6:$A$14,0)))*Settings!$B$6+N(INDEX(Mob_Demob!$M$6:$M$14,MATCH(AM90,Mob_Demob!$A$6:$A$14,0)))*N(INDEX(Mob_Demob!$N$6:$N$14,MATCH(AM90,Mob_Demob!$A$6:$A$14,0))),0)),"")</f>
        <v>550</v>
      </c>
      <c r="AR90" s="16" t="n">
        <f aca="false">IF(AQ90="","",ROUND(AQ90*Settings!$B$18,0))</f>
        <v>550</v>
      </c>
      <c r="AS90" s="13" t="s">
        <v>870</v>
      </c>
      <c r="AT90" s="14" t="s">
        <v>871</v>
      </c>
      <c r="AU90" s="14" t="s">
        <v>199</v>
      </c>
    </row>
    <row r="91" customFormat="false" ht="53.7" hidden="false" customHeight="false" outlineLevel="0" collapsed="false">
      <c r="A91" s="11" t="s">
        <v>872</v>
      </c>
      <c r="B91" s="11" t="s">
        <v>176</v>
      </c>
      <c r="C91" s="11" t="s">
        <v>855</v>
      </c>
      <c r="D91" s="11" t="s">
        <v>864</v>
      </c>
      <c r="E91" s="12" t="s">
        <v>873</v>
      </c>
      <c r="F91" s="13" t="s">
        <v>866</v>
      </c>
      <c r="G91" s="13" t="n">
        <v>12</v>
      </c>
      <c r="H91" s="13" t="s">
        <v>462</v>
      </c>
      <c r="I91" s="14" t="s">
        <v>874</v>
      </c>
      <c r="J91" s="15" t="n">
        <v>42647</v>
      </c>
      <c r="K91" s="13" t="n">
        <v>179</v>
      </c>
      <c r="L91" s="13" t="s">
        <v>864</v>
      </c>
      <c r="M91" s="13"/>
      <c r="N91" s="13" t="s">
        <v>184</v>
      </c>
      <c r="O91" s="13" t="s">
        <v>185</v>
      </c>
      <c r="P91" s="13" t="s">
        <v>186</v>
      </c>
      <c r="Q91" s="20" t="n">
        <v>1949</v>
      </c>
      <c r="R91" s="20" t="n">
        <v>5652</v>
      </c>
      <c r="S91" s="20" t="n">
        <v>16389</v>
      </c>
      <c r="T91" s="16"/>
      <c r="U91" s="16"/>
      <c r="V91" s="13" t="s">
        <v>187</v>
      </c>
      <c r="W91" s="17"/>
      <c r="X91" s="13"/>
      <c r="Y91" s="13" t="s">
        <v>259</v>
      </c>
      <c r="Z91" s="13" t="s">
        <v>260</v>
      </c>
      <c r="AA91" s="13" t="s">
        <v>192</v>
      </c>
      <c r="AB91" s="13" t="s">
        <v>875</v>
      </c>
      <c r="AC91" s="18" t="n">
        <v>159.04</v>
      </c>
      <c r="AD91" s="13" t="s">
        <v>190</v>
      </c>
      <c r="AE91" s="19" t="n">
        <v>2.83</v>
      </c>
      <c r="AF91" s="19" t="n">
        <v>3.53</v>
      </c>
      <c r="AG91" s="19" t="n">
        <v>4.24</v>
      </c>
      <c r="AH91" s="13" t="s">
        <v>876</v>
      </c>
      <c r="AI91" s="17" t="n">
        <f aca="false">IF(OR(AC91="",AF91="",Settings!$B$5=""),"",ROUND(AC91-AF91*Settings!$B$5,2))</f>
        <v>146.12</v>
      </c>
      <c r="AJ91" s="13" t="s">
        <v>192</v>
      </c>
      <c r="AK91" s="13" t="s">
        <v>193</v>
      </c>
      <c r="AL91" s="14" t="s">
        <v>860</v>
      </c>
      <c r="AM91" s="13" t="s">
        <v>216</v>
      </c>
      <c r="AN91" s="15" t="n">
        <v>42647</v>
      </c>
      <c r="AO91" s="13"/>
      <c r="AP91" s="13" t="s">
        <v>196</v>
      </c>
      <c r="AQ91" s="16" t="n">
        <f aca="false">IFERROR(IF(AND(INDEX(Mob_Demob!$D$6:$D$14,MATCH(AM91,Mob_Demob!$A$6:$A$14,0))="",INDEX(Mob_Demob!$G$6:$G$14,MATCH(AM91,Mob_Demob!$A$6:$A$14,0))=""),"",ROUND(MAX(N(INDEX(Mob_Demob!$G$6:$G$14,MATCH(AM91,Mob_Demob!$A$6:$A$14,0))),N(INDEX(Mob_Demob!$D$6:$D$14,MATCH(AM91,Mob_Demob!$A$6:$A$14,0)))*Settings!$B$6)+IF(AP91="Y",N(INDEX(Mob_Demob!$I$6:$I$14,MATCH(AM91,Mob_Demob!$A$6:$A$14,0)))*Settings!$B$19,0)+N(INDEX(Mob_Demob!$L$6:$L$14,MATCH(AM91,Mob_Demob!$A$6:$A$14,0)))*N(INDEX(Mob_Demob!$K$6:$K$14,MATCH(AM91,Mob_Demob!$A$6:$A$14,0)))*Settings!$B$6+N(INDEX(Mob_Demob!$M$6:$M$14,MATCH(AM91,Mob_Demob!$A$6:$A$14,0)))*N(INDEX(Mob_Demob!$N$6:$N$14,MATCH(AM91,Mob_Demob!$A$6:$A$14,0))),0)),"")</f>
        <v>550</v>
      </c>
      <c r="AR91" s="16" t="n">
        <f aca="false">IF(AQ91="","",ROUND(AQ91*Settings!$B$18,0))</f>
        <v>550</v>
      </c>
      <c r="AS91" s="13" t="s">
        <v>870</v>
      </c>
      <c r="AT91" s="14" t="s">
        <v>877</v>
      </c>
      <c r="AU91" s="14"/>
    </row>
    <row r="92" customFormat="false" ht="53.7" hidden="false" customHeight="false" outlineLevel="0" collapsed="false">
      <c r="A92" s="11" t="s">
        <v>878</v>
      </c>
      <c r="B92" s="11" t="s">
        <v>176</v>
      </c>
      <c r="C92" s="11" t="s">
        <v>855</v>
      </c>
      <c r="D92" s="11" t="s">
        <v>864</v>
      </c>
      <c r="E92" s="12" t="s">
        <v>879</v>
      </c>
      <c r="F92" s="13" t="s">
        <v>866</v>
      </c>
      <c r="G92" s="13" t="n">
        <v>12</v>
      </c>
      <c r="H92" s="13" t="s">
        <v>462</v>
      </c>
      <c r="I92" s="14" t="s">
        <v>880</v>
      </c>
      <c r="J92" s="15"/>
      <c r="K92" s="13" t="n">
        <v>171</v>
      </c>
      <c r="L92" s="13" t="s">
        <v>864</v>
      </c>
      <c r="M92" s="13"/>
      <c r="N92" s="13" t="s">
        <v>184</v>
      </c>
      <c r="O92" s="13" t="s">
        <v>185</v>
      </c>
      <c r="P92" s="13" t="s">
        <v>186</v>
      </c>
      <c r="Q92" s="16"/>
      <c r="R92" s="16"/>
      <c r="S92" s="16"/>
      <c r="T92" s="16"/>
      <c r="U92" s="16"/>
      <c r="V92" s="13" t="s">
        <v>187</v>
      </c>
      <c r="W92" s="17"/>
      <c r="X92" s="13"/>
      <c r="Y92" s="13"/>
      <c r="Z92" s="13"/>
      <c r="AA92" s="13" t="s">
        <v>188</v>
      </c>
      <c r="AB92" s="13"/>
      <c r="AC92" s="17"/>
      <c r="AD92" s="13"/>
      <c r="AE92" s="19" t="n">
        <f aca="false">ROUND(K92*Settings!$B$11*Settings!$B$13,2)</f>
        <v>2.91</v>
      </c>
      <c r="AF92" s="19" t="n">
        <f aca="false">ROUND(K92*Settings!$B$11*Settings!$B$14,2)</f>
        <v>3.82</v>
      </c>
      <c r="AG92" s="19" t="n">
        <f aca="false">ROUND(K92*Settings!$B$11*Settings!$B$15,2)</f>
        <v>4.99</v>
      </c>
      <c r="AH92" s="13" t="s">
        <v>191</v>
      </c>
      <c r="AI92" s="17"/>
      <c r="AJ92" s="13" t="s">
        <v>188</v>
      </c>
      <c r="AK92" s="13" t="s">
        <v>188</v>
      </c>
      <c r="AL92" s="14" t="s">
        <v>860</v>
      </c>
      <c r="AM92" s="13" t="s">
        <v>216</v>
      </c>
      <c r="AN92" s="15"/>
      <c r="AO92" s="13"/>
      <c r="AP92" s="13" t="s">
        <v>241</v>
      </c>
      <c r="AQ92" s="16" t="n">
        <f aca="false">IFERROR(IF(AND(INDEX(Mob_Demob!$D$6:$D$14,MATCH(AM92,Mob_Demob!$A$6:$A$14,0))="",INDEX(Mob_Demob!$G$6:$G$14,MATCH(AM92,Mob_Demob!$A$6:$A$14,0))=""),"",ROUND(MAX(N(INDEX(Mob_Demob!$G$6:$G$14,MATCH(AM92,Mob_Demob!$A$6:$A$14,0))),N(INDEX(Mob_Demob!$D$6:$D$14,MATCH(AM92,Mob_Demob!$A$6:$A$14,0)))*Settings!$B$6)+IF(AP92="Y",N(INDEX(Mob_Demob!$I$6:$I$14,MATCH(AM92,Mob_Demob!$A$6:$A$14,0)))*Settings!$B$19,0)+N(INDEX(Mob_Demob!$L$6:$L$14,MATCH(AM92,Mob_Demob!$A$6:$A$14,0)))*N(INDEX(Mob_Demob!$K$6:$K$14,MATCH(AM92,Mob_Demob!$A$6:$A$14,0)))*Settings!$B$6+N(INDEX(Mob_Demob!$M$6:$M$14,MATCH(AM92,Mob_Demob!$A$6:$A$14,0)))*N(INDEX(Mob_Demob!$N$6:$N$14,MATCH(AM92,Mob_Demob!$A$6:$A$14,0))),0)),"")</f>
        <v>550</v>
      </c>
      <c r="AR92" s="16" t="n">
        <f aca="false">IF(AQ92="","",ROUND(AQ92*Settings!$B$18,0))</f>
        <v>550</v>
      </c>
      <c r="AS92" s="13" t="s">
        <v>870</v>
      </c>
      <c r="AT92" s="14" t="s">
        <v>881</v>
      </c>
      <c r="AU92" s="14" t="s">
        <v>251</v>
      </c>
    </row>
    <row r="93" customFormat="false" ht="53.7" hidden="false" customHeight="false" outlineLevel="0" collapsed="false">
      <c r="A93" s="11" t="s">
        <v>882</v>
      </c>
      <c r="B93" s="11" t="s">
        <v>176</v>
      </c>
      <c r="C93" s="11" t="s">
        <v>855</v>
      </c>
      <c r="D93" s="11" t="s">
        <v>864</v>
      </c>
      <c r="E93" s="12" t="s">
        <v>883</v>
      </c>
      <c r="F93" s="13" t="s">
        <v>866</v>
      </c>
      <c r="G93" s="13" t="n">
        <v>12</v>
      </c>
      <c r="H93" s="13" t="s">
        <v>462</v>
      </c>
      <c r="I93" s="14" t="s">
        <v>884</v>
      </c>
      <c r="J93" s="15"/>
      <c r="K93" s="13" t="n">
        <v>196</v>
      </c>
      <c r="L93" s="13" t="s">
        <v>864</v>
      </c>
      <c r="M93" s="13"/>
      <c r="N93" s="13" t="s">
        <v>184</v>
      </c>
      <c r="O93" s="13" t="s">
        <v>185</v>
      </c>
      <c r="P93" s="13" t="s">
        <v>186</v>
      </c>
      <c r="Q93" s="16"/>
      <c r="R93" s="16"/>
      <c r="S93" s="16"/>
      <c r="T93" s="16"/>
      <c r="U93" s="16"/>
      <c r="V93" s="13" t="s">
        <v>187</v>
      </c>
      <c r="W93" s="17"/>
      <c r="X93" s="13"/>
      <c r="Y93" s="13"/>
      <c r="Z93" s="13"/>
      <c r="AA93" s="13" t="s">
        <v>188</v>
      </c>
      <c r="AB93" s="13"/>
      <c r="AC93" s="17"/>
      <c r="AD93" s="13"/>
      <c r="AE93" s="19" t="n">
        <v>2.67</v>
      </c>
      <c r="AF93" s="19" t="n">
        <v>3.37</v>
      </c>
      <c r="AG93" s="19" t="n">
        <v>4.06</v>
      </c>
      <c r="AH93" s="13" t="s">
        <v>885</v>
      </c>
      <c r="AI93" s="17"/>
      <c r="AJ93" s="13" t="s">
        <v>188</v>
      </c>
      <c r="AK93" s="13" t="s">
        <v>188</v>
      </c>
      <c r="AL93" s="14" t="s">
        <v>860</v>
      </c>
      <c r="AM93" s="13" t="s">
        <v>216</v>
      </c>
      <c r="AN93" s="15"/>
      <c r="AO93" s="13"/>
      <c r="AP93" s="13" t="s">
        <v>241</v>
      </c>
      <c r="AQ93" s="16" t="n">
        <f aca="false">IFERROR(IF(AND(INDEX(Mob_Demob!$D$6:$D$14,MATCH(AM93,Mob_Demob!$A$6:$A$14,0))="",INDEX(Mob_Demob!$G$6:$G$14,MATCH(AM93,Mob_Demob!$A$6:$A$14,0))=""),"",ROUND(MAX(N(INDEX(Mob_Demob!$G$6:$G$14,MATCH(AM93,Mob_Demob!$A$6:$A$14,0))),N(INDEX(Mob_Demob!$D$6:$D$14,MATCH(AM93,Mob_Demob!$A$6:$A$14,0)))*Settings!$B$6)+IF(AP93="Y",N(INDEX(Mob_Demob!$I$6:$I$14,MATCH(AM93,Mob_Demob!$A$6:$A$14,0)))*Settings!$B$19,0)+N(INDEX(Mob_Demob!$L$6:$L$14,MATCH(AM93,Mob_Demob!$A$6:$A$14,0)))*N(INDEX(Mob_Demob!$K$6:$K$14,MATCH(AM93,Mob_Demob!$A$6:$A$14,0)))*Settings!$B$6+N(INDEX(Mob_Demob!$M$6:$M$14,MATCH(AM93,Mob_Demob!$A$6:$A$14,0)))*N(INDEX(Mob_Demob!$N$6:$N$14,MATCH(AM93,Mob_Demob!$A$6:$A$14,0))),0)),"")</f>
        <v>550</v>
      </c>
      <c r="AR93" s="16" t="n">
        <f aca="false">IF(AQ93="","",ROUND(AQ93*Settings!$B$18,0))</f>
        <v>550</v>
      </c>
      <c r="AS93" s="13" t="s">
        <v>870</v>
      </c>
      <c r="AT93" s="14" t="s">
        <v>886</v>
      </c>
      <c r="AU93" s="14" t="s">
        <v>251</v>
      </c>
    </row>
    <row r="94" customFormat="false" ht="53.7" hidden="false" customHeight="false" outlineLevel="0" collapsed="false">
      <c r="A94" s="11" t="s">
        <v>887</v>
      </c>
      <c r="B94" s="11" t="s">
        <v>176</v>
      </c>
      <c r="C94" s="11" t="s">
        <v>855</v>
      </c>
      <c r="D94" s="11" t="s">
        <v>864</v>
      </c>
      <c r="E94" s="12" t="s">
        <v>888</v>
      </c>
      <c r="F94" s="13" t="s">
        <v>866</v>
      </c>
      <c r="G94" s="13" t="n">
        <v>12</v>
      </c>
      <c r="H94" s="13" t="s">
        <v>462</v>
      </c>
      <c r="I94" s="14" t="s">
        <v>889</v>
      </c>
      <c r="J94" s="15"/>
      <c r="K94" s="13" t="n">
        <v>200</v>
      </c>
      <c r="L94" s="13" t="s">
        <v>864</v>
      </c>
      <c r="M94" s="13"/>
      <c r="N94" s="13" t="s">
        <v>184</v>
      </c>
      <c r="O94" s="13" t="s">
        <v>185</v>
      </c>
      <c r="P94" s="13" t="s">
        <v>186</v>
      </c>
      <c r="Q94" s="20" t="n">
        <v>1949</v>
      </c>
      <c r="R94" s="20" t="n">
        <v>5652</v>
      </c>
      <c r="S94" s="20" t="n">
        <v>16389</v>
      </c>
      <c r="T94" s="16"/>
      <c r="U94" s="16"/>
      <c r="V94" s="13" t="s">
        <v>187</v>
      </c>
      <c r="W94" s="17"/>
      <c r="X94" s="13"/>
      <c r="Y94" s="13" t="s">
        <v>259</v>
      </c>
      <c r="Z94" s="13" t="s">
        <v>260</v>
      </c>
      <c r="AA94" s="13" t="s">
        <v>192</v>
      </c>
      <c r="AB94" s="13"/>
      <c r="AC94" s="17" t="n">
        <f aca="false">ROUND(AC91+(AC95-AC91)*(K94-K91)/(K95-K91),2)</f>
        <v>192.84</v>
      </c>
      <c r="AD94" s="13" t="s">
        <v>205</v>
      </c>
      <c r="AE94" s="19" t="n">
        <v>2.87</v>
      </c>
      <c r="AF94" s="19" t="n">
        <v>3.58</v>
      </c>
      <c r="AG94" s="19" t="n">
        <v>4.29</v>
      </c>
      <c r="AH94" s="13" t="s">
        <v>890</v>
      </c>
      <c r="AI94" s="17" t="n">
        <f aca="false">IF(OR(AC94="",AF94="",Settings!$B$5=""),"",ROUND(AC94-AF94*Settings!$B$5,2))</f>
        <v>179.74</v>
      </c>
      <c r="AJ94" s="13" t="s">
        <v>193</v>
      </c>
      <c r="AK94" s="13" t="s">
        <v>193</v>
      </c>
      <c r="AL94" s="14" t="s">
        <v>860</v>
      </c>
      <c r="AM94" s="13" t="s">
        <v>216</v>
      </c>
      <c r="AN94" s="15"/>
      <c r="AO94" s="13"/>
      <c r="AP94" s="13" t="s">
        <v>241</v>
      </c>
      <c r="AQ94" s="16" t="n">
        <f aca="false">IFERROR(IF(AND(INDEX(Mob_Demob!$D$6:$D$14,MATCH(AM94,Mob_Demob!$A$6:$A$14,0))="",INDEX(Mob_Demob!$G$6:$G$14,MATCH(AM94,Mob_Demob!$A$6:$A$14,0))=""),"",ROUND(MAX(N(INDEX(Mob_Demob!$G$6:$G$14,MATCH(AM94,Mob_Demob!$A$6:$A$14,0))),N(INDEX(Mob_Demob!$D$6:$D$14,MATCH(AM94,Mob_Demob!$A$6:$A$14,0)))*Settings!$B$6)+IF(AP94="Y",N(INDEX(Mob_Demob!$I$6:$I$14,MATCH(AM94,Mob_Demob!$A$6:$A$14,0)))*Settings!$B$19,0)+N(INDEX(Mob_Demob!$L$6:$L$14,MATCH(AM94,Mob_Demob!$A$6:$A$14,0)))*N(INDEX(Mob_Demob!$K$6:$K$14,MATCH(AM94,Mob_Demob!$A$6:$A$14,0)))*Settings!$B$6+N(INDEX(Mob_Demob!$M$6:$M$14,MATCH(AM94,Mob_Demob!$A$6:$A$14,0)))*N(INDEX(Mob_Demob!$N$6:$N$14,MATCH(AM94,Mob_Demob!$A$6:$A$14,0))),0)),"")</f>
        <v>550</v>
      </c>
      <c r="AR94" s="16" t="n">
        <f aca="false">IF(AQ94="","",ROUND(AQ94*Settings!$B$18,0))</f>
        <v>550</v>
      </c>
      <c r="AS94" s="13" t="s">
        <v>870</v>
      </c>
      <c r="AT94" s="14" t="s">
        <v>891</v>
      </c>
      <c r="AU94" s="14"/>
    </row>
    <row r="95" customFormat="false" ht="53.7" hidden="false" customHeight="false" outlineLevel="0" collapsed="false">
      <c r="A95" s="11" t="s">
        <v>892</v>
      </c>
      <c r="B95" s="11" t="s">
        <v>176</v>
      </c>
      <c r="C95" s="11" t="s">
        <v>855</v>
      </c>
      <c r="D95" s="11" t="s">
        <v>893</v>
      </c>
      <c r="E95" s="12" t="s">
        <v>894</v>
      </c>
      <c r="F95" s="13" t="s">
        <v>866</v>
      </c>
      <c r="G95" s="13" t="n">
        <v>14</v>
      </c>
      <c r="H95" s="13" t="s">
        <v>462</v>
      </c>
      <c r="I95" s="14" t="s">
        <v>895</v>
      </c>
      <c r="J95" s="15"/>
      <c r="K95" s="13" t="n">
        <v>224</v>
      </c>
      <c r="L95" s="13" t="s">
        <v>893</v>
      </c>
      <c r="M95" s="13"/>
      <c r="N95" s="13" t="s">
        <v>184</v>
      </c>
      <c r="O95" s="13" t="s">
        <v>185</v>
      </c>
      <c r="P95" s="13" t="s">
        <v>186</v>
      </c>
      <c r="Q95" s="20" t="n">
        <v>2085</v>
      </c>
      <c r="R95" s="20" t="n">
        <v>6046</v>
      </c>
      <c r="S95" s="20" t="n">
        <v>17533</v>
      </c>
      <c r="T95" s="16"/>
      <c r="U95" s="16"/>
      <c r="V95" s="13" t="s">
        <v>187</v>
      </c>
      <c r="W95" s="17"/>
      <c r="X95" s="13"/>
      <c r="Y95" s="13" t="s">
        <v>259</v>
      </c>
      <c r="Z95" s="13" t="s">
        <v>260</v>
      </c>
      <c r="AA95" s="13" t="s">
        <v>192</v>
      </c>
      <c r="AB95" s="13" t="s">
        <v>896</v>
      </c>
      <c r="AC95" s="18" t="n">
        <v>231.47</v>
      </c>
      <c r="AD95" s="13" t="s">
        <v>190</v>
      </c>
      <c r="AE95" s="19" t="n">
        <v>3.51</v>
      </c>
      <c r="AF95" s="19" t="n">
        <v>4.45</v>
      </c>
      <c r="AG95" s="19" t="n">
        <v>5.39</v>
      </c>
      <c r="AH95" s="13" t="s">
        <v>897</v>
      </c>
      <c r="AI95" s="17" t="n">
        <f aca="false">IF(OR(AC95="",AF95="",Settings!$B$5=""),"",ROUND(AC95-AF95*Settings!$B$5,2))</f>
        <v>215.18</v>
      </c>
      <c r="AJ95" s="13" t="s">
        <v>192</v>
      </c>
      <c r="AK95" s="13" t="s">
        <v>193</v>
      </c>
      <c r="AL95" s="14" t="s">
        <v>860</v>
      </c>
      <c r="AM95" s="13" t="s">
        <v>216</v>
      </c>
      <c r="AN95" s="15"/>
      <c r="AO95" s="13"/>
      <c r="AP95" s="13" t="s">
        <v>241</v>
      </c>
      <c r="AQ95" s="16" t="n">
        <f aca="false">IFERROR(IF(AND(INDEX(Mob_Demob!$D$6:$D$14,MATCH(AM95,Mob_Demob!$A$6:$A$14,0))="",INDEX(Mob_Demob!$G$6:$G$14,MATCH(AM95,Mob_Demob!$A$6:$A$14,0))=""),"",ROUND(MAX(N(INDEX(Mob_Demob!$G$6:$G$14,MATCH(AM95,Mob_Demob!$A$6:$A$14,0))),N(INDEX(Mob_Demob!$D$6:$D$14,MATCH(AM95,Mob_Demob!$A$6:$A$14,0)))*Settings!$B$6)+IF(AP95="Y",N(INDEX(Mob_Demob!$I$6:$I$14,MATCH(AM95,Mob_Demob!$A$6:$A$14,0)))*Settings!$B$19,0)+N(INDEX(Mob_Demob!$L$6:$L$14,MATCH(AM95,Mob_Demob!$A$6:$A$14,0)))*N(INDEX(Mob_Demob!$K$6:$K$14,MATCH(AM95,Mob_Demob!$A$6:$A$14,0)))*Settings!$B$6+N(INDEX(Mob_Demob!$M$6:$M$14,MATCH(AM95,Mob_Demob!$A$6:$A$14,0)))*N(INDEX(Mob_Demob!$N$6:$N$14,MATCH(AM95,Mob_Demob!$A$6:$A$14,0))),0)),"")</f>
        <v>550</v>
      </c>
      <c r="AR95" s="16" t="n">
        <f aca="false">IF(AQ95="","",ROUND(AQ95*Settings!$B$18,0))</f>
        <v>550</v>
      </c>
      <c r="AS95" s="13" t="s">
        <v>870</v>
      </c>
      <c r="AT95" s="14" t="s">
        <v>898</v>
      </c>
      <c r="AU95" s="14"/>
    </row>
    <row r="96" customFormat="false" ht="53.7" hidden="false" customHeight="false" outlineLevel="0" collapsed="false">
      <c r="A96" s="11" t="s">
        <v>899</v>
      </c>
      <c r="B96" s="11" t="s">
        <v>176</v>
      </c>
      <c r="C96" s="11" t="s">
        <v>855</v>
      </c>
      <c r="D96" s="11" t="s">
        <v>893</v>
      </c>
      <c r="E96" s="12" t="s">
        <v>900</v>
      </c>
      <c r="F96" s="13" t="s">
        <v>866</v>
      </c>
      <c r="G96" s="13" t="n">
        <v>14</v>
      </c>
      <c r="H96" s="13" t="s">
        <v>462</v>
      </c>
      <c r="I96" s="14" t="s">
        <v>901</v>
      </c>
      <c r="J96" s="15" t="n">
        <v>57250</v>
      </c>
      <c r="K96" s="13" t="n">
        <v>238</v>
      </c>
      <c r="L96" s="13" t="s">
        <v>893</v>
      </c>
      <c r="M96" s="13"/>
      <c r="N96" s="13" t="s">
        <v>184</v>
      </c>
      <c r="O96" s="13" t="s">
        <v>185</v>
      </c>
      <c r="P96" s="13" t="s">
        <v>186</v>
      </c>
      <c r="Q96" s="20" t="n">
        <v>2598</v>
      </c>
      <c r="R96" s="20" t="n">
        <v>7535</v>
      </c>
      <c r="S96" s="20" t="n">
        <v>21853</v>
      </c>
      <c r="T96" s="16"/>
      <c r="U96" s="16"/>
      <c r="V96" s="13" t="s">
        <v>187</v>
      </c>
      <c r="W96" s="17"/>
      <c r="X96" s="13"/>
      <c r="Y96" s="13" t="s">
        <v>259</v>
      </c>
      <c r="Z96" s="13" t="s">
        <v>260</v>
      </c>
      <c r="AA96" s="13" t="s">
        <v>192</v>
      </c>
      <c r="AB96" s="13"/>
      <c r="AC96" s="17" t="n">
        <f aca="false">ROUND(AC95+(AC98-AC95)*(K96-K95)/(K98-K95),2)</f>
        <v>240.2</v>
      </c>
      <c r="AD96" s="13" t="s">
        <v>205</v>
      </c>
      <c r="AE96" s="19" t="n">
        <v>3.7</v>
      </c>
      <c r="AF96" s="19" t="n">
        <v>4.66</v>
      </c>
      <c r="AG96" s="19" t="n">
        <v>5.62</v>
      </c>
      <c r="AH96" s="13" t="s">
        <v>902</v>
      </c>
      <c r="AI96" s="17" t="n">
        <f aca="false">IF(OR(AC96="",AF96="",Settings!$B$5=""),"",ROUND(AC96-AF96*Settings!$B$5,2))</f>
        <v>223.14</v>
      </c>
      <c r="AJ96" s="13" t="s">
        <v>193</v>
      </c>
      <c r="AK96" s="13" t="s">
        <v>193</v>
      </c>
      <c r="AL96" s="14" t="s">
        <v>860</v>
      </c>
      <c r="AM96" s="13" t="s">
        <v>216</v>
      </c>
      <c r="AN96" s="15" t="n">
        <v>57250</v>
      </c>
      <c r="AO96" s="13"/>
      <c r="AP96" s="13" t="s">
        <v>241</v>
      </c>
      <c r="AQ96" s="16" t="n">
        <f aca="false">IFERROR(IF(AND(INDEX(Mob_Demob!$D$6:$D$14,MATCH(AM96,Mob_Demob!$A$6:$A$14,0))="",INDEX(Mob_Demob!$G$6:$G$14,MATCH(AM96,Mob_Demob!$A$6:$A$14,0))=""),"",ROUND(MAX(N(INDEX(Mob_Demob!$G$6:$G$14,MATCH(AM96,Mob_Demob!$A$6:$A$14,0))),N(INDEX(Mob_Demob!$D$6:$D$14,MATCH(AM96,Mob_Demob!$A$6:$A$14,0)))*Settings!$B$6)+IF(AP96="Y",N(INDEX(Mob_Demob!$I$6:$I$14,MATCH(AM96,Mob_Demob!$A$6:$A$14,0)))*Settings!$B$19,0)+N(INDEX(Mob_Demob!$L$6:$L$14,MATCH(AM96,Mob_Demob!$A$6:$A$14,0)))*N(INDEX(Mob_Demob!$K$6:$K$14,MATCH(AM96,Mob_Demob!$A$6:$A$14,0)))*Settings!$B$6+N(INDEX(Mob_Demob!$M$6:$M$14,MATCH(AM96,Mob_Demob!$A$6:$A$14,0)))*N(INDEX(Mob_Demob!$N$6:$N$14,MATCH(AM96,Mob_Demob!$A$6:$A$14,0))),0)),"")</f>
        <v>550</v>
      </c>
      <c r="AR96" s="16" t="n">
        <f aca="false">IF(AQ96="","",ROUND(AQ96*Settings!$B$18,0))</f>
        <v>550</v>
      </c>
      <c r="AS96" s="13" t="s">
        <v>870</v>
      </c>
      <c r="AT96" s="14" t="s">
        <v>903</v>
      </c>
      <c r="AU96" s="14"/>
    </row>
    <row r="97" customFormat="false" ht="53.7" hidden="false" customHeight="false" outlineLevel="0" collapsed="false">
      <c r="A97" s="11" t="s">
        <v>904</v>
      </c>
      <c r="B97" s="11" t="s">
        <v>176</v>
      </c>
      <c r="C97" s="11" t="s">
        <v>855</v>
      </c>
      <c r="D97" s="11" t="s">
        <v>905</v>
      </c>
      <c r="E97" s="12" t="s">
        <v>906</v>
      </c>
      <c r="F97" s="13" t="s">
        <v>866</v>
      </c>
      <c r="G97" s="13" t="n">
        <v>16</v>
      </c>
      <c r="H97" s="13" t="s">
        <v>462</v>
      </c>
      <c r="I97" s="14" t="s">
        <v>907</v>
      </c>
      <c r="J97" s="15" t="n">
        <v>71454</v>
      </c>
      <c r="K97" s="13" t="n">
        <v>290</v>
      </c>
      <c r="L97" s="13" t="s">
        <v>905</v>
      </c>
      <c r="M97" s="13"/>
      <c r="N97" s="13" t="s">
        <v>184</v>
      </c>
      <c r="O97" s="13" t="s">
        <v>185</v>
      </c>
      <c r="P97" s="13" t="s">
        <v>186</v>
      </c>
      <c r="Q97" s="20" t="n">
        <v>5061</v>
      </c>
      <c r="R97" s="20" t="n">
        <v>14676</v>
      </c>
      <c r="S97" s="20" t="n">
        <v>42562</v>
      </c>
      <c r="T97" s="16"/>
      <c r="U97" s="16"/>
      <c r="V97" s="13" t="s">
        <v>187</v>
      </c>
      <c r="W97" s="17"/>
      <c r="X97" s="13"/>
      <c r="Y97" s="13" t="s">
        <v>259</v>
      </c>
      <c r="Z97" s="13" t="s">
        <v>260</v>
      </c>
      <c r="AA97" s="13" t="s">
        <v>192</v>
      </c>
      <c r="AB97" s="13"/>
      <c r="AC97" s="17" t="n">
        <f aca="false">ROUND(AC95+(AC98-AC95)*(K97-K95)/(K98-K95),2)</f>
        <v>272.6</v>
      </c>
      <c r="AD97" s="13" t="s">
        <v>205</v>
      </c>
      <c r="AE97" s="19" t="n">
        <v>4.35</v>
      </c>
      <c r="AF97" s="19" t="n">
        <v>5.53</v>
      </c>
      <c r="AG97" s="19" t="n">
        <v>6.72</v>
      </c>
      <c r="AH97" s="13" t="s">
        <v>908</v>
      </c>
      <c r="AI97" s="17" t="n">
        <f aca="false">IF(OR(AC97="",AF97="",Settings!$B$5=""),"",ROUND(AC97-AF97*Settings!$B$5,2))</f>
        <v>252.36</v>
      </c>
      <c r="AJ97" s="13" t="s">
        <v>193</v>
      </c>
      <c r="AK97" s="13" t="s">
        <v>193</v>
      </c>
      <c r="AL97" s="14" t="s">
        <v>860</v>
      </c>
      <c r="AM97" s="13" t="s">
        <v>268</v>
      </c>
      <c r="AN97" s="15" t="n">
        <v>71454</v>
      </c>
      <c r="AO97" s="13"/>
      <c r="AP97" s="13" t="s">
        <v>269</v>
      </c>
      <c r="AQ97" s="16" t="n">
        <f aca="false">IFERROR(IF(AND(INDEX(Mob_Demob!$D$6:$D$14,MATCH(AM97,Mob_Demob!$A$6:$A$14,0))="",INDEX(Mob_Demob!$G$6:$G$14,MATCH(AM97,Mob_Demob!$A$6:$A$14,0))=""),"",ROUND(MAX(N(INDEX(Mob_Demob!$G$6:$G$14,MATCH(AM97,Mob_Demob!$A$6:$A$14,0))),N(INDEX(Mob_Demob!$D$6:$D$14,MATCH(AM97,Mob_Demob!$A$6:$A$14,0)))*Settings!$B$6)+IF(AP97="Y",N(INDEX(Mob_Demob!$I$6:$I$14,MATCH(AM97,Mob_Demob!$A$6:$A$14,0)))*Settings!$B$19,0)+N(INDEX(Mob_Demob!$L$6:$L$14,MATCH(AM97,Mob_Demob!$A$6:$A$14,0)))*N(INDEX(Mob_Demob!$K$6:$K$14,MATCH(AM97,Mob_Demob!$A$6:$A$14,0)))*Settings!$B$6+N(INDEX(Mob_Demob!$M$6:$M$14,MATCH(AM97,Mob_Demob!$A$6:$A$14,0)))*N(INDEX(Mob_Demob!$N$6:$N$14,MATCH(AM97,Mob_Demob!$A$6:$A$14,0))),0)),"")</f>
        <v>1800</v>
      </c>
      <c r="AR97" s="16" t="n">
        <f aca="false">IF(AQ97="","",ROUND(AQ97*Settings!$B$18,0))</f>
        <v>1800</v>
      </c>
      <c r="AS97" s="13" t="s">
        <v>870</v>
      </c>
      <c r="AT97" s="14" t="s">
        <v>903</v>
      </c>
      <c r="AU97" s="14"/>
    </row>
    <row r="98" customFormat="false" ht="53.7" hidden="false" customHeight="false" outlineLevel="0" collapsed="false">
      <c r="A98" s="11" t="s">
        <v>909</v>
      </c>
      <c r="B98" s="11" t="s">
        <v>176</v>
      </c>
      <c r="C98" s="11" t="s">
        <v>855</v>
      </c>
      <c r="D98" s="11" t="s">
        <v>910</v>
      </c>
      <c r="E98" s="12" t="s">
        <v>911</v>
      </c>
      <c r="F98" s="13" t="s">
        <v>866</v>
      </c>
      <c r="G98" s="13" t="n">
        <v>18</v>
      </c>
      <c r="H98" s="13" t="s">
        <v>462</v>
      </c>
      <c r="I98" s="14" t="s">
        <v>912</v>
      </c>
      <c r="J98" s="15" t="n">
        <v>74324</v>
      </c>
      <c r="K98" s="13" t="n">
        <v>304</v>
      </c>
      <c r="L98" s="13" t="s">
        <v>910</v>
      </c>
      <c r="M98" s="13"/>
      <c r="N98" s="13" t="s">
        <v>184</v>
      </c>
      <c r="O98" s="13" t="s">
        <v>185</v>
      </c>
      <c r="P98" s="13" t="s">
        <v>186</v>
      </c>
      <c r="Q98" s="20" t="n">
        <v>5574</v>
      </c>
      <c r="R98" s="20" t="n">
        <v>16166</v>
      </c>
      <c r="S98" s="20" t="n">
        <v>46881</v>
      </c>
      <c r="T98" s="16"/>
      <c r="U98" s="16"/>
      <c r="V98" s="13" t="s">
        <v>187</v>
      </c>
      <c r="W98" s="17"/>
      <c r="X98" s="13"/>
      <c r="Y98" s="13" t="s">
        <v>259</v>
      </c>
      <c r="Z98" s="13" t="s">
        <v>260</v>
      </c>
      <c r="AA98" s="13" t="s">
        <v>192</v>
      </c>
      <c r="AB98" s="13" t="s">
        <v>913</v>
      </c>
      <c r="AC98" s="18" t="n">
        <v>281.33</v>
      </c>
      <c r="AD98" s="13" t="s">
        <v>190</v>
      </c>
      <c r="AE98" s="19" t="n">
        <v>5.19</v>
      </c>
      <c r="AF98" s="19" t="n">
        <v>6.59</v>
      </c>
      <c r="AG98" s="19" t="n">
        <v>7.99</v>
      </c>
      <c r="AH98" s="13" t="s">
        <v>914</v>
      </c>
      <c r="AI98" s="17" t="n">
        <f aca="false">IF(OR(AC98="",AF98="",Settings!$B$5=""),"",ROUND(AC98-AF98*Settings!$B$5,2))</f>
        <v>257.21</v>
      </c>
      <c r="AJ98" s="13" t="s">
        <v>192</v>
      </c>
      <c r="AK98" s="13" t="s">
        <v>193</v>
      </c>
      <c r="AL98" s="14" t="s">
        <v>860</v>
      </c>
      <c r="AM98" s="13" t="s">
        <v>268</v>
      </c>
      <c r="AN98" s="15" t="n">
        <v>74324</v>
      </c>
      <c r="AO98" s="13"/>
      <c r="AP98" s="13" t="s">
        <v>269</v>
      </c>
      <c r="AQ98" s="16" t="n">
        <f aca="false">IFERROR(IF(AND(INDEX(Mob_Demob!$D$6:$D$14,MATCH(AM98,Mob_Demob!$A$6:$A$14,0))="",INDEX(Mob_Demob!$G$6:$G$14,MATCH(AM98,Mob_Demob!$A$6:$A$14,0))=""),"",ROUND(MAX(N(INDEX(Mob_Demob!$G$6:$G$14,MATCH(AM98,Mob_Demob!$A$6:$A$14,0))),N(INDEX(Mob_Demob!$D$6:$D$14,MATCH(AM98,Mob_Demob!$A$6:$A$14,0)))*Settings!$B$6)+IF(AP98="Y",N(INDEX(Mob_Demob!$I$6:$I$14,MATCH(AM98,Mob_Demob!$A$6:$A$14,0)))*Settings!$B$19,0)+N(INDEX(Mob_Demob!$L$6:$L$14,MATCH(AM98,Mob_Demob!$A$6:$A$14,0)))*N(INDEX(Mob_Demob!$K$6:$K$14,MATCH(AM98,Mob_Demob!$A$6:$A$14,0)))*Settings!$B$6+N(INDEX(Mob_Demob!$M$6:$M$14,MATCH(AM98,Mob_Demob!$A$6:$A$14,0)))*N(INDEX(Mob_Demob!$N$6:$N$14,MATCH(AM98,Mob_Demob!$A$6:$A$14,0))),0)),"")</f>
        <v>1800</v>
      </c>
      <c r="AR98" s="16" t="n">
        <f aca="false">IF(AQ98="","",ROUND(AQ98*Settings!$B$18,0))</f>
        <v>1800</v>
      </c>
      <c r="AS98" s="13" t="s">
        <v>870</v>
      </c>
      <c r="AT98" s="14" t="s">
        <v>915</v>
      </c>
      <c r="AU98" s="14"/>
    </row>
    <row r="99" customFormat="false" ht="53.7" hidden="false" customHeight="false" outlineLevel="0" collapsed="false">
      <c r="A99" s="11" t="s">
        <v>916</v>
      </c>
      <c r="B99" s="11" t="s">
        <v>176</v>
      </c>
      <c r="C99" s="11" t="s">
        <v>855</v>
      </c>
      <c r="D99" s="11" t="s">
        <v>917</v>
      </c>
      <c r="E99" s="12" t="s">
        <v>918</v>
      </c>
      <c r="F99" s="13" t="s">
        <v>866</v>
      </c>
      <c r="G99" s="13" t="n">
        <v>24</v>
      </c>
      <c r="H99" s="13" t="s">
        <v>462</v>
      </c>
      <c r="I99" s="14" t="s">
        <v>919</v>
      </c>
      <c r="J99" s="15" t="n">
        <v>165314</v>
      </c>
      <c r="K99" s="13" t="n">
        <v>535</v>
      </c>
      <c r="L99" s="13" t="s">
        <v>917</v>
      </c>
      <c r="M99" s="13"/>
      <c r="N99" s="13" t="s">
        <v>184</v>
      </c>
      <c r="O99" s="13" t="s">
        <v>185</v>
      </c>
      <c r="P99" s="13" t="s">
        <v>186</v>
      </c>
      <c r="Q99" s="16"/>
      <c r="R99" s="16"/>
      <c r="S99" s="16"/>
      <c r="T99" s="16"/>
      <c r="U99" s="16"/>
      <c r="V99" s="13" t="s">
        <v>187</v>
      </c>
      <c r="W99" s="17"/>
      <c r="X99" s="13"/>
      <c r="Y99" s="13"/>
      <c r="Z99" s="13"/>
      <c r="AA99" s="13" t="s">
        <v>188</v>
      </c>
      <c r="AB99" s="13"/>
      <c r="AC99" s="17"/>
      <c r="AD99" s="13"/>
      <c r="AE99" s="19" t="n">
        <f aca="false">ROUND(K99*Settings!$B$11*Settings!$B$13,2)</f>
        <v>9.1</v>
      </c>
      <c r="AF99" s="19" t="n">
        <f aca="false">ROUND(K99*Settings!$B$11*Settings!$B$14,2)</f>
        <v>11.96</v>
      </c>
      <c r="AG99" s="19" t="n">
        <f aca="false">ROUND(K99*Settings!$B$11*Settings!$B$15,2)</f>
        <v>15.6</v>
      </c>
      <c r="AH99" s="13" t="s">
        <v>191</v>
      </c>
      <c r="AI99" s="17"/>
      <c r="AJ99" s="13" t="s">
        <v>188</v>
      </c>
      <c r="AK99" s="13" t="s">
        <v>188</v>
      </c>
      <c r="AL99" s="14" t="s">
        <v>860</v>
      </c>
      <c r="AM99" s="13" t="s">
        <v>286</v>
      </c>
      <c r="AN99" s="15" t="n">
        <v>165314</v>
      </c>
      <c r="AO99" s="13"/>
      <c r="AP99" s="13" t="s">
        <v>269</v>
      </c>
      <c r="AQ99" s="16" t="n">
        <f aca="false">IFERROR(IF(AND(INDEX(Mob_Demob!$D$6:$D$14,MATCH(AM99,Mob_Demob!$A$6:$A$14,0))="",INDEX(Mob_Demob!$G$6:$G$14,MATCH(AM99,Mob_Demob!$A$6:$A$14,0))=""),"",ROUND(MAX(N(INDEX(Mob_Demob!$G$6:$G$14,MATCH(AM99,Mob_Demob!$A$6:$A$14,0))),N(INDEX(Mob_Demob!$D$6:$D$14,MATCH(AM99,Mob_Demob!$A$6:$A$14,0)))*Settings!$B$6)+IF(AP99="Y",N(INDEX(Mob_Demob!$I$6:$I$14,MATCH(AM99,Mob_Demob!$A$6:$A$14,0)))*Settings!$B$19,0)+N(INDEX(Mob_Demob!$L$6:$L$14,MATCH(AM99,Mob_Demob!$A$6:$A$14,0)))*N(INDEX(Mob_Demob!$K$6:$K$14,MATCH(AM99,Mob_Demob!$A$6:$A$14,0)))*Settings!$B$6+N(INDEX(Mob_Demob!$M$6:$M$14,MATCH(AM99,Mob_Demob!$A$6:$A$14,0)))*N(INDEX(Mob_Demob!$N$6:$N$14,MATCH(AM99,Mob_Demob!$A$6:$A$14,0))),0)),"")</f>
        <v>1913</v>
      </c>
      <c r="AR99" s="16" t="n">
        <f aca="false">IF(AQ99="","",ROUND(AQ99*Settings!$B$18,0))</f>
        <v>1913</v>
      </c>
      <c r="AS99" s="13" t="s">
        <v>870</v>
      </c>
      <c r="AT99" s="14" t="s">
        <v>328</v>
      </c>
      <c r="AU99" s="14" t="s">
        <v>251</v>
      </c>
    </row>
    <row r="100" customFormat="false" ht="64.15" hidden="false" customHeight="false" outlineLevel="0" collapsed="false">
      <c r="A100" s="21" t="s">
        <v>920</v>
      </c>
      <c r="B100" s="21" t="s">
        <v>921</v>
      </c>
      <c r="C100" s="21" t="s">
        <v>922</v>
      </c>
      <c r="D100" s="21" t="s">
        <v>923</v>
      </c>
      <c r="E100" s="22" t="s">
        <v>924</v>
      </c>
      <c r="F100" s="13" t="s">
        <v>925</v>
      </c>
      <c r="G100" s="13" t="n">
        <v>26.5</v>
      </c>
      <c r="H100" s="13" t="s">
        <v>926</v>
      </c>
      <c r="I100" s="14" t="s">
        <v>927</v>
      </c>
      <c r="J100" s="15"/>
      <c r="K100" s="13"/>
      <c r="L100" s="13" t="s">
        <v>928</v>
      </c>
      <c r="M100" s="13"/>
      <c r="N100" s="13" t="s">
        <v>184</v>
      </c>
      <c r="O100" s="13" t="s">
        <v>185</v>
      </c>
      <c r="P100" s="13" t="s">
        <v>186</v>
      </c>
      <c r="Q100" s="20" t="n">
        <v>1882</v>
      </c>
      <c r="R100" s="20" t="n">
        <v>5223</v>
      </c>
      <c r="S100" s="20" t="n">
        <v>14259</v>
      </c>
      <c r="T100" s="20" t="n">
        <v>12000</v>
      </c>
      <c r="U100" s="20" t="n">
        <v>16517</v>
      </c>
      <c r="V100" s="13" t="s">
        <v>187</v>
      </c>
      <c r="W100" s="17"/>
      <c r="X100" s="13"/>
      <c r="Y100" s="13" t="s">
        <v>929</v>
      </c>
      <c r="Z100" s="13" t="s">
        <v>212</v>
      </c>
      <c r="AA100" s="13" t="s">
        <v>213</v>
      </c>
      <c r="AB100" s="13"/>
      <c r="AC100" s="17"/>
      <c r="AD100" s="13"/>
      <c r="AE100" s="19" t="n">
        <v>3.56</v>
      </c>
      <c r="AF100" s="19" t="n">
        <v>4.56</v>
      </c>
      <c r="AG100" s="19" t="n">
        <v>5.56</v>
      </c>
      <c r="AH100" s="13" t="s">
        <v>930</v>
      </c>
      <c r="AI100" s="17"/>
      <c r="AJ100" s="13" t="s">
        <v>188</v>
      </c>
      <c r="AK100" s="13" t="s">
        <v>188</v>
      </c>
      <c r="AL100" s="14" t="s">
        <v>194</v>
      </c>
      <c r="AM100" s="13" t="s">
        <v>268</v>
      </c>
      <c r="AN100" s="15"/>
      <c r="AO100" s="13"/>
      <c r="AP100" s="13" t="s">
        <v>269</v>
      </c>
      <c r="AQ100" s="16" t="n">
        <f aca="false">IFERROR(IF(AND(INDEX(Mob_Demob!$D$6:$D$14,MATCH(AM100,Mob_Demob!$A$6:$A$14,0))="",INDEX(Mob_Demob!$G$6:$G$14,MATCH(AM100,Mob_Demob!$A$6:$A$14,0))=""),"",ROUND(MAX(N(INDEX(Mob_Demob!$G$6:$G$14,MATCH(AM100,Mob_Demob!$A$6:$A$14,0))),N(INDEX(Mob_Demob!$D$6:$D$14,MATCH(AM100,Mob_Demob!$A$6:$A$14,0)))*Settings!$B$6)+IF(AP100="Y",N(INDEX(Mob_Demob!$I$6:$I$14,MATCH(AM100,Mob_Demob!$A$6:$A$14,0)))*Settings!$B$19,0)+N(INDEX(Mob_Demob!$L$6:$L$14,MATCH(AM100,Mob_Demob!$A$6:$A$14,0)))*N(INDEX(Mob_Demob!$K$6:$K$14,MATCH(AM100,Mob_Demob!$A$6:$A$14,0)))*Settings!$B$6+N(INDEX(Mob_Demob!$M$6:$M$14,MATCH(AM100,Mob_Demob!$A$6:$A$14,0)))*N(INDEX(Mob_Demob!$N$6:$N$14,MATCH(AM100,Mob_Demob!$A$6:$A$14,0))),0)),"")</f>
        <v>1800</v>
      </c>
      <c r="AR100" s="16" t="n">
        <f aca="false">IF(AQ100="","",ROUND(AQ100*Settings!$B$18,0))</f>
        <v>1800</v>
      </c>
      <c r="AS100" s="13" t="s">
        <v>931</v>
      </c>
      <c r="AT100" s="14" t="s">
        <v>932</v>
      </c>
      <c r="AU100" s="14" t="s">
        <v>341</v>
      </c>
    </row>
    <row r="101" customFormat="false" ht="64.15" hidden="false" customHeight="false" outlineLevel="0" collapsed="false">
      <c r="A101" s="21" t="s">
        <v>933</v>
      </c>
      <c r="B101" s="21" t="s">
        <v>921</v>
      </c>
      <c r="C101" s="21" t="s">
        <v>922</v>
      </c>
      <c r="D101" s="21" t="s">
        <v>923</v>
      </c>
      <c r="E101" s="22" t="s">
        <v>934</v>
      </c>
      <c r="F101" s="13" t="s">
        <v>925</v>
      </c>
      <c r="G101" s="13" t="n">
        <v>30</v>
      </c>
      <c r="H101" s="13" t="s">
        <v>926</v>
      </c>
      <c r="I101" s="14" t="s">
        <v>935</v>
      </c>
      <c r="J101" s="15"/>
      <c r="K101" s="13"/>
      <c r="L101" s="13" t="s">
        <v>936</v>
      </c>
      <c r="M101" s="13"/>
      <c r="N101" s="13" t="s">
        <v>184</v>
      </c>
      <c r="O101" s="13" t="s">
        <v>185</v>
      </c>
      <c r="P101" s="13" t="s">
        <v>186</v>
      </c>
      <c r="Q101" s="20" t="n">
        <v>2126</v>
      </c>
      <c r="R101" s="20" t="n">
        <v>5764</v>
      </c>
      <c r="S101" s="20" t="n">
        <v>15715</v>
      </c>
      <c r="T101" s="20" t="n">
        <v>12500</v>
      </c>
      <c r="U101" s="20" t="n">
        <v>18930</v>
      </c>
      <c r="V101" s="13" t="s">
        <v>187</v>
      </c>
      <c r="W101" s="17"/>
      <c r="X101" s="13"/>
      <c r="Y101" s="13" t="s">
        <v>223</v>
      </c>
      <c r="Z101" s="13" t="s">
        <v>212</v>
      </c>
      <c r="AA101" s="13" t="s">
        <v>213</v>
      </c>
      <c r="AB101" s="13"/>
      <c r="AC101" s="17"/>
      <c r="AD101" s="13"/>
      <c r="AE101" s="19" t="n">
        <v>3.38</v>
      </c>
      <c r="AF101" s="19" t="n">
        <v>4.38</v>
      </c>
      <c r="AG101" s="19" t="n">
        <v>5.39</v>
      </c>
      <c r="AH101" s="13" t="s">
        <v>937</v>
      </c>
      <c r="AI101" s="17"/>
      <c r="AJ101" s="13" t="s">
        <v>188</v>
      </c>
      <c r="AK101" s="13" t="s">
        <v>188</v>
      </c>
      <c r="AL101" s="14" t="s">
        <v>194</v>
      </c>
      <c r="AM101" s="13" t="s">
        <v>268</v>
      </c>
      <c r="AN101" s="15"/>
      <c r="AO101" s="13"/>
      <c r="AP101" s="13" t="s">
        <v>269</v>
      </c>
      <c r="AQ101" s="16" t="n">
        <f aca="false">IFERROR(IF(AND(INDEX(Mob_Demob!$D$6:$D$14,MATCH(AM101,Mob_Demob!$A$6:$A$14,0))="",INDEX(Mob_Demob!$G$6:$G$14,MATCH(AM101,Mob_Demob!$A$6:$A$14,0))=""),"",ROUND(MAX(N(INDEX(Mob_Demob!$G$6:$G$14,MATCH(AM101,Mob_Demob!$A$6:$A$14,0))),N(INDEX(Mob_Demob!$D$6:$D$14,MATCH(AM101,Mob_Demob!$A$6:$A$14,0)))*Settings!$B$6)+IF(AP101="Y",N(INDEX(Mob_Demob!$I$6:$I$14,MATCH(AM101,Mob_Demob!$A$6:$A$14,0)))*Settings!$B$19,0)+N(INDEX(Mob_Demob!$L$6:$L$14,MATCH(AM101,Mob_Demob!$A$6:$A$14,0)))*N(INDEX(Mob_Demob!$K$6:$K$14,MATCH(AM101,Mob_Demob!$A$6:$A$14,0)))*Settings!$B$6+N(INDEX(Mob_Demob!$M$6:$M$14,MATCH(AM101,Mob_Demob!$A$6:$A$14,0)))*N(INDEX(Mob_Demob!$N$6:$N$14,MATCH(AM101,Mob_Demob!$A$6:$A$14,0))),0)),"")</f>
        <v>1800</v>
      </c>
      <c r="AR101" s="16" t="n">
        <f aca="false">IF(AQ101="","",ROUND(AQ101*Settings!$B$18,0))</f>
        <v>1800</v>
      </c>
      <c r="AS101" s="13" t="s">
        <v>931</v>
      </c>
      <c r="AT101" s="14" t="s">
        <v>938</v>
      </c>
      <c r="AU101" s="14" t="s">
        <v>341</v>
      </c>
    </row>
    <row r="102" customFormat="false" ht="64.15" hidden="false" customHeight="false" outlineLevel="0" collapsed="false">
      <c r="A102" s="21" t="s">
        <v>939</v>
      </c>
      <c r="B102" s="21" t="s">
        <v>921</v>
      </c>
      <c r="C102" s="21" t="s">
        <v>922</v>
      </c>
      <c r="D102" s="21" t="s">
        <v>923</v>
      </c>
      <c r="E102" s="22" t="s">
        <v>940</v>
      </c>
      <c r="F102" s="13" t="s">
        <v>925</v>
      </c>
      <c r="G102" s="13" t="n">
        <v>35.3</v>
      </c>
      <c r="H102" s="13" t="s">
        <v>926</v>
      </c>
      <c r="I102" s="14" t="s">
        <v>941</v>
      </c>
      <c r="J102" s="15"/>
      <c r="K102" s="13"/>
      <c r="L102" s="13" t="s">
        <v>942</v>
      </c>
      <c r="M102" s="13"/>
      <c r="N102" s="13" t="s">
        <v>184</v>
      </c>
      <c r="O102" s="13" t="s">
        <v>185</v>
      </c>
      <c r="P102" s="13" t="s">
        <v>186</v>
      </c>
      <c r="Q102" s="16"/>
      <c r="R102" s="16"/>
      <c r="S102" s="16"/>
      <c r="T102" s="16"/>
      <c r="U102" s="16"/>
      <c r="V102" s="13" t="s">
        <v>187</v>
      </c>
      <c r="W102" s="17"/>
      <c r="X102" s="13"/>
      <c r="Y102" s="13"/>
      <c r="Z102" s="13"/>
      <c r="AA102" s="13" t="s">
        <v>188</v>
      </c>
      <c r="AB102" s="13"/>
      <c r="AC102" s="17"/>
      <c r="AD102" s="13"/>
      <c r="AE102" s="19"/>
      <c r="AF102" s="19"/>
      <c r="AG102" s="19"/>
      <c r="AH102" s="13"/>
      <c r="AI102" s="17"/>
      <c r="AJ102" s="13" t="s">
        <v>188</v>
      </c>
      <c r="AK102" s="13" t="s">
        <v>188</v>
      </c>
      <c r="AL102" s="14" t="s">
        <v>194</v>
      </c>
      <c r="AM102" s="13" t="s">
        <v>268</v>
      </c>
      <c r="AN102" s="15"/>
      <c r="AO102" s="13"/>
      <c r="AP102" s="13" t="s">
        <v>269</v>
      </c>
      <c r="AQ102" s="16" t="n">
        <f aca="false">IFERROR(IF(AND(INDEX(Mob_Demob!$D$6:$D$14,MATCH(AM102,Mob_Demob!$A$6:$A$14,0))="",INDEX(Mob_Demob!$G$6:$G$14,MATCH(AM102,Mob_Demob!$A$6:$A$14,0))=""),"",ROUND(MAX(N(INDEX(Mob_Demob!$G$6:$G$14,MATCH(AM102,Mob_Demob!$A$6:$A$14,0))),N(INDEX(Mob_Demob!$D$6:$D$14,MATCH(AM102,Mob_Demob!$A$6:$A$14,0)))*Settings!$B$6)+IF(AP102="Y",N(INDEX(Mob_Demob!$I$6:$I$14,MATCH(AM102,Mob_Demob!$A$6:$A$14,0)))*Settings!$B$19,0)+N(INDEX(Mob_Demob!$L$6:$L$14,MATCH(AM102,Mob_Demob!$A$6:$A$14,0)))*N(INDEX(Mob_Demob!$K$6:$K$14,MATCH(AM102,Mob_Demob!$A$6:$A$14,0)))*Settings!$B$6+N(INDEX(Mob_Demob!$M$6:$M$14,MATCH(AM102,Mob_Demob!$A$6:$A$14,0)))*N(INDEX(Mob_Demob!$N$6:$N$14,MATCH(AM102,Mob_Demob!$A$6:$A$14,0))),0)),"")</f>
        <v>1800</v>
      </c>
      <c r="AR102" s="16" t="n">
        <f aca="false">IF(AQ102="","",ROUND(AQ102*Settings!$B$18,0))</f>
        <v>1800</v>
      </c>
      <c r="AS102" s="13" t="s">
        <v>931</v>
      </c>
      <c r="AT102" s="14" t="s">
        <v>943</v>
      </c>
      <c r="AU102" s="14" t="s">
        <v>466</v>
      </c>
    </row>
    <row r="103" customFormat="false" ht="64.15" hidden="false" customHeight="false" outlineLevel="0" collapsed="false">
      <c r="A103" s="21" t="s">
        <v>944</v>
      </c>
      <c r="B103" s="21" t="s">
        <v>921</v>
      </c>
      <c r="C103" s="21" t="s">
        <v>922</v>
      </c>
      <c r="D103" s="21" t="s">
        <v>923</v>
      </c>
      <c r="E103" s="22" t="s">
        <v>945</v>
      </c>
      <c r="F103" s="13" t="s">
        <v>925</v>
      </c>
      <c r="G103" s="13" t="n">
        <v>40</v>
      </c>
      <c r="H103" s="13" t="s">
        <v>926</v>
      </c>
      <c r="I103" s="14" t="s">
        <v>946</v>
      </c>
      <c r="J103" s="15"/>
      <c r="K103" s="13"/>
      <c r="L103" s="13" t="s">
        <v>947</v>
      </c>
      <c r="M103" s="13"/>
      <c r="N103" s="13" t="s">
        <v>184</v>
      </c>
      <c r="O103" s="13" t="s">
        <v>185</v>
      </c>
      <c r="P103" s="13" t="s">
        <v>186</v>
      </c>
      <c r="Q103" s="20" t="n">
        <v>2750</v>
      </c>
      <c r="R103" s="20" t="n">
        <v>7500</v>
      </c>
      <c r="S103" s="20" t="n">
        <v>17000</v>
      </c>
      <c r="T103" s="20" t="n">
        <v>15000</v>
      </c>
      <c r="U103" s="20" t="n">
        <v>24648</v>
      </c>
      <c r="V103" s="13" t="s">
        <v>187</v>
      </c>
      <c r="W103" s="17"/>
      <c r="X103" s="13"/>
      <c r="Y103" s="13" t="s">
        <v>211</v>
      </c>
      <c r="Z103" s="13" t="s">
        <v>212</v>
      </c>
      <c r="AA103" s="13" t="s">
        <v>213</v>
      </c>
      <c r="AB103" s="13"/>
      <c r="AC103" s="17"/>
      <c r="AD103" s="13"/>
      <c r="AE103" s="19"/>
      <c r="AF103" s="19"/>
      <c r="AG103" s="19"/>
      <c r="AH103" s="13"/>
      <c r="AI103" s="17"/>
      <c r="AJ103" s="13" t="s">
        <v>188</v>
      </c>
      <c r="AK103" s="13" t="s">
        <v>188</v>
      </c>
      <c r="AL103" s="14" t="s">
        <v>194</v>
      </c>
      <c r="AM103" s="13" t="s">
        <v>268</v>
      </c>
      <c r="AN103" s="15"/>
      <c r="AO103" s="13"/>
      <c r="AP103" s="13" t="s">
        <v>269</v>
      </c>
      <c r="AQ103" s="16" t="n">
        <f aca="false">IFERROR(IF(AND(INDEX(Mob_Demob!$D$6:$D$14,MATCH(AM103,Mob_Demob!$A$6:$A$14,0))="",INDEX(Mob_Demob!$G$6:$G$14,MATCH(AM103,Mob_Demob!$A$6:$A$14,0))=""),"",ROUND(MAX(N(INDEX(Mob_Demob!$G$6:$G$14,MATCH(AM103,Mob_Demob!$A$6:$A$14,0))),N(INDEX(Mob_Demob!$D$6:$D$14,MATCH(AM103,Mob_Demob!$A$6:$A$14,0)))*Settings!$B$6)+IF(AP103="Y",N(INDEX(Mob_Demob!$I$6:$I$14,MATCH(AM103,Mob_Demob!$A$6:$A$14,0)))*Settings!$B$19,0)+N(INDEX(Mob_Demob!$L$6:$L$14,MATCH(AM103,Mob_Demob!$A$6:$A$14,0)))*N(INDEX(Mob_Demob!$K$6:$K$14,MATCH(AM103,Mob_Demob!$A$6:$A$14,0)))*Settings!$B$6+N(INDEX(Mob_Demob!$M$6:$M$14,MATCH(AM103,Mob_Demob!$A$6:$A$14,0)))*N(INDEX(Mob_Demob!$N$6:$N$14,MATCH(AM103,Mob_Demob!$A$6:$A$14,0))),0)),"")</f>
        <v>1800</v>
      </c>
      <c r="AR103" s="16" t="n">
        <f aca="false">IF(AQ103="","",ROUND(AQ103*Settings!$B$18,0))</f>
        <v>1800</v>
      </c>
      <c r="AS103" s="13" t="s">
        <v>931</v>
      </c>
      <c r="AT103" s="14" t="s">
        <v>948</v>
      </c>
      <c r="AU103" s="14" t="s">
        <v>262</v>
      </c>
    </row>
    <row r="104" customFormat="false" ht="64.15" hidden="false" customHeight="false" outlineLevel="0" collapsed="false">
      <c r="A104" s="21" t="s">
        <v>949</v>
      </c>
      <c r="B104" s="21" t="s">
        <v>921</v>
      </c>
      <c r="C104" s="21" t="s">
        <v>922</v>
      </c>
      <c r="D104" s="21" t="s">
        <v>923</v>
      </c>
      <c r="E104" s="22" t="s">
        <v>950</v>
      </c>
      <c r="F104" s="13" t="s">
        <v>925</v>
      </c>
      <c r="G104" s="13" t="n">
        <v>45.2</v>
      </c>
      <c r="H104" s="13" t="s">
        <v>926</v>
      </c>
      <c r="I104" s="14" t="s">
        <v>951</v>
      </c>
      <c r="J104" s="15"/>
      <c r="K104" s="13"/>
      <c r="L104" s="13" t="s">
        <v>952</v>
      </c>
      <c r="M104" s="13"/>
      <c r="N104" s="13" t="s">
        <v>184</v>
      </c>
      <c r="O104" s="13" t="s">
        <v>185</v>
      </c>
      <c r="P104" s="13" t="s">
        <v>186</v>
      </c>
      <c r="Q104" s="20" t="n">
        <v>3263</v>
      </c>
      <c r="R104" s="20" t="n">
        <v>9463</v>
      </c>
      <c r="S104" s="20" t="n">
        <v>27443</v>
      </c>
      <c r="T104" s="16"/>
      <c r="U104" s="16"/>
      <c r="V104" s="13" t="s">
        <v>187</v>
      </c>
      <c r="W104" s="17"/>
      <c r="X104" s="13"/>
      <c r="Y104" s="13" t="s">
        <v>259</v>
      </c>
      <c r="Z104" s="13" t="s">
        <v>260</v>
      </c>
      <c r="AA104" s="13" t="s">
        <v>192</v>
      </c>
      <c r="AB104" s="13"/>
      <c r="AC104" s="17"/>
      <c r="AD104" s="13"/>
      <c r="AE104" s="19"/>
      <c r="AF104" s="19" t="n">
        <v>7.03</v>
      </c>
      <c r="AG104" s="19"/>
      <c r="AH104" s="13" t="s">
        <v>953</v>
      </c>
      <c r="AI104" s="17"/>
      <c r="AJ104" s="13" t="s">
        <v>188</v>
      </c>
      <c r="AK104" s="13" t="s">
        <v>188</v>
      </c>
      <c r="AL104" s="14" t="s">
        <v>194</v>
      </c>
      <c r="AM104" s="13" t="s">
        <v>268</v>
      </c>
      <c r="AN104" s="15"/>
      <c r="AO104" s="13"/>
      <c r="AP104" s="13" t="s">
        <v>269</v>
      </c>
      <c r="AQ104" s="16" t="n">
        <f aca="false">IFERROR(IF(AND(INDEX(Mob_Demob!$D$6:$D$14,MATCH(AM104,Mob_Demob!$A$6:$A$14,0))="",INDEX(Mob_Demob!$G$6:$G$14,MATCH(AM104,Mob_Demob!$A$6:$A$14,0))=""),"",ROUND(MAX(N(INDEX(Mob_Demob!$G$6:$G$14,MATCH(AM104,Mob_Demob!$A$6:$A$14,0))),N(INDEX(Mob_Demob!$D$6:$D$14,MATCH(AM104,Mob_Demob!$A$6:$A$14,0)))*Settings!$B$6)+IF(AP104="Y",N(INDEX(Mob_Demob!$I$6:$I$14,MATCH(AM104,Mob_Demob!$A$6:$A$14,0)))*Settings!$B$19,0)+N(INDEX(Mob_Demob!$L$6:$L$14,MATCH(AM104,Mob_Demob!$A$6:$A$14,0)))*N(INDEX(Mob_Demob!$K$6:$K$14,MATCH(AM104,Mob_Demob!$A$6:$A$14,0)))*Settings!$B$6+N(INDEX(Mob_Demob!$M$6:$M$14,MATCH(AM104,Mob_Demob!$A$6:$A$14,0)))*N(INDEX(Mob_Demob!$N$6:$N$14,MATCH(AM104,Mob_Demob!$A$6:$A$14,0))),0)),"")</f>
        <v>1800</v>
      </c>
      <c r="AR104" s="16" t="n">
        <f aca="false">IF(AQ104="","",ROUND(AQ104*Settings!$B$18,0))</f>
        <v>1800</v>
      </c>
      <c r="AS104" s="13" t="s">
        <v>931</v>
      </c>
      <c r="AT104" s="14" t="s">
        <v>954</v>
      </c>
      <c r="AU104" s="14" t="s">
        <v>341</v>
      </c>
    </row>
    <row r="105" customFormat="false" ht="64.15" hidden="false" customHeight="false" outlineLevel="0" collapsed="false">
      <c r="A105" s="21" t="s">
        <v>955</v>
      </c>
      <c r="B105" s="21" t="s">
        <v>921</v>
      </c>
      <c r="C105" s="21" t="s">
        <v>922</v>
      </c>
      <c r="D105" s="21" t="s">
        <v>956</v>
      </c>
      <c r="E105" s="22" t="s">
        <v>957</v>
      </c>
      <c r="F105" s="13" t="s">
        <v>925</v>
      </c>
      <c r="G105" s="13" t="n">
        <v>30</v>
      </c>
      <c r="H105" s="13" t="s">
        <v>926</v>
      </c>
      <c r="I105" s="14" t="s">
        <v>958</v>
      </c>
      <c r="J105" s="15"/>
      <c r="K105" s="13"/>
      <c r="L105" s="13" t="s">
        <v>959</v>
      </c>
      <c r="M105" s="13"/>
      <c r="N105" s="13" t="s">
        <v>184</v>
      </c>
      <c r="O105" s="13" t="s">
        <v>185</v>
      </c>
      <c r="P105" s="13" t="s">
        <v>186</v>
      </c>
      <c r="Q105" s="16"/>
      <c r="R105" s="16"/>
      <c r="S105" s="16"/>
      <c r="T105" s="16"/>
      <c r="U105" s="16"/>
      <c r="V105" s="13" t="s">
        <v>187</v>
      </c>
      <c r="W105" s="17"/>
      <c r="X105" s="13"/>
      <c r="Y105" s="13"/>
      <c r="Z105" s="13"/>
      <c r="AA105" s="13" t="s">
        <v>188</v>
      </c>
      <c r="AB105" s="13"/>
      <c r="AC105" s="17"/>
      <c r="AD105" s="13"/>
      <c r="AE105" s="19"/>
      <c r="AF105" s="19"/>
      <c r="AG105" s="19"/>
      <c r="AH105" s="13"/>
      <c r="AI105" s="17"/>
      <c r="AJ105" s="13" t="s">
        <v>188</v>
      </c>
      <c r="AK105" s="13" t="s">
        <v>188</v>
      </c>
      <c r="AL105" s="14" t="s">
        <v>194</v>
      </c>
      <c r="AM105" s="13" t="s">
        <v>268</v>
      </c>
      <c r="AN105" s="15"/>
      <c r="AO105" s="13"/>
      <c r="AP105" s="13" t="s">
        <v>269</v>
      </c>
      <c r="AQ105" s="16" t="n">
        <f aca="false">IFERROR(IF(AND(INDEX(Mob_Demob!$D$6:$D$14,MATCH(AM105,Mob_Demob!$A$6:$A$14,0))="",INDEX(Mob_Demob!$G$6:$G$14,MATCH(AM105,Mob_Demob!$A$6:$A$14,0))=""),"",ROUND(MAX(N(INDEX(Mob_Demob!$G$6:$G$14,MATCH(AM105,Mob_Demob!$A$6:$A$14,0))),N(INDEX(Mob_Demob!$D$6:$D$14,MATCH(AM105,Mob_Demob!$A$6:$A$14,0)))*Settings!$B$6)+IF(AP105="Y",N(INDEX(Mob_Demob!$I$6:$I$14,MATCH(AM105,Mob_Demob!$A$6:$A$14,0)))*Settings!$B$19,0)+N(INDEX(Mob_Demob!$L$6:$L$14,MATCH(AM105,Mob_Demob!$A$6:$A$14,0)))*N(INDEX(Mob_Demob!$K$6:$K$14,MATCH(AM105,Mob_Demob!$A$6:$A$14,0)))*Settings!$B$6+N(INDEX(Mob_Demob!$M$6:$M$14,MATCH(AM105,Mob_Demob!$A$6:$A$14,0)))*N(INDEX(Mob_Demob!$N$6:$N$14,MATCH(AM105,Mob_Demob!$A$6:$A$14,0))),0)),"")</f>
        <v>1800</v>
      </c>
      <c r="AR105" s="16" t="n">
        <f aca="false">IF(AQ105="","",ROUND(AQ105*Settings!$B$18,0))</f>
        <v>1800</v>
      </c>
      <c r="AS105" s="13" t="s">
        <v>960</v>
      </c>
      <c r="AT105" s="14"/>
      <c r="AU105" s="14" t="s">
        <v>466</v>
      </c>
    </row>
    <row r="106" customFormat="false" ht="64.15" hidden="false" customHeight="false" outlineLevel="0" collapsed="false">
      <c r="A106" s="21" t="s">
        <v>961</v>
      </c>
      <c r="B106" s="21" t="s">
        <v>921</v>
      </c>
      <c r="C106" s="21" t="s">
        <v>922</v>
      </c>
      <c r="D106" s="21" t="s">
        <v>956</v>
      </c>
      <c r="E106" s="22" t="s">
        <v>962</v>
      </c>
      <c r="F106" s="13" t="s">
        <v>925</v>
      </c>
      <c r="G106" s="13" t="n">
        <v>42</v>
      </c>
      <c r="H106" s="13" t="s">
        <v>926</v>
      </c>
      <c r="I106" s="14" t="s">
        <v>963</v>
      </c>
      <c r="J106" s="15"/>
      <c r="K106" s="13"/>
      <c r="L106" s="13" t="s">
        <v>964</v>
      </c>
      <c r="M106" s="13"/>
      <c r="N106" s="13" t="s">
        <v>184</v>
      </c>
      <c r="O106" s="13" t="s">
        <v>185</v>
      </c>
      <c r="P106" s="13" t="s">
        <v>186</v>
      </c>
      <c r="Q106" s="16"/>
      <c r="R106" s="16"/>
      <c r="S106" s="16"/>
      <c r="T106" s="16"/>
      <c r="U106" s="16"/>
      <c r="V106" s="13" t="s">
        <v>187</v>
      </c>
      <c r="W106" s="17"/>
      <c r="X106" s="13"/>
      <c r="Y106" s="13"/>
      <c r="Z106" s="13"/>
      <c r="AA106" s="13" t="s">
        <v>188</v>
      </c>
      <c r="AB106" s="13"/>
      <c r="AC106" s="17"/>
      <c r="AD106" s="13"/>
      <c r="AE106" s="19"/>
      <c r="AF106" s="19"/>
      <c r="AG106" s="19"/>
      <c r="AH106" s="13"/>
      <c r="AI106" s="17"/>
      <c r="AJ106" s="13" t="s">
        <v>188</v>
      </c>
      <c r="AK106" s="13" t="s">
        <v>188</v>
      </c>
      <c r="AL106" s="14" t="s">
        <v>194</v>
      </c>
      <c r="AM106" s="13" t="s">
        <v>268</v>
      </c>
      <c r="AN106" s="15"/>
      <c r="AO106" s="13"/>
      <c r="AP106" s="13" t="s">
        <v>269</v>
      </c>
      <c r="AQ106" s="16" t="n">
        <f aca="false">IFERROR(IF(AND(INDEX(Mob_Demob!$D$6:$D$14,MATCH(AM106,Mob_Demob!$A$6:$A$14,0))="",INDEX(Mob_Demob!$G$6:$G$14,MATCH(AM106,Mob_Demob!$A$6:$A$14,0))=""),"",ROUND(MAX(N(INDEX(Mob_Demob!$G$6:$G$14,MATCH(AM106,Mob_Demob!$A$6:$A$14,0))),N(INDEX(Mob_Demob!$D$6:$D$14,MATCH(AM106,Mob_Demob!$A$6:$A$14,0)))*Settings!$B$6)+IF(AP106="Y",N(INDEX(Mob_Demob!$I$6:$I$14,MATCH(AM106,Mob_Demob!$A$6:$A$14,0)))*Settings!$B$19,0)+N(INDEX(Mob_Demob!$L$6:$L$14,MATCH(AM106,Mob_Demob!$A$6:$A$14,0)))*N(INDEX(Mob_Demob!$K$6:$K$14,MATCH(AM106,Mob_Demob!$A$6:$A$14,0)))*Settings!$B$6+N(INDEX(Mob_Demob!$M$6:$M$14,MATCH(AM106,Mob_Demob!$A$6:$A$14,0)))*N(INDEX(Mob_Demob!$N$6:$N$14,MATCH(AM106,Mob_Demob!$A$6:$A$14,0))),0)),"")</f>
        <v>1800</v>
      </c>
      <c r="AR106" s="16" t="n">
        <f aca="false">IF(AQ106="","",ROUND(AQ106*Settings!$B$18,0))</f>
        <v>1800</v>
      </c>
      <c r="AS106" s="13" t="s">
        <v>960</v>
      </c>
      <c r="AT106" s="14"/>
      <c r="AU106" s="14" t="s">
        <v>466</v>
      </c>
    </row>
    <row r="107" customFormat="false" ht="64.15" hidden="false" customHeight="false" outlineLevel="0" collapsed="false">
      <c r="A107" s="21" t="s">
        <v>965</v>
      </c>
      <c r="B107" s="21" t="s">
        <v>921</v>
      </c>
      <c r="C107" s="21" t="s">
        <v>966</v>
      </c>
      <c r="D107" s="21" t="s">
        <v>967</v>
      </c>
      <c r="E107" s="22" t="s">
        <v>968</v>
      </c>
      <c r="F107" s="13" t="s">
        <v>925</v>
      </c>
      <c r="G107" s="13" t="n">
        <v>42.1</v>
      </c>
      <c r="H107" s="13" t="s">
        <v>926</v>
      </c>
      <c r="I107" s="14" t="s">
        <v>969</v>
      </c>
      <c r="J107" s="15"/>
      <c r="K107" s="13"/>
      <c r="L107" s="13" t="s">
        <v>970</v>
      </c>
      <c r="M107" s="13"/>
      <c r="N107" s="13" t="s">
        <v>184</v>
      </c>
      <c r="O107" s="13" t="s">
        <v>185</v>
      </c>
      <c r="P107" s="13" t="s">
        <v>186</v>
      </c>
      <c r="Q107" s="16"/>
      <c r="R107" s="16"/>
      <c r="S107" s="16"/>
      <c r="T107" s="16"/>
      <c r="U107" s="16"/>
      <c r="V107" s="13" t="s">
        <v>187</v>
      </c>
      <c r="W107" s="17"/>
      <c r="X107" s="13"/>
      <c r="Y107" s="13"/>
      <c r="Z107" s="13"/>
      <c r="AA107" s="13" t="s">
        <v>188</v>
      </c>
      <c r="AB107" s="13"/>
      <c r="AC107" s="17"/>
      <c r="AD107" s="13"/>
      <c r="AE107" s="19" t="n">
        <v>5.22</v>
      </c>
      <c r="AF107" s="19" t="n">
        <v>6.7</v>
      </c>
      <c r="AG107" s="19" t="n">
        <v>8.18</v>
      </c>
      <c r="AH107" s="13" t="s">
        <v>971</v>
      </c>
      <c r="AI107" s="17"/>
      <c r="AJ107" s="13" t="s">
        <v>188</v>
      </c>
      <c r="AK107" s="13" t="s">
        <v>188</v>
      </c>
      <c r="AL107" s="14" t="s">
        <v>194</v>
      </c>
      <c r="AM107" s="13" t="s">
        <v>286</v>
      </c>
      <c r="AN107" s="15"/>
      <c r="AO107" s="13"/>
      <c r="AP107" s="13" t="s">
        <v>269</v>
      </c>
      <c r="AQ107" s="16" t="n">
        <f aca="false">IFERROR(IF(AND(INDEX(Mob_Demob!$D$6:$D$14,MATCH(AM107,Mob_Demob!$A$6:$A$14,0))="",INDEX(Mob_Demob!$G$6:$G$14,MATCH(AM107,Mob_Demob!$A$6:$A$14,0))=""),"",ROUND(MAX(N(INDEX(Mob_Demob!$G$6:$G$14,MATCH(AM107,Mob_Demob!$A$6:$A$14,0))),N(INDEX(Mob_Demob!$D$6:$D$14,MATCH(AM107,Mob_Demob!$A$6:$A$14,0)))*Settings!$B$6)+IF(AP107="Y",N(INDEX(Mob_Demob!$I$6:$I$14,MATCH(AM107,Mob_Demob!$A$6:$A$14,0)))*Settings!$B$19,0)+N(INDEX(Mob_Demob!$L$6:$L$14,MATCH(AM107,Mob_Demob!$A$6:$A$14,0)))*N(INDEX(Mob_Demob!$K$6:$K$14,MATCH(AM107,Mob_Demob!$A$6:$A$14,0)))*Settings!$B$6+N(INDEX(Mob_Demob!$M$6:$M$14,MATCH(AM107,Mob_Demob!$A$6:$A$14,0)))*N(INDEX(Mob_Demob!$N$6:$N$14,MATCH(AM107,Mob_Demob!$A$6:$A$14,0))),0)),"")</f>
        <v>1913</v>
      </c>
      <c r="AR107" s="16" t="n">
        <f aca="false">IF(AQ107="","",ROUND(AQ107*Settings!$B$18,0))</f>
        <v>1913</v>
      </c>
      <c r="AS107" s="13" t="s">
        <v>972</v>
      </c>
      <c r="AT107" s="14" t="s">
        <v>973</v>
      </c>
      <c r="AU107" s="14" t="s">
        <v>251</v>
      </c>
    </row>
    <row r="108" customFormat="false" ht="64.15" hidden="false" customHeight="false" outlineLevel="0" collapsed="false">
      <c r="A108" s="21" t="s">
        <v>974</v>
      </c>
      <c r="B108" s="21" t="s">
        <v>921</v>
      </c>
      <c r="C108" s="21" t="s">
        <v>966</v>
      </c>
      <c r="D108" s="21" t="s">
        <v>967</v>
      </c>
      <c r="E108" s="22" t="s">
        <v>975</v>
      </c>
      <c r="F108" s="13" t="s">
        <v>925</v>
      </c>
      <c r="G108" s="13" t="n">
        <v>51.6</v>
      </c>
      <c r="H108" s="13" t="s">
        <v>926</v>
      </c>
      <c r="I108" s="14" t="s">
        <v>976</v>
      </c>
      <c r="J108" s="15"/>
      <c r="K108" s="13"/>
      <c r="L108" s="13" t="s">
        <v>977</v>
      </c>
      <c r="M108" s="13"/>
      <c r="N108" s="13" t="s">
        <v>184</v>
      </c>
      <c r="O108" s="13" t="s">
        <v>185</v>
      </c>
      <c r="P108" s="13" t="s">
        <v>186</v>
      </c>
      <c r="Q108" s="16"/>
      <c r="R108" s="16"/>
      <c r="S108" s="16"/>
      <c r="T108" s="16"/>
      <c r="U108" s="16"/>
      <c r="V108" s="13" t="s">
        <v>187</v>
      </c>
      <c r="W108" s="17"/>
      <c r="X108" s="13"/>
      <c r="Y108" s="13"/>
      <c r="Z108" s="13"/>
      <c r="AA108" s="13" t="s">
        <v>188</v>
      </c>
      <c r="AB108" s="13"/>
      <c r="AC108" s="17"/>
      <c r="AD108" s="13"/>
      <c r="AE108" s="19" t="n">
        <v>5.88</v>
      </c>
      <c r="AF108" s="19" t="n">
        <v>7.6</v>
      </c>
      <c r="AG108" s="19" t="n">
        <v>9.33</v>
      </c>
      <c r="AH108" s="13" t="s">
        <v>978</v>
      </c>
      <c r="AI108" s="17"/>
      <c r="AJ108" s="13" t="s">
        <v>188</v>
      </c>
      <c r="AK108" s="13" t="s">
        <v>188</v>
      </c>
      <c r="AL108" s="14" t="s">
        <v>194</v>
      </c>
      <c r="AM108" s="13" t="s">
        <v>286</v>
      </c>
      <c r="AN108" s="15"/>
      <c r="AO108" s="13"/>
      <c r="AP108" s="13" t="s">
        <v>269</v>
      </c>
      <c r="AQ108" s="16" t="n">
        <f aca="false">IFERROR(IF(AND(INDEX(Mob_Demob!$D$6:$D$14,MATCH(AM108,Mob_Demob!$A$6:$A$14,0))="",INDEX(Mob_Demob!$G$6:$G$14,MATCH(AM108,Mob_Demob!$A$6:$A$14,0))=""),"",ROUND(MAX(N(INDEX(Mob_Demob!$G$6:$G$14,MATCH(AM108,Mob_Demob!$A$6:$A$14,0))),N(INDEX(Mob_Demob!$D$6:$D$14,MATCH(AM108,Mob_Demob!$A$6:$A$14,0)))*Settings!$B$6)+IF(AP108="Y",N(INDEX(Mob_Demob!$I$6:$I$14,MATCH(AM108,Mob_Demob!$A$6:$A$14,0)))*Settings!$B$19,0)+N(INDEX(Mob_Demob!$L$6:$L$14,MATCH(AM108,Mob_Demob!$A$6:$A$14,0)))*N(INDEX(Mob_Demob!$K$6:$K$14,MATCH(AM108,Mob_Demob!$A$6:$A$14,0)))*Settings!$B$6+N(INDEX(Mob_Demob!$M$6:$M$14,MATCH(AM108,Mob_Demob!$A$6:$A$14,0)))*N(INDEX(Mob_Demob!$N$6:$N$14,MATCH(AM108,Mob_Demob!$A$6:$A$14,0))),0)),"")</f>
        <v>1913</v>
      </c>
      <c r="AR108" s="16" t="n">
        <f aca="false">IF(AQ108="","",ROUND(AQ108*Settings!$B$18,0))</f>
        <v>1913</v>
      </c>
      <c r="AS108" s="13" t="s">
        <v>972</v>
      </c>
      <c r="AT108" s="14" t="s">
        <v>973</v>
      </c>
      <c r="AU108" s="14" t="s">
        <v>251</v>
      </c>
    </row>
    <row r="109" customFormat="false" ht="64.15" hidden="false" customHeight="false" outlineLevel="0" collapsed="false">
      <c r="A109" s="21" t="s">
        <v>979</v>
      </c>
      <c r="B109" s="21" t="s">
        <v>921</v>
      </c>
      <c r="C109" s="21" t="s">
        <v>966</v>
      </c>
      <c r="D109" s="21" t="s">
        <v>967</v>
      </c>
      <c r="E109" s="22" t="s">
        <v>980</v>
      </c>
      <c r="F109" s="13" t="s">
        <v>925</v>
      </c>
      <c r="G109" s="13" t="n">
        <v>61.7</v>
      </c>
      <c r="H109" s="13" t="s">
        <v>926</v>
      </c>
      <c r="I109" s="14" t="s">
        <v>981</v>
      </c>
      <c r="J109" s="15"/>
      <c r="K109" s="13"/>
      <c r="L109" s="13" t="s">
        <v>982</v>
      </c>
      <c r="M109" s="13"/>
      <c r="N109" s="13" t="s">
        <v>184</v>
      </c>
      <c r="O109" s="13" t="s">
        <v>185</v>
      </c>
      <c r="P109" s="13" t="s">
        <v>186</v>
      </c>
      <c r="Q109" s="16"/>
      <c r="R109" s="16"/>
      <c r="S109" s="16"/>
      <c r="T109" s="16"/>
      <c r="U109" s="16"/>
      <c r="V109" s="13" t="s">
        <v>187</v>
      </c>
      <c r="W109" s="17"/>
      <c r="X109" s="13"/>
      <c r="Y109" s="13"/>
      <c r="Z109" s="13"/>
      <c r="AA109" s="13" t="s">
        <v>188</v>
      </c>
      <c r="AB109" s="13"/>
      <c r="AC109" s="17"/>
      <c r="AD109" s="13"/>
      <c r="AE109" s="19" t="n">
        <v>7.66</v>
      </c>
      <c r="AF109" s="19" t="n">
        <v>9.92</v>
      </c>
      <c r="AG109" s="19" t="n">
        <v>12.17</v>
      </c>
      <c r="AH109" s="13" t="s">
        <v>983</v>
      </c>
      <c r="AI109" s="17"/>
      <c r="AJ109" s="13" t="s">
        <v>188</v>
      </c>
      <c r="AK109" s="13" t="s">
        <v>188</v>
      </c>
      <c r="AL109" s="14" t="s">
        <v>194</v>
      </c>
      <c r="AM109" s="13" t="s">
        <v>286</v>
      </c>
      <c r="AN109" s="15"/>
      <c r="AO109" s="13"/>
      <c r="AP109" s="13" t="s">
        <v>269</v>
      </c>
      <c r="AQ109" s="16" t="n">
        <f aca="false">IFERROR(IF(AND(INDEX(Mob_Demob!$D$6:$D$14,MATCH(AM109,Mob_Demob!$A$6:$A$14,0))="",INDEX(Mob_Demob!$G$6:$G$14,MATCH(AM109,Mob_Demob!$A$6:$A$14,0))=""),"",ROUND(MAX(N(INDEX(Mob_Demob!$G$6:$G$14,MATCH(AM109,Mob_Demob!$A$6:$A$14,0))),N(INDEX(Mob_Demob!$D$6:$D$14,MATCH(AM109,Mob_Demob!$A$6:$A$14,0)))*Settings!$B$6)+IF(AP109="Y",N(INDEX(Mob_Demob!$I$6:$I$14,MATCH(AM109,Mob_Demob!$A$6:$A$14,0)))*Settings!$B$19,0)+N(INDEX(Mob_Demob!$L$6:$L$14,MATCH(AM109,Mob_Demob!$A$6:$A$14,0)))*N(INDEX(Mob_Demob!$K$6:$K$14,MATCH(AM109,Mob_Demob!$A$6:$A$14,0)))*Settings!$B$6+N(INDEX(Mob_Demob!$M$6:$M$14,MATCH(AM109,Mob_Demob!$A$6:$A$14,0)))*N(INDEX(Mob_Demob!$N$6:$N$14,MATCH(AM109,Mob_Demob!$A$6:$A$14,0))),0)),"")</f>
        <v>1913</v>
      </c>
      <c r="AR109" s="16" t="n">
        <f aca="false">IF(AQ109="","",ROUND(AQ109*Settings!$B$18,0))</f>
        <v>1913</v>
      </c>
      <c r="AS109" s="13" t="s">
        <v>972</v>
      </c>
      <c r="AT109" s="14" t="s">
        <v>973</v>
      </c>
      <c r="AU109" s="14" t="s">
        <v>251</v>
      </c>
    </row>
    <row r="110" customFormat="false" ht="64.15" hidden="false" customHeight="false" outlineLevel="0" collapsed="false">
      <c r="A110" s="21" t="s">
        <v>984</v>
      </c>
      <c r="B110" s="21" t="s">
        <v>921</v>
      </c>
      <c r="C110" s="21" t="s">
        <v>966</v>
      </c>
      <c r="D110" s="21" t="s">
        <v>967</v>
      </c>
      <c r="E110" s="22" t="s">
        <v>985</v>
      </c>
      <c r="F110" s="13" t="s">
        <v>925</v>
      </c>
      <c r="G110" s="13" t="n">
        <v>70.5</v>
      </c>
      <c r="H110" s="13" t="s">
        <v>926</v>
      </c>
      <c r="I110" s="14" t="s">
        <v>986</v>
      </c>
      <c r="J110" s="15"/>
      <c r="K110" s="13"/>
      <c r="L110" s="13" t="s">
        <v>987</v>
      </c>
      <c r="M110" s="13"/>
      <c r="N110" s="13" t="s">
        <v>184</v>
      </c>
      <c r="O110" s="13" t="s">
        <v>185</v>
      </c>
      <c r="P110" s="13" t="s">
        <v>186</v>
      </c>
      <c r="Q110" s="16"/>
      <c r="R110" s="16"/>
      <c r="S110" s="16"/>
      <c r="T110" s="16"/>
      <c r="U110" s="16"/>
      <c r="V110" s="13" t="s">
        <v>187</v>
      </c>
      <c r="W110" s="17"/>
      <c r="X110" s="13"/>
      <c r="Y110" s="13"/>
      <c r="Z110" s="13"/>
      <c r="AA110" s="13" t="s">
        <v>188</v>
      </c>
      <c r="AB110" s="13"/>
      <c r="AC110" s="17"/>
      <c r="AD110" s="13"/>
      <c r="AE110" s="19" t="n">
        <v>8.26</v>
      </c>
      <c r="AF110" s="19" t="n">
        <v>10.73</v>
      </c>
      <c r="AG110" s="19" t="n">
        <v>13.21</v>
      </c>
      <c r="AH110" s="13" t="s">
        <v>988</v>
      </c>
      <c r="AI110" s="17"/>
      <c r="AJ110" s="13" t="s">
        <v>188</v>
      </c>
      <c r="AK110" s="13" t="s">
        <v>188</v>
      </c>
      <c r="AL110" s="14" t="s">
        <v>194</v>
      </c>
      <c r="AM110" s="13" t="s">
        <v>286</v>
      </c>
      <c r="AN110" s="15"/>
      <c r="AO110" s="13"/>
      <c r="AP110" s="13" t="s">
        <v>269</v>
      </c>
      <c r="AQ110" s="16" t="n">
        <f aca="false">IFERROR(IF(AND(INDEX(Mob_Demob!$D$6:$D$14,MATCH(AM110,Mob_Demob!$A$6:$A$14,0))="",INDEX(Mob_Demob!$G$6:$G$14,MATCH(AM110,Mob_Demob!$A$6:$A$14,0))=""),"",ROUND(MAX(N(INDEX(Mob_Demob!$G$6:$G$14,MATCH(AM110,Mob_Demob!$A$6:$A$14,0))),N(INDEX(Mob_Demob!$D$6:$D$14,MATCH(AM110,Mob_Demob!$A$6:$A$14,0)))*Settings!$B$6)+IF(AP110="Y",N(INDEX(Mob_Demob!$I$6:$I$14,MATCH(AM110,Mob_Demob!$A$6:$A$14,0)))*Settings!$B$19,0)+N(INDEX(Mob_Demob!$L$6:$L$14,MATCH(AM110,Mob_Demob!$A$6:$A$14,0)))*N(INDEX(Mob_Demob!$K$6:$K$14,MATCH(AM110,Mob_Demob!$A$6:$A$14,0)))*Settings!$B$6+N(INDEX(Mob_Demob!$M$6:$M$14,MATCH(AM110,Mob_Demob!$A$6:$A$14,0)))*N(INDEX(Mob_Demob!$N$6:$N$14,MATCH(AM110,Mob_Demob!$A$6:$A$14,0))),0)),"")</f>
        <v>1913</v>
      </c>
      <c r="AR110" s="16" t="n">
        <f aca="false">IF(AQ110="","",ROUND(AQ110*Settings!$B$18,0))</f>
        <v>1913</v>
      </c>
      <c r="AS110" s="13" t="s">
        <v>972</v>
      </c>
      <c r="AT110" s="14" t="s">
        <v>973</v>
      </c>
      <c r="AU110" s="14" t="s">
        <v>251</v>
      </c>
    </row>
    <row r="111" customFormat="false" ht="64.15" hidden="false" customHeight="false" outlineLevel="0" collapsed="false">
      <c r="A111" s="21" t="s">
        <v>989</v>
      </c>
      <c r="B111" s="21" t="s">
        <v>921</v>
      </c>
      <c r="C111" s="21" t="s">
        <v>966</v>
      </c>
      <c r="D111" s="21" t="s">
        <v>967</v>
      </c>
      <c r="E111" s="22" t="s">
        <v>990</v>
      </c>
      <c r="F111" s="13" t="s">
        <v>925</v>
      </c>
      <c r="G111" s="13" t="n">
        <v>101.1</v>
      </c>
      <c r="H111" s="13" t="s">
        <v>926</v>
      </c>
      <c r="I111" s="14" t="s">
        <v>991</v>
      </c>
      <c r="J111" s="15"/>
      <c r="K111" s="13"/>
      <c r="L111" s="13" t="s">
        <v>992</v>
      </c>
      <c r="M111" s="13"/>
      <c r="N111" s="13" t="s">
        <v>184</v>
      </c>
      <c r="O111" s="13" t="s">
        <v>185</v>
      </c>
      <c r="P111" s="13" t="s">
        <v>186</v>
      </c>
      <c r="Q111" s="16"/>
      <c r="R111" s="16"/>
      <c r="S111" s="16"/>
      <c r="T111" s="16"/>
      <c r="U111" s="16"/>
      <c r="V111" s="13" t="s">
        <v>187</v>
      </c>
      <c r="W111" s="17"/>
      <c r="X111" s="13"/>
      <c r="Y111" s="13"/>
      <c r="Z111" s="13"/>
      <c r="AA111" s="13" t="s">
        <v>188</v>
      </c>
      <c r="AB111" s="13"/>
      <c r="AC111" s="17"/>
      <c r="AD111" s="13"/>
      <c r="AE111" s="19" t="n">
        <v>12</v>
      </c>
      <c r="AF111" s="19" t="n">
        <v>15.63</v>
      </c>
      <c r="AG111" s="19" t="n">
        <v>19.27</v>
      </c>
      <c r="AH111" s="13" t="s">
        <v>993</v>
      </c>
      <c r="AI111" s="17"/>
      <c r="AJ111" s="13" t="s">
        <v>188</v>
      </c>
      <c r="AK111" s="13" t="s">
        <v>188</v>
      </c>
      <c r="AL111" s="14" t="s">
        <v>194</v>
      </c>
      <c r="AM111" s="13" t="s">
        <v>286</v>
      </c>
      <c r="AN111" s="15"/>
      <c r="AO111" s="13"/>
      <c r="AP111" s="13" t="s">
        <v>269</v>
      </c>
      <c r="AQ111" s="16" t="n">
        <f aca="false">IFERROR(IF(AND(INDEX(Mob_Demob!$D$6:$D$14,MATCH(AM111,Mob_Demob!$A$6:$A$14,0))="",INDEX(Mob_Demob!$G$6:$G$14,MATCH(AM111,Mob_Demob!$A$6:$A$14,0))=""),"",ROUND(MAX(N(INDEX(Mob_Demob!$G$6:$G$14,MATCH(AM111,Mob_Demob!$A$6:$A$14,0))),N(INDEX(Mob_Demob!$D$6:$D$14,MATCH(AM111,Mob_Demob!$A$6:$A$14,0)))*Settings!$B$6)+IF(AP111="Y",N(INDEX(Mob_Demob!$I$6:$I$14,MATCH(AM111,Mob_Demob!$A$6:$A$14,0)))*Settings!$B$19,0)+N(INDEX(Mob_Demob!$L$6:$L$14,MATCH(AM111,Mob_Demob!$A$6:$A$14,0)))*N(INDEX(Mob_Demob!$K$6:$K$14,MATCH(AM111,Mob_Demob!$A$6:$A$14,0)))*Settings!$B$6+N(INDEX(Mob_Demob!$M$6:$M$14,MATCH(AM111,Mob_Demob!$A$6:$A$14,0)))*N(INDEX(Mob_Demob!$N$6:$N$14,MATCH(AM111,Mob_Demob!$A$6:$A$14,0))),0)),"")</f>
        <v>1913</v>
      </c>
      <c r="AR111" s="16" t="n">
        <f aca="false">IF(AQ111="","",ROUND(AQ111*Settings!$B$18,0))</f>
        <v>1913</v>
      </c>
      <c r="AS111" s="13" t="s">
        <v>972</v>
      </c>
      <c r="AT111" s="14" t="s">
        <v>973</v>
      </c>
      <c r="AU111" s="14" t="s">
        <v>251</v>
      </c>
    </row>
    <row r="112" customFormat="false" ht="64.15" hidden="false" customHeight="false" outlineLevel="0" collapsed="false">
      <c r="A112" s="21" t="s">
        <v>994</v>
      </c>
      <c r="B112" s="21" t="s">
        <v>921</v>
      </c>
      <c r="C112" s="21" t="s">
        <v>995</v>
      </c>
      <c r="D112" s="21" t="s">
        <v>996</v>
      </c>
      <c r="E112" s="22" t="s">
        <v>997</v>
      </c>
      <c r="F112" s="13" t="s">
        <v>998</v>
      </c>
      <c r="G112" s="13" t="n">
        <v>6613</v>
      </c>
      <c r="H112" s="13" t="s">
        <v>334</v>
      </c>
      <c r="I112" s="14" t="s">
        <v>999</v>
      </c>
      <c r="J112" s="15"/>
      <c r="K112" s="13"/>
      <c r="L112" s="13" t="s">
        <v>1000</v>
      </c>
      <c r="M112" s="13"/>
      <c r="N112" s="13" t="s">
        <v>184</v>
      </c>
      <c r="O112" s="13" t="s">
        <v>336</v>
      </c>
      <c r="P112" s="13" t="s">
        <v>186</v>
      </c>
      <c r="Q112" s="20" t="n">
        <v>575</v>
      </c>
      <c r="R112" s="20" t="n">
        <v>1400</v>
      </c>
      <c r="S112" s="20" t="n">
        <v>3500</v>
      </c>
      <c r="T112" s="16"/>
      <c r="U112" s="16"/>
      <c r="V112" s="13" t="s">
        <v>187</v>
      </c>
      <c r="W112" s="17"/>
      <c r="X112" s="13"/>
      <c r="Y112" s="13" t="s">
        <v>1001</v>
      </c>
      <c r="Z112" s="13" t="s">
        <v>1002</v>
      </c>
      <c r="AA112" s="13" t="s">
        <v>192</v>
      </c>
      <c r="AB112" s="13"/>
      <c r="AC112" s="17"/>
      <c r="AD112" s="13"/>
      <c r="AE112" s="19"/>
      <c r="AF112" s="19"/>
      <c r="AG112" s="19"/>
      <c r="AH112" s="13"/>
      <c r="AI112" s="17"/>
      <c r="AJ112" s="13" t="s">
        <v>188</v>
      </c>
      <c r="AK112" s="13" t="s">
        <v>188</v>
      </c>
      <c r="AL112" s="14" t="s">
        <v>194</v>
      </c>
      <c r="AM112" s="13" t="s">
        <v>195</v>
      </c>
      <c r="AN112" s="15"/>
      <c r="AO112" s="13"/>
      <c r="AP112" s="13" t="s">
        <v>196</v>
      </c>
      <c r="AQ112" s="16" t="n">
        <f aca="false">IFERROR(IF(AND(INDEX(Mob_Demob!$D$6:$D$14,MATCH(AM112,Mob_Demob!$A$6:$A$14,0))="",INDEX(Mob_Demob!$G$6:$G$14,MATCH(AM112,Mob_Demob!$A$6:$A$14,0))=""),"",ROUND(MAX(N(INDEX(Mob_Demob!$G$6:$G$14,MATCH(AM112,Mob_Demob!$A$6:$A$14,0))),N(INDEX(Mob_Demob!$D$6:$D$14,MATCH(AM112,Mob_Demob!$A$6:$A$14,0)))*Settings!$B$6)+IF(AP112="Y",N(INDEX(Mob_Demob!$I$6:$I$14,MATCH(AM112,Mob_Demob!$A$6:$A$14,0)))*Settings!$B$19,0)+N(INDEX(Mob_Demob!$L$6:$L$14,MATCH(AM112,Mob_Demob!$A$6:$A$14,0)))*N(INDEX(Mob_Demob!$K$6:$K$14,MATCH(AM112,Mob_Demob!$A$6:$A$14,0)))*Settings!$B$6+N(INDEX(Mob_Demob!$M$6:$M$14,MATCH(AM112,Mob_Demob!$A$6:$A$14,0)))*N(INDEX(Mob_Demob!$N$6:$N$14,MATCH(AM112,Mob_Demob!$A$6:$A$14,0))),0)),"")</f>
        <v>500</v>
      </c>
      <c r="AR112" s="16" t="n">
        <f aca="false">IF(AQ112="","",ROUND(AQ112*Settings!$B$18,0))</f>
        <v>500</v>
      </c>
      <c r="AS112" s="13"/>
      <c r="AT112" s="14" t="s">
        <v>1003</v>
      </c>
      <c r="AU112" s="14" t="s">
        <v>262</v>
      </c>
    </row>
    <row r="113" customFormat="false" ht="64.15" hidden="false" customHeight="false" outlineLevel="0" collapsed="false">
      <c r="A113" s="21" t="s">
        <v>1004</v>
      </c>
      <c r="B113" s="21" t="s">
        <v>921</v>
      </c>
      <c r="C113" s="21" t="s">
        <v>995</v>
      </c>
      <c r="D113" s="21" t="s">
        <v>996</v>
      </c>
      <c r="E113" s="22" t="s">
        <v>1005</v>
      </c>
      <c r="F113" s="13" t="s">
        <v>998</v>
      </c>
      <c r="G113" s="13" t="n">
        <v>13200</v>
      </c>
      <c r="H113" s="13" t="s">
        <v>334</v>
      </c>
      <c r="I113" s="14" t="s">
        <v>1006</v>
      </c>
      <c r="J113" s="15"/>
      <c r="K113" s="13"/>
      <c r="L113" s="13" t="s">
        <v>1007</v>
      </c>
      <c r="M113" s="13"/>
      <c r="N113" s="13" t="s">
        <v>184</v>
      </c>
      <c r="O113" s="13" t="s">
        <v>336</v>
      </c>
      <c r="P113" s="13" t="s">
        <v>186</v>
      </c>
      <c r="Q113" s="20" t="n">
        <v>775</v>
      </c>
      <c r="R113" s="20" t="n">
        <v>2050</v>
      </c>
      <c r="S113" s="20" t="n">
        <v>5250</v>
      </c>
      <c r="T113" s="20" t="n">
        <v>4000</v>
      </c>
      <c r="U113" s="20" t="n">
        <v>6500</v>
      </c>
      <c r="V113" s="13" t="s">
        <v>187</v>
      </c>
      <c r="W113" s="17"/>
      <c r="X113" s="13"/>
      <c r="Y113" s="13" t="s">
        <v>1008</v>
      </c>
      <c r="Z113" s="13" t="s">
        <v>212</v>
      </c>
      <c r="AA113" s="13" t="s">
        <v>213</v>
      </c>
      <c r="AB113" s="13"/>
      <c r="AC113" s="17"/>
      <c r="AD113" s="13"/>
      <c r="AE113" s="19"/>
      <c r="AF113" s="19"/>
      <c r="AG113" s="19"/>
      <c r="AH113" s="13"/>
      <c r="AI113" s="17"/>
      <c r="AJ113" s="13" t="s">
        <v>188</v>
      </c>
      <c r="AK113" s="13" t="s">
        <v>188</v>
      </c>
      <c r="AL113" s="14" t="s">
        <v>194</v>
      </c>
      <c r="AM113" s="13" t="s">
        <v>195</v>
      </c>
      <c r="AN113" s="15"/>
      <c r="AO113" s="13"/>
      <c r="AP113" s="13" t="s">
        <v>196</v>
      </c>
      <c r="AQ113" s="16" t="n">
        <f aca="false">IFERROR(IF(AND(INDEX(Mob_Demob!$D$6:$D$14,MATCH(AM113,Mob_Demob!$A$6:$A$14,0))="",INDEX(Mob_Demob!$G$6:$G$14,MATCH(AM113,Mob_Demob!$A$6:$A$14,0))=""),"",ROUND(MAX(N(INDEX(Mob_Demob!$G$6:$G$14,MATCH(AM113,Mob_Demob!$A$6:$A$14,0))),N(INDEX(Mob_Demob!$D$6:$D$14,MATCH(AM113,Mob_Demob!$A$6:$A$14,0)))*Settings!$B$6)+IF(AP113="Y",N(INDEX(Mob_Demob!$I$6:$I$14,MATCH(AM113,Mob_Demob!$A$6:$A$14,0)))*Settings!$B$19,0)+N(INDEX(Mob_Demob!$L$6:$L$14,MATCH(AM113,Mob_Demob!$A$6:$A$14,0)))*N(INDEX(Mob_Demob!$K$6:$K$14,MATCH(AM113,Mob_Demob!$A$6:$A$14,0)))*Settings!$B$6+N(INDEX(Mob_Demob!$M$6:$M$14,MATCH(AM113,Mob_Demob!$A$6:$A$14,0)))*N(INDEX(Mob_Demob!$N$6:$N$14,MATCH(AM113,Mob_Demob!$A$6:$A$14,0))),0)),"")</f>
        <v>500</v>
      </c>
      <c r="AR113" s="16" t="n">
        <f aca="false">IF(AQ113="","",ROUND(AQ113*Settings!$B$18,0))</f>
        <v>500</v>
      </c>
      <c r="AS113" s="13"/>
      <c r="AT113" s="14" t="s">
        <v>1009</v>
      </c>
      <c r="AU113" s="14" t="s">
        <v>262</v>
      </c>
    </row>
    <row r="114" customFormat="false" ht="64.15" hidden="false" customHeight="false" outlineLevel="0" collapsed="false">
      <c r="A114" s="21" t="s">
        <v>1010</v>
      </c>
      <c r="B114" s="21" t="s">
        <v>921</v>
      </c>
      <c r="C114" s="21" t="s">
        <v>1011</v>
      </c>
      <c r="D114" s="21" t="s">
        <v>1012</v>
      </c>
      <c r="E114" s="22" t="s">
        <v>1013</v>
      </c>
      <c r="F114" s="13" t="s">
        <v>857</v>
      </c>
      <c r="G114" s="13" t="s">
        <v>1014</v>
      </c>
      <c r="H114" s="13"/>
      <c r="I114" s="14" t="s">
        <v>1015</v>
      </c>
      <c r="J114" s="15"/>
      <c r="K114" s="13"/>
      <c r="L114" s="13"/>
      <c r="M114" s="13"/>
      <c r="N114" s="13" t="s">
        <v>184</v>
      </c>
      <c r="O114" s="13" t="s">
        <v>336</v>
      </c>
      <c r="P114" s="13" t="s">
        <v>186</v>
      </c>
      <c r="Q114" s="20" t="n">
        <v>1600</v>
      </c>
      <c r="R114" s="20" t="n">
        <v>3975</v>
      </c>
      <c r="S114" s="20" t="n">
        <v>9900</v>
      </c>
      <c r="T114" s="16"/>
      <c r="U114" s="16"/>
      <c r="V114" s="13" t="s">
        <v>187</v>
      </c>
      <c r="W114" s="17"/>
      <c r="X114" s="13"/>
      <c r="Y114" s="13" t="s">
        <v>1001</v>
      </c>
      <c r="Z114" s="13" t="s">
        <v>1002</v>
      </c>
      <c r="AA114" s="13" t="s">
        <v>192</v>
      </c>
      <c r="AB114" s="13"/>
      <c r="AC114" s="17"/>
      <c r="AD114" s="13"/>
      <c r="AE114" s="19"/>
      <c r="AF114" s="19"/>
      <c r="AG114" s="19"/>
      <c r="AH114" s="13"/>
      <c r="AI114" s="17"/>
      <c r="AJ114" s="13" t="s">
        <v>188</v>
      </c>
      <c r="AK114" s="13" t="s">
        <v>188</v>
      </c>
      <c r="AL114" s="14" t="s">
        <v>194</v>
      </c>
      <c r="AM114" s="13" t="s">
        <v>216</v>
      </c>
      <c r="AN114" s="15"/>
      <c r="AO114" s="13"/>
      <c r="AP114" s="13" t="s">
        <v>241</v>
      </c>
      <c r="AQ114" s="16" t="n">
        <f aca="false">IFERROR(IF(AND(INDEX(Mob_Demob!$D$6:$D$14,MATCH(AM114,Mob_Demob!$A$6:$A$14,0))="",INDEX(Mob_Demob!$G$6:$G$14,MATCH(AM114,Mob_Demob!$A$6:$A$14,0))=""),"",ROUND(MAX(N(INDEX(Mob_Demob!$G$6:$G$14,MATCH(AM114,Mob_Demob!$A$6:$A$14,0))),N(INDEX(Mob_Demob!$D$6:$D$14,MATCH(AM114,Mob_Demob!$A$6:$A$14,0)))*Settings!$B$6)+IF(AP114="Y",N(INDEX(Mob_Demob!$I$6:$I$14,MATCH(AM114,Mob_Demob!$A$6:$A$14,0)))*Settings!$B$19,0)+N(INDEX(Mob_Demob!$L$6:$L$14,MATCH(AM114,Mob_Demob!$A$6:$A$14,0)))*N(INDEX(Mob_Demob!$K$6:$K$14,MATCH(AM114,Mob_Demob!$A$6:$A$14,0)))*Settings!$B$6+N(INDEX(Mob_Demob!$M$6:$M$14,MATCH(AM114,Mob_Demob!$A$6:$A$14,0)))*N(INDEX(Mob_Demob!$N$6:$N$14,MATCH(AM114,Mob_Demob!$A$6:$A$14,0))),0)),"")</f>
        <v>550</v>
      </c>
      <c r="AR114" s="16" t="n">
        <f aca="false">IF(AQ114="","",ROUND(AQ114*Settings!$B$18,0))</f>
        <v>550</v>
      </c>
      <c r="AS114" s="13"/>
      <c r="AT114" s="14" t="s">
        <v>1003</v>
      </c>
      <c r="AU114" s="14" t="s">
        <v>262</v>
      </c>
    </row>
    <row r="115" customFormat="false" ht="64.15" hidden="false" customHeight="false" outlineLevel="0" collapsed="false">
      <c r="A115" s="21" t="s">
        <v>1016</v>
      </c>
      <c r="B115" s="21" t="s">
        <v>921</v>
      </c>
      <c r="C115" s="21" t="s">
        <v>1017</v>
      </c>
      <c r="D115" s="21" t="s">
        <v>1018</v>
      </c>
      <c r="E115" s="22" t="s">
        <v>1019</v>
      </c>
      <c r="F115" s="13" t="s">
        <v>1020</v>
      </c>
      <c r="G115" s="13" t="n">
        <v>7</v>
      </c>
      <c r="H115" s="13" t="s">
        <v>479</v>
      </c>
      <c r="I115" s="14" t="s">
        <v>1021</v>
      </c>
      <c r="J115" s="15"/>
      <c r="K115" s="13" t="n">
        <v>330</v>
      </c>
      <c r="L115" s="13" t="s">
        <v>1022</v>
      </c>
      <c r="M115" s="13"/>
      <c r="N115" s="13" t="s">
        <v>184</v>
      </c>
      <c r="O115" s="13" t="s">
        <v>1023</v>
      </c>
      <c r="P115" s="13" t="s">
        <v>186</v>
      </c>
      <c r="Q115" s="16"/>
      <c r="R115" s="16"/>
      <c r="S115" s="16"/>
      <c r="T115" s="16"/>
      <c r="U115" s="16"/>
      <c r="V115" s="13" t="s">
        <v>187</v>
      </c>
      <c r="W115" s="17"/>
      <c r="X115" s="13"/>
      <c r="Y115" s="13"/>
      <c r="Z115" s="13"/>
      <c r="AA115" s="13" t="s">
        <v>188</v>
      </c>
      <c r="AB115" s="13" t="s">
        <v>1024</v>
      </c>
      <c r="AC115" s="18" t="n">
        <v>95.38</v>
      </c>
      <c r="AD115" s="13" t="s">
        <v>190</v>
      </c>
      <c r="AE115" s="19" t="n">
        <f aca="false">ROUND(K115*Settings!$B$11*Settings!$B$13,2)</f>
        <v>5.61</v>
      </c>
      <c r="AF115" s="19" t="n">
        <f aca="false">ROUND(K115*Settings!$B$11*Settings!$B$14,2)</f>
        <v>7.38</v>
      </c>
      <c r="AG115" s="19" t="n">
        <f aca="false">ROUND(K115*Settings!$B$11*Settings!$B$15,2)</f>
        <v>9.62</v>
      </c>
      <c r="AH115" s="13" t="s">
        <v>191</v>
      </c>
      <c r="AI115" s="17" t="n">
        <f aca="false">IF(OR(AC115="",AF115="",Settings!$B$5=""),"",ROUND(AC115-AF115*Settings!$B$5,2))</f>
        <v>68.37</v>
      </c>
      <c r="AJ115" s="13" t="s">
        <v>192</v>
      </c>
      <c r="AK115" s="13" t="s">
        <v>193</v>
      </c>
      <c r="AL115" s="14" t="s">
        <v>194</v>
      </c>
      <c r="AM115" s="13" t="s">
        <v>484</v>
      </c>
      <c r="AN115" s="15"/>
      <c r="AO115" s="13"/>
      <c r="AP115" s="13" t="s">
        <v>196</v>
      </c>
      <c r="AQ115" s="16" t="str">
        <f aca="false">IFERROR(IF(AND(INDEX(Mob_Demob!$D$6:$D$14,MATCH(AM115,Mob_Demob!$A$6:$A$14,0))="",INDEX(Mob_Demob!$G$6:$G$14,MATCH(AM115,Mob_Demob!$A$6:$A$14,0))=""),"",ROUND(MAX(N(INDEX(Mob_Demob!$G$6:$G$14,MATCH(AM115,Mob_Demob!$A$6:$A$14,0))),N(INDEX(Mob_Demob!$D$6:$D$14,MATCH(AM115,Mob_Demob!$A$6:$A$14,0)))*Settings!$B$6)+IF(AP115="Y",N(INDEX(Mob_Demob!$I$6:$I$14,MATCH(AM115,Mob_Demob!$A$6:$A$14,0)))*Settings!$B$19,0)+N(INDEX(Mob_Demob!$L$6:$L$14,MATCH(AM115,Mob_Demob!$A$6:$A$14,0)))*N(INDEX(Mob_Demob!$K$6:$K$14,MATCH(AM115,Mob_Demob!$A$6:$A$14,0)))*Settings!$B$6+N(INDEX(Mob_Demob!$M$6:$M$14,MATCH(AM115,Mob_Demob!$A$6:$A$14,0)))*N(INDEX(Mob_Demob!$N$6:$N$14,MATCH(AM115,Mob_Demob!$A$6:$A$14,0))),0)),"")</f>
        <v/>
      </c>
      <c r="AR115" s="16" t="str">
        <f aca="false">IF(AQ115="","",ROUND(AQ115*Settings!$B$18,0))</f>
        <v/>
      </c>
      <c r="AS115" s="13" t="s">
        <v>1025</v>
      </c>
      <c r="AT115" s="14" t="s">
        <v>1026</v>
      </c>
      <c r="AU115" s="14" t="s">
        <v>199</v>
      </c>
    </row>
    <row r="116" customFormat="false" ht="64.15" hidden="false" customHeight="false" outlineLevel="0" collapsed="false">
      <c r="A116" s="21" t="s">
        <v>1027</v>
      </c>
      <c r="B116" s="21" t="s">
        <v>921</v>
      </c>
      <c r="C116" s="21" t="s">
        <v>1017</v>
      </c>
      <c r="D116" s="21" t="s">
        <v>1018</v>
      </c>
      <c r="E116" s="22" t="s">
        <v>1028</v>
      </c>
      <c r="F116" s="13" t="s">
        <v>1020</v>
      </c>
      <c r="G116" s="13" t="n">
        <v>9</v>
      </c>
      <c r="H116" s="13" t="s">
        <v>479</v>
      </c>
      <c r="I116" s="14" t="s">
        <v>1021</v>
      </c>
      <c r="J116" s="15"/>
      <c r="K116" s="13" t="n">
        <v>350</v>
      </c>
      <c r="L116" s="13" t="s">
        <v>1029</v>
      </c>
      <c r="M116" s="13"/>
      <c r="N116" s="13" t="s">
        <v>184</v>
      </c>
      <c r="O116" s="13" t="s">
        <v>1023</v>
      </c>
      <c r="P116" s="13" t="s">
        <v>186</v>
      </c>
      <c r="Q116" s="16"/>
      <c r="R116" s="16"/>
      <c r="S116" s="16"/>
      <c r="T116" s="16"/>
      <c r="U116" s="16"/>
      <c r="V116" s="13" t="s">
        <v>187</v>
      </c>
      <c r="W116" s="17"/>
      <c r="X116" s="13"/>
      <c r="Y116" s="13"/>
      <c r="Z116" s="13"/>
      <c r="AA116" s="13" t="s">
        <v>188</v>
      </c>
      <c r="AB116" s="13" t="s">
        <v>1030</v>
      </c>
      <c r="AC116" s="18" t="n">
        <v>100.63</v>
      </c>
      <c r="AD116" s="13" t="s">
        <v>190</v>
      </c>
      <c r="AE116" s="19" t="n">
        <f aca="false">ROUND(K116*Settings!$B$11*Settings!$B$13,2)</f>
        <v>5.95</v>
      </c>
      <c r="AF116" s="19" t="n">
        <f aca="false">ROUND(K116*Settings!$B$11*Settings!$B$14,2)</f>
        <v>7.82</v>
      </c>
      <c r="AG116" s="19" t="n">
        <f aca="false">ROUND(K116*Settings!$B$11*Settings!$B$15,2)</f>
        <v>10.21</v>
      </c>
      <c r="AH116" s="13" t="s">
        <v>191</v>
      </c>
      <c r="AI116" s="17" t="n">
        <f aca="false">IF(OR(AC116="",AF116="",Settings!$B$5=""),"",ROUND(AC116-AF116*Settings!$B$5,2))</f>
        <v>72.01</v>
      </c>
      <c r="AJ116" s="13" t="s">
        <v>192</v>
      </c>
      <c r="AK116" s="13" t="s">
        <v>193</v>
      </c>
      <c r="AL116" s="14" t="s">
        <v>194</v>
      </c>
      <c r="AM116" s="13" t="s">
        <v>484</v>
      </c>
      <c r="AN116" s="15"/>
      <c r="AO116" s="13"/>
      <c r="AP116" s="13" t="s">
        <v>196</v>
      </c>
      <c r="AQ116" s="16" t="str">
        <f aca="false">IFERROR(IF(AND(INDEX(Mob_Demob!$D$6:$D$14,MATCH(AM116,Mob_Demob!$A$6:$A$14,0))="",INDEX(Mob_Demob!$G$6:$G$14,MATCH(AM116,Mob_Demob!$A$6:$A$14,0))=""),"",ROUND(MAX(N(INDEX(Mob_Demob!$G$6:$G$14,MATCH(AM116,Mob_Demob!$A$6:$A$14,0))),N(INDEX(Mob_Demob!$D$6:$D$14,MATCH(AM116,Mob_Demob!$A$6:$A$14,0)))*Settings!$B$6)+IF(AP116="Y",N(INDEX(Mob_Demob!$I$6:$I$14,MATCH(AM116,Mob_Demob!$A$6:$A$14,0)))*Settings!$B$19,0)+N(INDEX(Mob_Demob!$L$6:$L$14,MATCH(AM116,Mob_Demob!$A$6:$A$14,0)))*N(INDEX(Mob_Demob!$K$6:$K$14,MATCH(AM116,Mob_Demob!$A$6:$A$14,0)))*Settings!$B$6+N(INDEX(Mob_Demob!$M$6:$M$14,MATCH(AM116,Mob_Demob!$A$6:$A$14,0)))*N(INDEX(Mob_Demob!$N$6:$N$14,MATCH(AM116,Mob_Demob!$A$6:$A$14,0))),0)),"")</f>
        <v/>
      </c>
      <c r="AR116" s="16" t="str">
        <f aca="false">IF(AQ116="","",ROUND(AQ116*Settings!$B$18,0))</f>
        <v/>
      </c>
      <c r="AS116" s="13" t="s">
        <v>1025</v>
      </c>
      <c r="AT116" s="14" t="s">
        <v>1026</v>
      </c>
      <c r="AU116" s="14" t="s">
        <v>199</v>
      </c>
    </row>
    <row r="117" customFormat="false" ht="64.15" hidden="false" customHeight="false" outlineLevel="0" collapsed="false">
      <c r="A117" s="21" t="s">
        <v>1031</v>
      </c>
      <c r="B117" s="21" t="s">
        <v>921</v>
      </c>
      <c r="C117" s="21" t="s">
        <v>1017</v>
      </c>
      <c r="D117" s="21" t="s">
        <v>1018</v>
      </c>
      <c r="E117" s="22" t="s">
        <v>1032</v>
      </c>
      <c r="F117" s="13" t="s">
        <v>1020</v>
      </c>
      <c r="G117" s="13" t="n">
        <v>12</v>
      </c>
      <c r="H117" s="13" t="s">
        <v>479</v>
      </c>
      <c r="I117" s="14" t="s">
        <v>1021</v>
      </c>
      <c r="J117" s="15"/>
      <c r="K117" s="13" t="n">
        <v>350</v>
      </c>
      <c r="L117" s="13" t="s">
        <v>1033</v>
      </c>
      <c r="M117" s="13"/>
      <c r="N117" s="13" t="s">
        <v>184</v>
      </c>
      <c r="O117" s="13" t="s">
        <v>1023</v>
      </c>
      <c r="P117" s="13" t="s">
        <v>186</v>
      </c>
      <c r="Q117" s="16"/>
      <c r="R117" s="16"/>
      <c r="S117" s="16"/>
      <c r="T117" s="16"/>
      <c r="U117" s="16"/>
      <c r="V117" s="13" t="s">
        <v>187</v>
      </c>
      <c r="W117" s="17"/>
      <c r="X117" s="13"/>
      <c r="Y117" s="13"/>
      <c r="Z117" s="13"/>
      <c r="AA117" s="13" t="s">
        <v>188</v>
      </c>
      <c r="AB117" s="13" t="s">
        <v>1034</v>
      </c>
      <c r="AC117" s="18" t="n">
        <v>120.74</v>
      </c>
      <c r="AD117" s="13" t="s">
        <v>190</v>
      </c>
      <c r="AE117" s="19" t="n">
        <f aca="false">ROUND(K117*Settings!$B$11*Settings!$B$13,2)</f>
        <v>5.95</v>
      </c>
      <c r="AF117" s="19" t="n">
        <f aca="false">ROUND(K117*Settings!$B$11*Settings!$B$14,2)</f>
        <v>7.82</v>
      </c>
      <c r="AG117" s="19" t="n">
        <f aca="false">ROUND(K117*Settings!$B$11*Settings!$B$15,2)</f>
        <v>10.21</v>
      </c>
      <c r="AH117" s="13" t="s">
        <v>191</v>
      </c>
      <c r="AI117" s="17" t="n">
        <f aca="false">IF(OR(AC117="",AF117="",Settings!$B$5=""),"",ROUND(AC117-AF117*Settings!$B$5,2))</f>
        <v>92.12</v>
      </c>
      <c r="AJ117" s="13" t="s">
        <v>192</v>
      </c>
      <c r="AK117" s="13" t="s">
        <v>193</v>
      </c>
      <c r="AL117" s="14" t="s">
        <v>194</v>
      </c>
      <c r="AM117" s="13" t="s">
        <v>484</v>
      </c>
      <c r="AN117" s="15"/>
      <c r="AO117" s="13"/>
      <c r="AP117" s="13" t="s">
        <v>196</v>
      </c>
      <c r="AQ117" s="16" t="str">
        <f aca="false">IFERROR(IF(AND(INDEX(Mob_Demob!$D$6:$D$14,MATCH(AM117,Mob_Demob!$A$6:$A$14,0))="",INDEX(Mob_Demob!$G$6:$G$14,MATCH(AM117,Mob_Demob!$A$6:$A$14,0))=""),"",ROUND(MAX(N(INDEX(Mob_Demob!$G$6:$G$14,MATCH(AM117,Mob_Demob!$A$6:$A$14,0))),N(INDEX(Mob_Demob!$D$6:$D$14,MATCH(AM117,Mob_Demob!$A$6:$A$14,0)))*Settings!$B$6)+IF(AP117="Y",N(INDEX(Mob_Demob!$I$6:$I$14,MATCH(AM117,Mob_Demob!$A$6:$A$14,0)))*Settings!$B$19,0)+N(INDEX(Mob_Demob!$L$6:$L$14,MATCH(AM117,Mob_Demob!$A$6:$A$14,0)))*N(INDEX(Mob_Demob!$K$6:$K$14,MATCH(AM117,Mob_Demob!$A$6:$A$14,0)))*Settings!$B$6+N(INDEX(Mob_Demob!$M$6:$M$14,MATCH(AM117,Mob_Demob!$A$6:$A$14,0)))*N(INDEX(Mob_Demob!$N$6:$N$14,MATCH(AM117,Mob_Demob!$A$6:$A$14,0))),0)),"")</f>
        <v/>
      </c>
      <c r="AR117" s="16" t="str">
        <f aca="false">IF(AQ117="","",ROUND(AQ117*Settings!$B$18,0))</f>
        <v/>
      </c>
      <c r="AS117" s="13" t="s">
        <v>1025</v>
      </c>
      <c r="AT117" s="14" t="s">
        <v>1026</v>
      </c>
      <c r="AU117" s="14" t="s">
        <v>199</v>
      </c>
    </row>
    <row r="118" customFormat="false" ht="64.15" hidden="false" customHeight="false" outlineLevel="0" collapsed="false">
      <c r="A118" s="21" t="s">
        <v>1035</v>
      </c>
      <c r="B118" s="21" t="s">
        <v>921</v>
      </c>
      <c r="C118" s="21" t="s">
        <v>1017</v>
      </c>
      <c r="D118" s="21" t="s">
        <v>1018</v>
      </c>
      <c r="E118" s="22" t="s">
        <v>1036</v>
      </c>
      <c r="F118" s="13" t="s">
        <v>1020</v>
      </c>
      <c r="G118" s="13" t="n">
        <v>14</v>
      </c>
      <c r="H118" s="13" t="s">
        <v>479</v>
      </c>
      <c r="I118" s="14" t="s">
        <v>1021</v>
      </c>
      <c r="J118" s="15"/>
      <c r="K118" s="13" t="n">
        <v>470</v>
      </c>
      <c r="L118" s="13" t="s">
        <v>549</v>
      </c>
      <c r="M118" s="13"/>
      <c r="N118" s="13" t="s">
        <v>184</v>
      </c>
      <c r="O118" s="13" t="s">
        <v>1023</v>
      </c>
      <c r="P118" s="13" t="s">
        <v>186</v>
      </c>
      <c r="Q118" s="16"/>
      <c r="R118" s="16"/>
      <c r="S118" s="16"/>
      <c r="T118" s="16"/>
      <c r="U118" s="16"/>
      <c r="V118" s="13" t="s">
        <v>187</v>
      </c>
      <c r="W118" s="17"/>
      <c r="X118" s="13"/>
      <c r="Y118" s="13"/>
      <c r="Z118" s="13"/>
      <c r="AA118" s="13" t="s">
        <v>188</v>
      </c>
      <c r="AB118" s="13" t="s">
        <v>1037</v>
      </c>
      <c r="AC118" s="18" t="n">
        <v>122.94</v>
      </c>
      <c r="AD118" s="13" t="s">
        <v>190</v>
      </c>
      <c r="AE118" s="19" t="n">
        <f aca="false">ROUND(K118*Settings!$B$11*Settings!$B$13,2)</f>
        <v>7.99</v>
      </c>
      <c r="AF118" s="19" t="n">
        <f aca="false">ROUND(K118*Settings!$B$11*Settings!$B$14,2)</f>
        <v>10.51</v>
      </c>
      <c r="AG118" s="19" t="n">
        <f aca="false">ROUND(K118*Settings!$B$11*Settings!$B$15,2)</f>
        <v>13.71</v>
      </c>
      <c r="AH118" s="13" t="s">
        <v>191</v>
      </c>
      <c r="AI118" s="17" t="n">
        <f aca="false">IF(OR(AC118="",AF118="",Settings!$B$5=""),"",ROUND(AC118-AF118*Settings!$B$5,2))</f>
        <v>84.47</v>
      </c>
      <c r="AJ118" s="13" t="s">
        <v>192</v>
      </c>
      <c r="AK118" s="13" t="s">
        <v>193</v>
      </c>
      <c r="AL118" s="14" t="s">
        <v>194</v>
      </c>
      <c r="AM118" s="13" t="s">
        <v>484</v>
      </c>
      <c r="AN118" s="15"/>
      <c r="AO118" s="13"/>
      <c r="AP118" s="13" t="s">
        <v>196</v>
      </c>
      <c r="AQ118" s="16" t="str">
        <f aca="false">IFERROR(IF(AND(INDEX(Mob_Demob!$D$6:$D$14,MATCH(AM118,Mob_Demob!$A$6:$A$14,0))="",INDEX(Mob_Demob!$G$6:$G$14,MATCH(AM118,Mob_Demob!$A$6:$A$14,0))=""),"",ROUND(MAX(N(INDEX(Mob_Demob!$G$6:$G$14,MATCH(AM118,Mob_Demob!$A$6:$A$14,0))),N(INDEX(Mob_Demob!$D$6:$D$14,MATCH(AM118,Mob_Demob!$A$6:$A$14,0)))*Settings!$B$6)+IF(AP118="Y",N(INDEX(Mob_Demob!$I$6:$I$14,MATCH(AM118,Mob_Demob!$A$6:$A$14,0)))*Settings!$B$19,0)+N(INDEX(Mob_Demob!$L$6:$L$14,MATCH(AM118,Mob_Demob!$A$6:$A$14,0)))*N(INDEX(Mob_Demob!$K$6:$K$14,MATCH(AM118,Mob_Demob!$A$6:$A$14,0)))*Settings!$B$6+N(INDEX(Mob_Demob!$M$6:$M$14,MATCH(AM118,Mob_Demob!$A$6:$A$14,0)))*N(INDEX(Mob_Demob!$N$6:$N$14,MATCH(AM118,Mob_Demob!$A$6:$A$14,0))),0)),"")</f>
        <v/>
      </c>
      <c r="AR118" s="16" t="str">
        <f aca="false">IF(AQ118="","",ROUND(AQ118*Settings!$B$18,0))</f>
        <v/>
      </c>
      <c r="AS118" s="13" t="s">
        <v>1025</v>
      </c>
      <c r="AT118" s="14" t="s">
        <v>1026</v>
      </c>
      <c r="AU118" s="14" t="s">
        <v>1038</v>
      </c>
    </row>
    <row r="119" customFormat="false" ht="64.15" hidden="false" customHeight="false" outlineLevel="0" collapsed="false">
      <c r="A119" s="21" t="s">
        <v>1039</v>
      </c>
      <c r="B119" s="21" t="s">
        <v>921</v>
      </c>
      <c r="C119" s="21" t="s">
        <v>1017</v>
      </c>
      <c r="D119" s="21" t="s">
        <v>1018</v>
      </c>
      <c r="E119" s="22" t="s">
        <v>1040</v>
      </c>
      <c r="F119" s="13" t="s">
        <v>1020</v>
      </c>
      <c r="G119" s="13" t="n">
        <v>18</v>
      </c>
      <c r="H119" s="13" t="s">
        <v>479</v>
      </c>
      <c r="I119" s="14" t="s">
        <v>1021</v>
      </c>
      <c r="J119" s="15"/>
      <c r="K119" s="13" t="n">
        <v>525</v>
      </c>
      <c r="L119" s="13" t="s">
        <v>1041</v>
      </c>
      <c r="M119" s="13"/>
      <c r="N119" s="13" t="s">
        <v>184</v>
      </c>
      <c r="O119" s="13" t="s">
        <v>1023</v>
      </c>
      <c r="P119" s="13" t="s">
        <v>186</v>
      </c>
      <c r="Q119" s="16"/>
      <c r="R119" s="16"/>
      <c r="S119" s="16"/>
      <c r="T119" s="16"/>
      <c r="U119" s="16"/>
      <c r="V119" s="13" t="s">
        <v>187</v>
      </c>
      <c r="W119" s="17"/>
      <c r="X119" s="13"/>
      <c r="Y119" s="13"/>
      <c r="Z119" s="13"/>
      <c r="AA119" s="13" t="s">
        <v>188</v>
      </c>
      <c r="AB119" s="13" t="s">
        <v>1042</v>
      </c>
      <c r="AC119" s="18" t="n">
        <v>147.99</v>
      </c>
      <c r="AD119" s="13" t="s">
        <v>190</v>
      </c>
      <c r="AE119" s="19" t="n">
        <f aca="false">ROUND(K119*Settings!$B$11*Settings!$B$13,2)</f>
        <v>8.93</v>
      </c>
      <c r="AF119" s="19" t="n">
        <f aca="false">ROUND(K119*Settings!$B$11*Settings!$B$14,2)</f>
        <v>11.74</v>
      </c>
      <c r="AG119" s="19" t="n">
        <f aca="false">ROUND(K119*Settings!$B$11*Settings!$B$15,2)</f>
        <v>15.31</v>
      </c>
      <c r="AH119" s="13" t="s">
        <v>191</v>
      </c>
      <c r="AI119" s="17" t="n">
        <f aca="false">IF(OR(AC119="",AF119="",Settings!$B$5=""),"",ROUND(AC119-AF119*Settings!$B$5,2))</f>
        <v>105.02</v>
      </c>
      <c r="AJ119" s="13" t="s">
        <v>192</v>
      </c>
      <c r="AK119" s="13" t="s">
        <v>193</v>
      </c>
      <c r="AL119" s="14" t="s">
        <v>194</v>
      </c>
      <c r="AM119" s="13" t="s">
        <v>484</v>
      </c>
      <c r="AN119" s="15"/>
      <c r="AO119" s="13"/>
      <c r="AP119" s="13" t="s">
        <v>196</v>
      </c>
      <c r="AQ119" s="16" t="str">
        <f aca="false">IFERROR(IF(AND(INDEX(Mob_Demob!$D$6:$D$14,MATCH(AM119,Mob_Demob!$A$6:$A$14,0))="",INDEX(Mob_Demob!$G$6:$G$14,MATCH(AM119,Mob_Demob!$A$6:$A$14,0))=""),"",ROUND(MAX(N(INDEX(Mob_Demob!$G$6:$G$14,MATCH(AM119,Mob_Demob!$A$6:$A$14,0))),N(INDEX(Mob_Demob!$D$6:$D$14,MATCH(AM119,Mob_Demob!$A$6:$A$14,0)))*Settings!$B$6)+IF(AP119="Y",N(INDEX(Mob_Demob!$I$6:$I$14,MATCH(AM119,Mob_Demob!$A$6:$A$14,0)))*Settings!$B$19,0)+N(INDEX(Mob_Demob!$L$6:$L$14,MATCH(AM119,Mob_Demob!$A$6:$A$14,0)))*N(INDEX(Mob_Demob!$K$6:$K$14,MATCH(AM119,Mob_Demob!$A$6:$A$14,0)))*Settings!$B$6+N(INDEX(Mob_Demob!$M$6:$M$14,MATCH(AM119,Mob_Demob!$A$6:$A$14,0)))*N(INDEX(Mob_Demob!$N$6:$N$14,MATCH(AM119,Mob_Demob!$A$6:$A$14,0))),0)),"")</f>
        <v/>
      </c>
      <c r="AR119" s="16" t="str">
        <f aca="false">IF(AQ119="","",ROUND(AQ119*Settings!$B$18,0))</f>
        <v/>
      </c>
      <c r="AS119" s="13" t="s">
        <v>1025</v>
      </c>
      <c r="AT119" s="14" t="s">
        <v>1026</v>
      </c>
      <c r="AU119" s="14" t="s">
        <v>199</v>
      </c>
    </row>
    <row r="120" customFormat="false" ht="64.15" hidden="false" customHeight="false" outlineLevel="0" collapsed="false">
      <c r="A120" s="21" t="s">
        <v>1043</v>
      </c>
      <c r="B120" s="21" t="s">
        <v>921</v>
      </c>
      <c r="C120" s="21" t="s">
        <v>1017</v>
      </c>
      <c r="D120" s="21" t="s">
        <v>1044</v>
      </c>
      <c r="E120" s="22" t="s">
        <v>1045</v>
      </c>
      <c r="F120" s="13" t="s">
        <v>1046</v>
      </c>
      <c r="G120" s="13" t="n">
        <v>3</v>
      </c>
      <c r="H120" s="13" t="s">
        <v>1047</v>
      </c>
      <c r="I120" s="14"/>
      <c r="J120" s="15"/>
      <c r="K120" s="13"/>
      <c r="L120" s="13"/>
      <c r="M120" s="13"/>
      <c r="N120" s="13" t="s">
        <v>184</v>
      </c>
      <c r="O120" s="13" t="s">
        <v>1048</v>
      </c>
      <c r="P120" s="13" t="s">
        <v>1049</v>
      </c>
      <c r="Q120" s="16"/>
      <c r="R120" s="16"/>
      <c r="S120" s="16"/>
      <c r="T120" s="16"/>
      <c r="U120" s="16"/>
      <c r="V120" s="13" t="s">
        <v>1050</v>
      </c>
      <c r="W120" s="18" t="n">
        <v>106.14</v>
      </c>
      <c r="X120" s="13"/>
      <c r="Y120" s="13" t="s">
        <v>1051</v>
      </c>
      <c r="Z120" s="13" t="s">
        <v>1052</v>
      </c>
      <c r="AA120" s="13" t="s">
        <v>213</v>
      </c>
      <c r="AB120" s="13"/>
      <c r="AC120" s="17"/>
      <c r="AD120" s="13"/>
      <c r="AE120" s="19"/>
      <c r="AF120" s="19"/>
      <c r="AG120" s="19"/>
      <c r="AH120" s="13"/>
      <c r="AI120" s="17"/>
      <c r="AJ120" s="13" t="s">
        <v>188</v>
      </c>
      <c r="AK120" s="13" t="s">
        <v>188</v>
      </c>
      <c r="AL120" s="14" t="s">
        <v>194</v>
      </c>
      <c r="AM120" s="13" t="s">
        <v>484</v>
      </c>
      <c r="AN120" s="15"/>
      <c r="AO120" s="13"/>
      <c r="AP120" s="13" t="s">
        <v>196</v>
      </c>
      <c r="AQ120" s="16" t="str">
        <f aca="false">IFERROR(IF(AND(INDEX(Mob_Demob!$D$6:$D$14,MATCH(AM120,Mob_Demob!$A$6:$A$14,0))="",INDEX(Mob_Demob!$G$6:$G$14,MATCH(AM120,Mob_Demob!$A$6:$A$14,0))=""),"",ROUND(MAX(N(INDEX(Mob_Demob!$G$6:$G$14,MATCH(AM120,Mob_Demob!$A$6:$A$14,0))),N(INDEX(Mob_Demob!$D$6:$D$14,MATCH(AM120,Mob_Demob!$A$6:$A$14,0)))*Settings!$B$6)+IF(AP120="Y",N(INDEX(Mob_Demob!$I$6:$I$14,MATCH(AM120,Mob_Demob!$A$6:$A$14,0)))*Settings!$B$19,0)+N(INDEX(Mob_Demob!$L$6:$L$14,MATCH(AM120,Mob_Demob!$A$6:$A$14,0)))*N(INDEX(Mob_Demob!$K$6:$K$14,MATCH(AM120,Mob_Demob!$A$6:$A$14,0)))*Settings!$B$6+N(INDEX(Mob_Demob!$M$6:$M$14,MATCH(AM120,Mob_Demob!$A$6:$A$14,0)))*N(INDEX(Mob_Demob!$N$6:$N$14,MATCH(AM120,Mob_Demob!$A$6:$A$14,0))),0)),"")</f>
        <v/>
      </c>
      <c r="AR120" s="16" t="str">
        <f aca="false">IF(AQ120="","",ROUND(AQ120*Settings!$B$18,0))</f>
        <v/>
      </c>
      <c r="AS120" s="13" t="s">
        <v>1025</v>
      </c>
      <c r="AT120" s="14" t="s">
        <v>1053</v>
      </c>
      <c r="AU120" s="14" t="s">
        <v>1054</v>
      </c>
    </row>
    <row r="121" customFormat="false" ht="64.15" hidden="false" customHeight="false" outlineLevel="0" collapsed="false">
      <c r="A121" s="21" t="s">
        <v>1055</v>
      </c>
      <c r="B121" s="21" t="s">
        <v>921</v>
      </c>
      <c r="C121" s="21" t="s">
        <v>1017</v>
      </c>
      <c r="D121" s="21" t="s">
        <v>1044</v>
      </c>
      <c r="E121" s="22" t="s">
        <v>1056</v>
      </c>
      <c r="F121" s="13" t="s">
        <v>1046</v>
      </c>
      <c r="G121" s="13" t="n">
        <v>4</v>
      </c>
      <c r="H121" s="13" t="s">
        <v>1047</v>
      </c>
      <c r="I121" s="14"/>
      <c r="J121" s="15"/>
      <c r="K121" s="13"/>
      <c r="L121" s="13"/>
      <c r="M121" s="13"/>
      <c r="N121" s="13" t="s">
        <v>184</v>
      </c>
      <c r="O121" s="13" t="s">
        <v>1048</v>
      </c>
      <c r="P121" s="13" t="s">
        <v>1049</v>
      </c>
      <c r="Q121" s="16"/>
      <c r="R121" s="16"/>
      <c r="S121" s="16"/>
      <c r="T121" s="16"/>
      <c r="U121" s="16"/>
      <c r="V121" s="13" t="s">
        <v>1050</v>
      </c>
      <c r="W121" s="18" t="n">
        <v>140.96</v>
      </c>
      <c r="X121" s="13"/>
      <c r="Y121" s="13" t="s">
        <v>1057</v>
      </c>
      <c r="Z121" s="13" t="s">
        <v>1058</v>
      </c>
      <c r="AA121" s="13" t="s">
        <v>192</v>
      </c>
      <c r="AB121" s="13"/>
      <c r="AC121" s="17"/>
      <c r="AD121" s="13"/>
      <c r="AE121" s="19"/>
      <c r="AF121" s="19"/>
      <c r="AG121" s="19"/>
      <c r="AH121" s="13"/>
      <c r="AI121" s="17"/>
      <c r="AJ121" s="13" t="s">
        <v>188</v>
      </c>
      <c r="AK121" s="13" t="s">
        <v>188</v>
      </c>
      <c r="AL121" s="14" t="s">
        <v>194</v>
      </c>
      <c r="AM121" s="13" t="s">
        <v>484</v>
      </c>
      <c r="AN121" s="15"/>
      <c r="AO121" s="13"/>
      <c r="AP121" s="13" t="s">
        <v>196</v>
      </c>
      <c r="AQ121" s="16" t="str">
        <f aca="false">IFERROR(IF(AND(INDEX(Mob_Demob!$D$6:$D$14,MATCH(AM121,Mob_Demob!$A$6:$A$14,0))="",INDEX(Mob_Demob!$G$6:$G$14,MATCH(AM121,Mob_Demob!$A$6:$A$14,0))=""),"",ROUND(MAX(N(INDEX(Mob_Demob!$G$6:$G$14,MATCH(AM121,Mob_Demob!$A$6:$A$14,0))),N(INDEX(Mob_Demob!$D$6:$D$14,MATCH(AM121,Mob_Demob!$A$6:$A$14,0)))*Settings!$B$6)+IF(AP121="Y",N(INDEX(Mob_Demob!$I$6:$I$14,MATCH(AM121,Mob_Demob!$A$6:$A$14,0)))*Settings!$B$19,0)+N(INDEX(Mob_Demob!$L$6:$L$14,MATCH(AM121,Mob_Demob!$A$6:$A$14,0)))*N(INDEX(Mob_Demob!$K$6:$K$14,MATCH(AM121,Mob_Demob!$A$6:$A$14,0)))*Settings!$B$6+N(INDEX(Mob_Demob!$M$6:$M$14,MATCH(AM121,Mob_Demob!$A$6:$A$14,0)))*N(INDEX(Mob_Demob!$N$6:$N$14,MATCH(AM121,Mob_Demob!$A$6:$A$14,0))),0)),"")</f>
        <v/>
      </c>
      <c r="AR121" s="16" t="str">
        <f aca="false">IF(AQ121="","",ROUND(AQ121*Settings!$B$18,0))</f>
        <v/>
      </c>
      <c r="AS121" s="13" t="s">
        <v>1025</v>
      </c>
      <c r="AT121" s="14" t="s">
        <v>1059</v>
      </c>
      <c r="AU121" s="14" t="s">
        <v>1054</v>
      </c>
    </row>
    <row r="122" customFormat="false" ht="64.15" hidden="false" customHeight="false" outlineLevel="0" collapsed="false">
      <c r="A122" s="21" t="s">
        <v>1060</v>
      </c>
      <c r="B122" s="21" t="s">
        <v>921</v>
      </c>
      <c r="C122" s="21" t="s">
        <v>1017</v>
      </c>
      <c r="D122" s="21" t="s">
        <v>1044</v>
      </c>
      <c r="E122" s="22" t="s">
        <v>1061</v>
      </c>
      <c r="F122" s="13" t="s">
        <v>1062</v>
      </c>
      <c r="G122" s="13" t="s">
        <v>1063</v>
      </c>
      <c r="H122" s="13"/>
      <c r="I122" s="14"/>
      <c r="J122" s="15"/>
      <c r="K122" s="13"/>
      <c r="L122" s="13"/>
      <c r="M122" s="13"/>
      <c r="N122" s="13" t="s">
        <v>184</v>
      </c>
      <c r="O122" s="13" t="s">
        <v>1048</v>
      </c>
      <c r="P122" s="13" t="s">
        <v>1049</v>
      </c>
      <c r="Q122" s="16"/>
      <c r="R122" s="16"/>
      <c r="S122" s="16"/>
      <c r="T122" s="16"/>
      <c r="U122" s="16"/>
      <c r="V122" s="13" t="s">
        <v>1050</v>
      </c>
      <c r="W122" s="18" t="n">
        <v>134.62</v>
      </c>
      <c r="X122" s="13"/>
      <c r="Y122" s="13" t="s">
        <v>1057</v>
      </c>
      <c r="Z122" s="13" t="s">
        <v>1058</v>
      </c>
      <c r="AA122" s="13" t="s">
        <v>192</v>
      </c>
      <c r="AB122" s="13"/>
      <c r="AC122" s="17"/>
      <c r="AD122" s="13"/>
      <c r="AE122" s="19"/>
      <c r="AF122" s="19"/>
      <c r="AG122" s="19"/>
      <c r="AH122" s="13"/>
      <c r="AI122" s="17"/>
      <c r="AJ122" s="13" t="s">
        <v>188</v>
      </c>
      <c r="AK122" s="13" t="s">
        <v>188</v>
      </c>
      <c r="AL122" s="14" t="s">
        <v>194</v>
      </c>
      <c r="AM122" s="13" t="s">
        <v>484</v>
      </c>
      <c r="AN122" s="15"/>
      <c r="AO122" s="13"/>
      <c r="AP122" s="13" t="s">
        <v>196</v>
      </c>
      <c r="AQ122" s="16" t="str">
        <f aca="false">IFERROR(IF(AND(INDEX(Mob_Demob!$D$6:$D$14,MATCH(AM122,Mob_Demob!$A$6:$A$14,0))="",INDEX(Mob_Demob!$G$6:$G$14,MATCH(AM122,Mob_Demob!$A$6:$A$14,0))=""),"",ROUND(MAX(N(INDEX(Mob_Demob!$G$6:$G$14,MATCH(AM122,Mob_Demob!$A$6:$A$14,0))),N(INDEX(Mob_Demob!$D$6:$D$14,MATCH(AM122,Mob_Demob!$A$6:$A$14,0)))*Settings!$B$6)+IF(AP122="Y",N(INDEX(Mob_Demob!$I$6:$I$14,MATCH(AM122,Mob_Demob!$A$6:$A$14,0)))*Settings!$B$19,0)+N(INDEX(Mob_Demob!$L$6:$L$14,MATCH(AM122,Mob_Demob!$A$6:$A$14,0)))*N(INDEX(Mob_Demob!$K$6:$K$14,MATCH(AM122,Mob_Demob!$A$6:$A$14,0)))*Settings!$B$6+N(INDEX(Mob_Demob!$M$6:$M$14,MATCH(AM122,Mob_Demob!$A$6:$A$14,0)))*N(INDEX(Mob_Demob!$N$6:$N$14,MATCH(AM122,Mob_Demob!$A$6:$A$14,0))),0)),"")</f>
        <v/>
      </c>
      <c r="AR122" s="16" t="str">
        <f aca="false">IF(AQ122="","",ROUND(AQ122*Settings!$B$18,0))</f>
        <v/>
      </c>
      <c r="AS122" s="13" t="s">
        <v>1064</v>
      </c>
      <c r="AT122" s="14" t="s">
        <v>1065</v>
      </c>
      <c r="AU122" s="14" t="s">
        <v>1054</v>
      </c>
    </row>
    <row r="123" customFormat="false" ht="64.15" hidden="false" customHeight="false" outlineLevel="0" collapsed="false">
      <c r="A123" s="21" t="s">
        <v>1066</v>
      </c>
      <c r="B123" s="21" t="s">
        <v>921</v>
      </c>
      <c r="C123" s="21" t="s">
        <v>1067</v>
      </c>
      <c r="D123" s="21" t="s">
        <v>1068</v>
      </c>
      <c r="E123" s="22" t="s">
        <v>1069</v>
      </c>
      <c r="F123" s="13" t="s">
        <v>149</v>
      </c>
      <c r="G123" s="13" t="s">
        <v>1070</v>
      </c>
      <c r="H123" s="13" t="s">
        <v>479</v>
      </c>
      <c r="I123" s="14"/>
      <c r="J123" s="15"/>
      <c r="K123" s="13"/>
      <c r="L123" s="13" t="s">
        <v>1071</v>
      </c>
      <c r="M123" s="13"/>
      <c r="N123" s="13" t="s">
        <v>851</v>
      </c>
      <c r="O123" s="13" t="s">
        <v>504</v>
      </c>
      <c r="P123" s="13" t="s">
        <v>186</v>
      </c>
      <c r="Q123" s="16"/>
      <c r="R123" s="16"/>
      <c r="S123" s="16"/>
      <c r="T123" s="16"/>
      <c r="U123" s="16"/>
      <c r="V123" s="13" t="s">
        <v>187</v>
      </c>
      <c r="W123" s="17"/>
      <c r="X123" s="13"/>
      <c r="Y123" s="13"/>
      <c r="Z123" s="13"/>
      <c r="AA123" s="13" t="s">
        <v>188</v>
      </c>
      <c r="AB123" s="13" t="s">
        <v>1072</v>
      </c>
      <c r="AC123" s="17"/>
      <c r="AD123" s="13"/>
      <c r="AE123" s="19" t="n">
        <v>0</v>
      </c>
      <c r="AF123" s="19" t="n">
        <v>0</v>
      </c>
      <c r="AG123" s="19" t="n">
        <v>0</v>
      </c>
      <c r="AH123" s="13" t="s">
        <v>506</v>
      </c>
      <c r="AI123" s="17"/>
      <c r="AJ123" s="13" t="s">
        <v>188</v>
      </c>
      <c r="AK123" s="13" t="s">
        <v>188</v>
      </c>
      <c r="AL123" s="14" t="s">
        <v>194</v>
      </c>
      <c r="AM123" s="13" t="s">
        <v>484</v>
      </c>
      <c r="AN123" s="15"/>
      <c r="AO123" s="13"/>
      <c r="AP123" s="13" t="s">
        <v>196</v>
      </c>
      <c r="AQ123" s="16" t="str">
        <f aca="false">IFERROR(IF(AND(INDEX(Mob_Demob!$D$6:$D$14,MATCH(AM123,Mob_Demob!$A$6:$A$14,0))="",INDEX(Mob_Demob!$G$6:$G$14,MATCH(AM123,Mob_Demob!$A$6:$A$14,0))=""),"",ROUND(MAX(N(INDEX(Mob_Demob!$G$6:$G$14,MATCH(AM123,Mob_Demob!$A$6:$A$14,0))),N(INDEX(Mob_Demob!$D$6:$D$14,MATCH(AM123,Mob_Demob!$A$6:$A$14,0)))*Settings!$B$6)+IF(AP123="Y",N(INDEX(Mob_Demob!$I$6:$I$14,MATCH(AM123,Mob_Demob!$A$6:$A$14,0)))*Settings!$B$19,0)+N(INDEX(Mob_Demob!$L$6:$L$14,MATCH(AM123,Mob_Demob!$A$6:$A$14,0)))*N(INDEX(Mob_Demob!$K$6:$K$14,MATCH(AM123,Mob_Demob!$A$6:$A$14,0)))*Settings!$B$6+N(INDEX(Mob_Demob!$M$6:$M$14,MATCH(AM123,Mob_Demob!$A$6:$A$14,0)))*N(INDEX(Mob_Demob!$N$6:$N$14,MATCH(AM123,Mob_Demob!$A$6:$A$14,0))),0)),"")</f>
        <v/>
      </c>
      <c r="AR123" s="16" t="str">
        <f aca="false">IF(AQ123="","",ROUND(AQ123*Settings!$B$18,0))</f>
        <v/>
      </c>
      <c r="AS123" s="13"/>
      <c r="AT123" s="14" t="s">
        <v>1073</v>
      </c>
      <c r="AU123" s="14" t="s">
        <v>509</v>
      </c>
    </row>
    <row r="124" customFormat="false" ht="64.15" hidden="false" customHeight="false" outlineLevel="0" collapsed="false">
      <c r="A124" s="21" t="s">
        <v>1074</v>
      </c>
      <c r="B124" s="21" t="s">
        <v>921</v>
      </c>
      <c r="C124" s="21" t="s">
        <v>1067</v>
      </c>
      <c r="D124" s="21" t="s">
        <v>1075</v>
      </c>
      <c r="E124" s="22" t="s">
        <v>1075</v>
      </c>
      <c r="F124" s="13" t="s">
        <v>149</v>
      </c>
      <c r="G124" s="13" t="s">
        <v>1076</v>
      </c>
      <c r="H124" s="13" t="s">
        <v>479</v>
      </c>
      <c r="I124" s="14"/>
      <c r="J124" s="15"/>
      <c r="K124" s="13"/>
      <c r="L124" s="13" t="s">
        <v>1077</v>
      </c>
      <c r="M124" s="13"/>
      <c r="N124" s="13" t="s">
        <v>851</v>
      </c>
      <c r="O124" s="13" t="s">
        <v>504</v>
      </c>
      <c r="P124" s="13" t="s">
        <v>186</v>
      </c>
      <c r="Q124" s="16"/>
      <c r="R124" s="16"/>
      <c r="S124" s="16"/>
      <c r="T124" s="16"/>
      <c r="U124" s="16"/>
      <c r="V124" s="13" t="s">
        <v>187</v>
      </c>
      <c r="W124" s="17"/>
      <c r="X124" s="13"/>
      <c r="Y124" s="13"/>
      <c r="Z124" s="13"/>
      <c r="AA124" s="13" t="s">
        <v>188</v>
      </c>
      <c r="AB124" s="13" t="s">
        <v>1078</v>
      </c>
      <c r="AC124" s="17"/>
      <c r="AD124" s="13"/>
      <c r="AE124" s="19" t="n">
        <v>0</v>
      </c>
      <c r="AF124" s="19" t="n">
        <v>0</v>
      </c>
      <c r="AG124" s="19" t="n">
        <v>0</v>
      </c>
      <c r="AH124" s="13" t="s">
        <v>506</v>
      </c>
      <c r="AI124" s="17"/>
      <c r="AJ124" s="13" t="s">
        <v>188</v>
      </c>
      <c r="AK124" s="13" t="s">
        <v>188</v>
      </c>
      <c r="AL124" s="14" t="s">
        <v>194</v>
      </c>
      <c r="AM124" s="13" t="s">
        <v>484</v>
      </c>
      <c r="AN124" s="15"/>
      <c r="AO124" s="13"/>
      <c r="AP124" s="13" t="s">
        <v>196</v>
      </c>
      <c r="AQ124" s="16" t="str">
        <f aca="false">IFERROR(IF(AND(INDEX(Mob_Demob!$D$6:$D$14,MATCH(AM124,Mob_Demob!$A$6:$A$14,0))="",INDEX(Mob_Demob!$G$6:$G$14,MATCH(AM124,Mob_Demob!$A$6:$A$14,0))=""),"",ROUND(MAX(N(INDEX(Mob_Demob!$G$6:$G$14,MATCH(AM124,Mob_Demob!$A$6:$A$14,0))),N(INDEX(Mob_Demob!$D$6:$D$14,MATCH(AM124,Mob_Demob!$A$6:$A$14,0)))*Settings!$B$6)+IF(AP124="Y",N(INDEX(Mob_Demob!$I$6:$I$14,MATCH(AM124,Mob_Demob!$A$6:$A$14,0)))*Settings!$B$19,0)+N(INDEX(Mob_Demob!$L$6:$L$14,MATCH(AM124,Mob_Demob!$A$6:$A$14,0)))*N(INDEX(Mob_Demob!$K$6:$K$14,MATCH(AM124,Mob_Demob!$A$6:$A$14,0)))*Settings!$B$6+N(INDEX(Mob_Demob!$M$6:$M$14,MATCH(AM124,Mob_Demob!$A$6:$A$14,0)))*N(INDEX(Mob_Demob!$N$6:$N$14,MATCH(AM124,Mob_Demob!$A$6:$A$14,0))),0)),"")</f>
        <v/>
      </c>
      <c r="AR124" s="16" t="str">
        <f aca="false">IF(AQ124="","",ROUND(AQ124*Settings!$B$18,0))</f>
        <v/>
      </c>
      <c r="AS124" s="13"/>
      <c r="AT124" s="14" t="s">
        <v>1079</v>
      </c>
      <c r="AU124" s="14" t="s">
        <v>509</v>
      </c>
    </row>
    <row r="125" customFormat="false" ht="64.15" hidden="false" customHeight="false" outlineLevel="0" collapsed="false">
      <c r="A125" s="21" t="s">
        <v>1080</v>
      </c>
      <c r="B125" s="21" t="s">
        <v>921</v>
      </c>
      <c r="C125" s="21" t="s">
        <v>1067</v>
      </c>
      <c r="D125" s="21" t="s">
        <v>1081</v>
      </c>
      <c r="E125" s="22" t="s">
        <v>1082</v>
      </c>
      <c r="F125" s="13" t="s">
        <v>149</v>
      </c>
      <c r="G125" s="13" t="s">
        <v>1083</v>
      </c>
      <c r="H125" s="13" t="s">
        <v>479</v>
      </c>
      <c r="I125" s="14"/>
      <c r="J125" s="15"/>
      <c r="K125" s="13"/>
      <c r="L125" s="13" t="s">
        <v>1084</v>
      </c>
      <c r="M125" s="13"/>
      <c r="N125" s="13" t="s">
        <v>851</v>
      </c>
      <c r="O125" s="13" t="s">
        <v>504</v>
      </c>
      <c r="P125" s="13" t="s">
        <v>186</v>
      </c>
      <c r="Q125" s="16"/>
      <c r="R125" s="16"/>
      <c r="S125" s="16"/>
      <c r="T125" s="16"/>
      <c r="U125" s="16"/>
      <c r="V125" s="13" t="s">
        <v>187</v>
      </c>
      <c r="W125" s="17"/>
      <c r="X125" s="13"/>
      <c r="Y125" s="13"/>
      <c r="Z125" s="13"/>
      <c r="AA125" s="13" t="s">
        <v>188</v>
      </c>
      <c r="AB125" s="13" t="s">
        <v>1085</v>
      </c>
      <c r="AC125" s="17"/>
      <c r="AD125" s="13"/>
      <c r="AE125" s="19" t="n">
        <v>0</v>
      </c>
      <c r="AF125" s="19" t="n">
        <v>0</v>
      </c>
      <c r="AG125" s="19" t="n">
        <v>0</v>
      </c>
      <c r="AH125" s="13" t="s">
        <v>506</v>
      </c>
      <c r="AI125" s="17"/>
      <c r="AJ125" s="13" t="s">
        <v>188</v>
      </c>
      <c r="AK125" s="13" t="s">
        <v>188</v>
      </c>
      <c r="AL125" s="14" t="s">
        <v>194</v>
      </c>
      <c r="AM125" s="13" t="s">
        <v>484</v>
      </c>
      <c r="AN125" s="15"/>
      <c r="AO125" s="13"/>
      <c r="AP125" s="13" t="s">
        <v>196</v>
      </c>
      <c r="AQ125" s="16" t="str">
        <f aca="false">IFERROR(IF(AND(INDEX(Mob_Demob!$D$6:$D$14,MATCH(AM125,Mob_Demob!$A$6:$A$14,0))="",INDEX(Mob_Demob!$G$6:$G$14,MATCH(AM125,Mob_Demob!$A$6:$A$14,0))=""),"",ROUND(MAX(N(INDEX(Mob_Demob!$G$6:$G$14,MATCH(AM125,Mob_Demob!$A$6:$A$14,0))),N(INDEX(Mob_Demob!$D$6:$D$14,MATCH(AM125,Mob_Demob!$A$6:$A$14,0)))*Settings!$B$6)+IF(AP125="Y",N(INDEX(Mob_Demob!$I$6:$I$14,MATCH(AM125,Mob_Demob!$A$6:$A$14,0)))*Settings!$B$19,0)+N(INDEX(Mob_Demob!$L$6:$L$14,MATCH(AM125,Mob_Demob!$A$6:$A$14,0)))*N(INDEX(Mob_Demob!$K$6:$K$14,MATCH(AM125,Mob_Demob!$A$6:$A$14,0)))*Settings!$B$6+N(INDEX(Mob_Demob!$M$6:$M$14,MATCH(AM125,Mob_Demob!$A$6:$A$14,0)))*N(INDEX(Mob_Demob!$N$6:$N$14,MATCH(AM125,Mob_Demob!$A$6:$A$14,0))),0)),"")</f>
        <v/>
      </c>
      <c r="AR125" s="16" t="str">
        <f aca="false">IF(AQ125="","",ROUND(AQ125*Settings!$B$18,0))</f>
        <v/>
      </c>
      <c r="AS125" s="13"/>
      <c r="AT125" s="14" t="s">
        <v>1086</v>
      </c>
      <c r="AU125" s="14" t="s">
        <v>509</v>
      </c>
    </row>
    <row r="126" customFormat="false" ht="64.15" hidden="false" customHeight="false" outlineLevel="0" collapsed="false">
      <c r="A126" s="21" t="s">
        <v>1087</v>
      </c>
      <c r="B126" s="21" t="s">
        <v>921</v>
      </c>
      <c r="C126" s="21" t="s">
        <v>1088</v>
      </c>
      <c r="D126" s="21" t="s">
        <v>1089</v>
      </c>
      <c r="E126" s="22" t="s">
        <v>1090</v>
      </c>
      <c r="F126" s="13" t="s">
        <v>1091</v>
      </c>
      <c r="G126" s="13" t="n">
        <v>2000</v>
      </c>
      <c r="H126" s="13" t="s">
        <v>1092</v>
      </c>
      <c r="I126" s="14"/>
      <c r="J126" s="15"/>
      <c r="K126" s="13"/>
      <c r="L126" s="13" t="s">
        <v>1093</v>
      </c>
      <c r="M126" s="13"/>
      <c r="N126" s="13" t="s">
        <v>184</v>
      </c>
      <c r="O126" s="13" t="s">
        <v>1023</v>
      </c>
      <c r="P126" s="13" t="s">
        <v>186</v>
      </c>
      <c r="Q126" s="20" t="n">
        <v>604</v>
      </c>
      <c r="R126" s="20" t="n">
        <v>1752</v>
      </c>
      <c r="S126" s="20" t="n">
        <v>5082</v>
      </c>
      <c r="T126" s="16"/>
      <c r="U126" s="16"/>
      <c r="V126" s="13" t="s">
        <v>187</v>
      </c>
      <c r="W126" s="17"/>
      <c r="X126" s="13"/>
      <c r="Y126" s="13" t="s">
        <v>259</v>
      </c>
      <c r="Z126" s="13" t="s">
        <v>260</v>
      </c>
      <c r="AA126" s="13" t="s">
        <v>192</v>
      </c>
      <c r="AB126" s="13"/>
      <c r="AC126" s="17"/>
      <c r="AD126" s="13"/>
      <c r="AE126" s="19"/>
      <c r="AF126" s="19"/>
      <c r="AG126" s="19"/>
      <c r="AH126" s="13"/>
      <c r="AI126" s="17"/>
      <c r="AJ126" s="13" t="s">
        <v>188</v>
      </c>
      <c r="AK126" s="13" t="s">
        <v>188</v>
      </c>
      <c r="AL126" s="14" t="s">
        <v>194</v>
      </c>
      <c r="AM126" s="13" t="s">
        <v>484</v>
      </c>
      <c r="AN126" s="15"/>
      <c r="AO126" s="13"/>
      <c r="AP126" s="13" t="s">
        <v>196</v>
      </c>
      <c r="AQ126" s="16" t="str">
        <f aca="false">IFERROR(IF(AND(INDEX(Mob_Demob!$D$6:$D$14,MATCH(AM126,Mob_Demob!$A$6:$A$14,0))="",INDEX(Mob_Demob!$G$6:$G$14,MATCH(AM126,Mob_Demob!$A$6:$A$14,0))=""),"",ROUND(MAX(N(INDEX(Mob_Demob!$G$6:$G$14,MATCH(AM126,Mob_Demob!$A$6:$A$14,0))),N(INDEX(Mob_Demob!$D$6:$D$14,MATCH(AM126,Mob_Demob!$A$6:$A$14,0)))*Settings!$B$6)+IF(AP126="Y",N(INDEX(Mob_Demob!$I$6:$I$14,MATCH(AM126,Mob_Demob!$A$6:$A$14,0)))*Settings!$B$19,0)+N(INDEX(Mob_Demob!$L$6:$L$14,MATCH(AM126,Mob_Demob!$A$6:$A$14,0)))*N(INDEX(Mob_Demob!$K$6:$K$14,MATCH(AM126,Mob_Demob!$A$6:$A$14,0)))*Settings!$B$6+N(INDEX(Mob_Demob!$M$6:$M$14,MATCH(AM126,Mob_Demob!$A$6:$A$14,0)))*N(INDEX(Mob_Demob!$N$6:$N$14,MATCH(AM126,Mob_Demob!$A$6:$A$14,0))),0)),"")</f>
        <v/>
      </c>
      <c r="AR126" s="16" t="str">
        <f aca="false">IF(AQ126="","",ROUND(AQ126*Settings!$B$18,0))</f>
        <v/>
      </c>
      <c r="AS126" s="13" t="s">
        <v>1094</v>
      </c>
      <c r="AT126" s="14" t="s">
        <v>585</v>
      </c>
      <c r="AU126" s="14" t="s">
        <v>262</v>
      </c>
    </row>
    <row r="127" customFormat="false" ht="64.15" hidden="false" customHeight="false" outlineLevel="0" collapsed="false">
      <c r="A127" s="21" t="s">
        <v>1095</v>
      </c>
      <c r="B127" s="21" t="s">
        <v>921</v>
      </c>
      <c r="C127" s="21" t="s">
        <v>1088</v>
      </c>
      <c r="D127" s="21" t="s">
        <v>1089</v>
      </c>
      <c r="E127" s="22" t="s">
        <v>1096</v>
      </c>
      <c r="F127" s="13" t="s">
        <v>1091</v>
      </c>
      <c r="G127" s="13" t="n">
        <v>2500</v>
      </c>
      <c r="H127" s="13" t="s">
        <v>1092</v>
      </c>
      <c r="I127" s="14"/>
      <c r="J127" s="15"/>
      <c r="K127" s="13"/>
      <c r="L127" s="13" t="s">
        <v>1097</v>
      </c>
      <c r="M127" s="13"/>
      <c r="N127" s="13" t="s">
        <v>184</v>
      </c>
      <c r="O127" s="13" t="s">
        <v>1023</v>
      </c>
      <c r="P127" s="13" t="s">
        <v>186</v>
      </c>
      <c r="Q127" s="16"/>
      <c r="R127" s="16"/>
      <c r="S127" s="16"/>
      <c r="T127" s="16"/>
      <c r="U127" s="16"/>
      <c r="V127" s="13" t="s">
        <v>187</v>
      </c>
      <c r="W127" s="17"/>
      <c r="X127" s="13"/>
      <c r="Y127" s="13"/>
      <c r="Z127" s="13"/>
      <c r="AA127" s="13" t="s">
        <v>188</v>
      </c>
      <c r="AB127" s="13" t="s">
        <v>1098</v>
      </c>
      <c r="AC127" s="17"/>
      <c r="AD127" s="13"/>
      <c r="AE127" s="19"/>
      <c r="AF127" s="19"/>
      <c r="AG127" s="19"/>
      <c r="AH127" s="13"/>
      <c r="AI127" s="17"/>
      <c r="AJ127" s="13" t="s">
        <v>188</v>
      </c>
      <c r="AK127" s="13" t="s">
        <v>188</v>
      </c>
      <c r="AL127" s="14" t="s">
        <v>194</v>
      </c>
      <c r="AM127" s="13" t="s">
        <v>484</v>
      </c>
      <c r="AN127" s="15"/>
      <c r="AO127" s="13"/>
      <c r="AP127" s="13" t="s">
        <v>196</v>
      </c>
      <c r="AQ127" s="16" t="str">
        <f aca="false">IFERROR(IF(AND(INDEX(Mob_Demob!$D$6:$D$14,MATCH(AM127,Mob_Demob!$A$6:$A$14,0))="",INDEX(Mob_Demob!$G$6:$G$14,MATCH(AM127,Mob_Demob!$A$6:$A$14,0))=""),"",ROUND(MAX(N(INDEX(Mob_Demob!$G$6:$G$14,MATCH(AM127,Mob_Demob!$A$6:$A$14,0))),N(INDEX(Mob_Demob!$D$6:$D$14,MATCH(AM127,Mob_Demob!$A$6:$A$14,0)))*Settings!$B$6)+IF(AP127="Y",N(INDEX(Mob_Demob!$I$6:$I$14,MATCH(AM127,Mob_Demob!$A$6:$A$14,0)))*Settings!$B$19,0)+N(INDEX(Mob_Demob!$L$6:$L$14,MATCH(AM127,Mob_Demob!$A$6:$A$14,0)))*N(INDEX(Mob_Demob!$K$6:$K$14,MATCH(AM127,Mob_Demob!$A$6:$A$14,0)))*Settings!$B$6+N(INDEX(Mob_Demob!$M$6:$M$14,MATCH(AM127,Mob_Demob!$A$6:$A$14,0)))*N(INDEX(Mob_Demob!$N$6:$N$14,MATCH(AM127,Mob_Demob!$A$6:$A$14,0))),0)),"")</f>
        <v/>
      </c>
      <c r="AR127" s="16" t="str">
        <f aca="false">IF(AQ127="","",ROUND(AQ127*Settings!$B$18,0))</f>
        <v/>
      </c>
      <c r="AS127" s="13" t="s">
        <v>1094</v>
      </c>
      <c r="AT127" s="14" t="s">
        <v>1099</v>
      </c>
      <c r="AU127" s="14" t="s">
        <v>1100</v>
      </c>
    </row>
    <row r="128" customFormat="false" ht="64.15" hidden="false" customHeight="false" outlineLevel="0" collapsed="false">
      <c r="A128" s="21" t="s">
        <v>1101</v>
      </c>
      <c r="B128" s="21" t="s">
        <v>921</v>
      </c>
      <c r="C128" s="21" t="s">
        <v>1088</v>
      </c>
      <c r="D128" s="21" t="s">
        <v>1089</v>
      </c>
      <c r="E128" s="22" t="s">
        <v>1102</v>
      </c>
      <c r="F128" s="13" t="s">
        <v>1091</v>
      </c>
      <c r="G128" s="13" t="n">
        <v>4000</v>
      </c>
      <c r="H128" s="13" t="s">
        <v>1092</v>
      </c>
      <c r="I128" s="14"/>
      <c r="J128" s="15"/>
      <c r="K128" s="13"/>
      <c r="L128" s="13" t="s">
        <v>1103</v>
      </c>
      <c r="M128" s="13"/>
      <c r="N128" s="13" t="s">
        <v>184</v>
      </c>
      <c r="O128" s="13" t="s">
        <v>1023</v>
      </c>
      <c r="P128" s="13" t="s">
        <v>186</v>
      </c>
      <c r="Q128" s="20" t="n">
        <v>1057</v>
      </c>
      <c r="R128" s="20" t="n">
        <v>3067</v>
      </c>
      <c r="S128" s="20" t="n">
        <v>8894</v>
      </c>
      <c r="T128" s="16"/>
      <c r="U128" s="16"/>
      <c r="V128" s="13" t="s">
        <v>187</v>
      </c>
      <c r="W128" s="17"/>
      <c r="X128" s="13"/>
      <c r="Y128" s="13" t="s">
        <v>259</v>
      </c>
      <c r="Z128" s="13" t="s">
        <v>260</v>
      </c>
      <c r="AA128" s="13" t="s">
        <v>192</v>
      </c>
      <c r="AB128" s="13" t="s">
        <v>1104</v>
      </c>
      <c r="AC128" s="17"/>
      <c r="AD128" s="13"/>
      <c r="AE128" s="19"/>
      <c r="AF128" s="19"/>
      <c r="AG128" s="19"/>
      <c r="AH128" s="13"/>
      <c r="AI128" s="17"/>
      <c r="AJ128" s="13" t="s">
        <v>188</v>
      </c>
      <c r="AK128" s="13" t="s">
        <v>188</v>
      </c>
      <c r="AL128" s="14" t="s">
        <v>194</v>
      </c>
      <c r="AM128" s="13" t="s">
        <v>484</v>
      </c>
      <c r="AN128" s="15"/>
      <c r="AO128" s="13"/>
      <c r="AP128" s="13" t="s">
        <v>196</v>
      </c>
      <c r="AQ128" s="16" t="str">
        <f aca="false">IFERROR(IF(AND(INDEX(Mob_Demob!$D$6:$D$14,MATCH(AM128,Mob_Demob!$A$6:$A$14,0))="",INDEX(Mob_Demob!$G$6:$G$14,MATCH(AM128,Mob_Demob!$A$6:$A$14,0))=""),"",ROUND(MAX(N(INDEX(Mob_Demob!$G$6:$G$14,MATCH(AM128,Mob_Demob!$A$6:$A$14,0))),N(INDEX(Mob_Demob!$D$6:$D$14,MATCH(AM128,Mob_Demob!$A$6:$A$14,0)))*Settings!$B$6)+IF(AP128="Y",N(INDEX(Mob_Demob!$I$6:$I$14,MATCH(AM128,Mob_Demob!$A$6:$A$14,0)))*Settings!$B$19,0)+N(INDEX(Mob_Demob!$L$6:$L$14,MATCH(AM128,Mob_Demob!$A$6:$A$14,0)))*N(INDEX(Mob_Demob!$K$6:$K$14,MATCH(AM128,Mob_Demob!$A$6:$A$14,0)))*Settings!$B$6+N(INDEX(Mob_Demob!$M$6:$M$14,MATCH(AM128,Mob_Demob!$A$6:$A$14,0)))*N(INDEX(Mob_Demob!$N$6:$N$14,MATCH(AM128,Mob_Demob!$A$6:$A$14,0))),0)),"")</f>
        <v/>
      </c>
      <c r="AR128" s="16" t="str">
        <f aca="false">IF(AQ128="","",ROUND(AQ128*Settings!$B$18,0))</f>
        <v/>
      </c>
      <c r="AS128" s="13" t="s">
        <v>1094</v>
      </c>
      <c r="AT128" s="14" t="s">
        <v>1105</v>
      </c>
      <c r="AU128" s="14" t="s">
        <v>1106</v>
      </c>
    </row>
    <row r="129" customFormat="false" ht="64.15" hidden="false" customHeight="false" outlineLevel="0" collapsed="false">
      <c r="A129" s="21" t="s">
        <v>1107</v>
      </c>
      <c r="B129" s="21" t="s">
        <v>921</v>
      </c>
      <c r="C129" s="21" t="s">
        <v>1088</v>
      </c>
      <c r="D129" s="21" t="s">
        <v>1108</v>
      </c>
      <c r="E129" s="22" t="s">
        <v>1109</v>
      </c>
      <c r="F129" s="13" t="s">
        <v>1091</v>
      </c>
      <c r="G129" s="13" t="n">
        <v>6000</v>
      </c>
      <c r="H129" s="13" t="s">
        <v>1092</v>
      </c>
      <c r="I129" s="14"/>
      <c r="J129" s="15"/>
      <c r="K129" s="13"/>
      <c r="L129" s="13" t="s">
        <v>1110</v>
      </c>
      <c r="M129" s="13"/>
      <c r="N129" s="13" t="s">
        <v>184</v>
      </c>
      <c r="O129" s="13" t="s">
        <v>185</v>
      </c>
      <c r="P129" s="13" t="s">
        <v>186</v>
      </c>
      <c r="Q129" s="20" t="n">
        <v>2337.5</v>
      </c>
      <c r="R129" s="16" t="n">
        <f aca="false">ROUND(Q129*Settings!$B$16,0)</f>
        <v>7013</v>
      </c>
      <c r="S129" s="16" t="n">
        <f aca="false">ROUND(R129*Settings!$B$17,0)</f>
        <v>20338</v>
      </c>
      <c r="T129" s="16"/>
      <c r="U129" s="16"/>
      <c r="V129" s="13" t="s">
        <v>187</v>
      </c>
      <c r="W129" s="17"/>
      <c r="X129" s="13"/>
      <c r="Y129" s="13" t="s">
        <v>259</v>
      </c>
      <c r="Z129" s="13" t="s">
        <v>260</v>
      </c>
      <c r="AA129" s="13" t="s">
        <v>193</v>
      </c>
      <c r="AB129" s="13"/>
      <c r="AC129" s="17"/>
      <c r="AD129" s="13"/>
      <c r="AE129" s="19"/>
      <c r="AF129" s="19"/>
      <c r="AG129" s="19"/>
      <c r="AH129" s="13"/>
      <c r="AI129" s="17"/>
      <c r="AJ129" s="13" t="s">
        <v>188</v>
      </c>
      <c r="AK129" s="13" t="s">
        <v>188</v>
      </c>
      <c r="AL129" s="14" t="s">
        <v>194</v>
      </c>
      <c r="AM129" s="13" t="s">
        <v>268</v>
      </c>
      <c r="AN129" s="15"/>
      <c r="AO129" s="13"/>
      <c r="AP129" s="13" t="s">
        <v>269</v>
      </c>
      <c r="AQ129" s="16" t="n">
        <f aca="false">IFERROR(IF(AND(INDEX(Mob_Demob!$D$6:$D$14,MATCH(AM129,Mob_Demob!$A$6:$A$14,0))="",INDEX(Mob_Demob!$G$6:$G$14,MATCH(AM129,Mob_Demob!$A$6:$A$14,0))=""),"",ROUND(MAX(N(INDEX(Mob_Demob!$G$6:$G$14,MATCH(AM129,Mob_Demob!$A$6:$A$14,0))),N(INDEX(Mob_Demob!$D$6:$D$14,MATCH(AM129,Mob_Demob!$A$6:$A$14,0)))*Settings!$B$6)+IF(AP129="Y",N(INDEX(Mob_Demob!$I$6:$I$14,MATCH(AM129,Mob_Demob!$A$6:$A$14,0)))*Settings!$B$19,0)+N(INDEX(Mob_Demob!$L$6:$L$14,MATCH(AM129,Mob_Demob!$A$6:$A$14,0)))*N(INDEX(Mob_Demob!$K$6:$K$14,MATCH(AM129,Mob_Demob!$A$6:$A$14,0)))*Settings!$B$6+N(INDEX(Mob_Demob!$M$6:$M$14,MATCH(AM129,Mob_Demob!$A$6:$A$14,0)))*N(INDEX(Mob_Demob!$N$6:$N$14,MATCH(AM129,Mob_Demob!$A$6:$A$14,0))),0)),"")</f>
        <v>1800</v>
      </c>
      <c r="AR129" s="16" t="n">
        <f aca="false">IF(AQ129="","",ROUND(AQ129*Settings!$B$18,0))</f>
        <v>1800</v>
      </c>
      <c r="AS129" s="13" t="s">
        <v>1094</v>
      </c>
      <c r="AT129" s="14" t="s">
        <v>1111</v>
      </c>
      <c r="AU129" s="14" t="s">
        <v>262</v>
      </c>
    </row>
    <row r="130" customFormat="false" ht="64.15" hidden="false" customHeight="false" outlineLevel="0" collapsed="false">
      <c r="A130" s="21" t="s">
        <v>1112</v>
      </c>
      <c r="B130" s="21" t="s">
        <v>921</v>
      </c>
      <c r="C130" s="21" t="s">
        <v>1088</v>
      </c>
      <c r="D130" s="21" t="s">
        <v>1108</v>
      </c>
      <c r="E130" s="22" t="s">
        <v>1113</v>
      </c>
      <c r="F130" s="13" t="s">
        <v>1091</v>
      </c>
      <c r="G130" s="13" t="n">
        <v>8000</v>
      </c>
      <c r="H130" s="13" t="s">
        <v>1092</v>
      </c>
      <c r="I130" s="14"/>
      <c r="J130" s="15"/>
      <c r="K130" s="13"/>
      <c r="L130" s="13" t="s">
        <v>1114</v>
      </c>
      <c r="M130" s="13"/>
      <c r="N130" s="13" t="s">
        <v>184</v>
      </c>
      <c r="O130" s="13" t="s">
        <v>185</v>
      </c>
      <c r="P130" s="13" t="s">
        <v>186</v>
      </c>
      <c r="Q130" s="20" t="n">
        <v>2810</v>
      </c>
      <c r="R130" s="20" t="n">
        <v>8149</v>
      </c>
      <c r="S130" s="20" t="n">
        <v>23631</v>
      </c>
      <c r="T130" s="16"/>
      <c r="U130" s="16"/>
      <c r="V130" s="13" t="s">
        <v>187</v>
      </c>
      <c r="W130" s="17"/>
      <c r="X130" s="13"/>
      <c r="Y130" s="13" t="s">
        <v>259</v>
      </c>
      <c r="Z130" s="13" t="s">
        <v>260</v>
      </c>
      <c r="AA130" s="13" t="s">
        <v>192</v>
      </c>
      <c r="AB130" s="13"/>
      <c r="AC130" s="17"/>
      <c r="AD130" s="13"/>
      <c r="AE130" s="19"/>
      <c r="AF130" s="19"/>
      <c r="AG130" s="19"/>
      <c r="AH130" s="13"/>
      <c r="AI130" s="17"/>
      <c r="AJ130" s="13" t="s">
        <v>188</v>
      </c>
      <c r="AK130" s="13" t="s">
        <v>188</v>
      </c>
      <c r="AL130" s="14" t="s">
        <v>194</v>
      </c>
      <c r="AM130" s="13" t="s">
        <v>268</v>
      </c>
      <c r="AN130" s="15"/>
      <c r="AO130" s="13"/>
      <c r="AP130" s="13" t="s">
        <v>269</v>
      </c>
      <c r="AQ130" s="16" t="n">
        <f aca="false">IFERROR(IF(AND(INDEX(Mob_Demob!$D$6:$D$14,MATCH(AM130,Mob_Demob!$A$6:$A$14,0))="",INDEX(Mob_Demob!$G$6:$G$14,MATCH(AM130,Mob_Demob!$A$6:$A$14,0))=""),"",ROUND(MAX(N(INDEX(Mob_Demob!$G$6:$G$14,MATCH(AM130,Mob_Demob!$A$6:$A$14,0))),N(INDEX(Mob_Demob!$D$6:$D$14,MATCH(AM130,Mob_Demob!$A$6:$A$14,0)))*Settings!$B$6)+IF(AP130="Y",N(INDEX(Mob_Demob!$I$6:$I$14,MATCH(AM130,Mob_Demob!$A$6:$A$14,0)))*Settings!$B$19,0)+N(INDEX(Mob_Demob!$L$6:$L$14,MATCH(AM130,Mob_Demob!$A$6:$A$14,0)))*N(INDEX(Mob_Demob!$K$6:$K$14,MATCH(AM130,Mob_Demob!$A$6:$A$14,0)))*Settings!$B$6+N(INDEX(Mob_Demob!$M$6:$M$14,MATCH(AM130,Mob_Demob!$A$6:$A$14,0)))*N(INDEX(Mob_Demob!$N$6:$N$14,MATCH(AM130,Mob_Demob!$A$6:$A$14,0))),0)),"")</f>
        <v>1800</v>
      </c>
      <c r="AR130" s="16" t="n">
        <f aca="false">IF(AQ130="","",ROUND(AQ130*Settings!$B$18,0))</f>
        <v>1800</v>
      </c>
      <c r="AS130" s="13" t="s">
        <v>1094</v>
      </c>
      <c r="AT130" s="14" t="s">
        <v>585</v>
      </c>
      <c r="AU130" s="14" t="s">
        <v>262</v>
      </c>
    </row>
    <row r="131" customFormat="false" ht="64.15" hidden="false" customHeight="false" outlineLevel="0" collapsed="false">
      <c r="A131" s="21" t="s">
        <v>1115</v>
      </c>
      <c r="B131" s="21" t="s">
        <v>921</v>
      </c>
      <c r="C131" s="21" t="s">
        <v>1088</v>
      </c>
      <c r="D131" s="21" t="s">
        <v>1108</v>
      </c>
      <c r="E131" s="22" t="s">
        <v>1116</v>
      </c>
      <c r="F131" s="13" t="s">
        <v>1091</v>
      </c>
      <c r="G131" s="13" t="n">
        <v>9000</v>
      </c>
      <c r="H131" s="13" t="s">
        <v>1092</v>
      </c>
      <c r="I131" s="14"/>
      <c r="J131" s="15"/>
      <c r="K131" s="13"/>
      <c r="L131" s="13" t="s">
        <v>1117</v>
      </c>
      <c r="M131" s="13"/>
      <c r="N131" s="13" t="s">
        <v>184</v>
      </c>
      <c r="O131" s="13" t="s">
        <v>185</v>
      </c>
      <c r="P131" s="13" t="s">
        <v>186</v>
      </c>
      <c r="Q131" s="20" t="n">
        <v>3550</v>
      </c>
      <c r="R131" s="20" t="n">
        <v>10295</v>
      </c>
      <c r="S131" s="20" t="n">
        <v>29857</v>
      </c>
      <c r="T131" s="16"/>
      <c r="U131" s="16"/>
      <c r="V131" s="13" t="s">
        <v>187</v>
      </c>
      <c r="W131" s="17"/>
      <c r="X131" s="13"/>
      <c r="Y131" s="13" t="s">
        <v>259</v>
      </c>
      <c r="Z131" s="13" t="s">
        <v>260</v>
      </c>
      <c r="AA131" s="13" t="s">
        <v>192</v>
      </c>
      <c r="AB131" s="13"/>
      <c r="AC131" s="17"/>
      <c r="AD131" s="13"/>
      <c r="AE131" s="19"/>
      <c r="AF131" s="19"/>
      <c r="AG131" s="19"/>
      <c r="AH131" s="13"/>
      <c r="AI131" s="17"/>
      <c r="AJ131" s="13" t="s">
        <v>188</v>
      </c>
      <c r="AK131" s="13" t="s">
        <v>188</v>
      </c>
      <c r="AL131" s="14" t="s">
        <v>194</v>
      </c>
      <c r="AM131" s="13" t="s">
        <v>268</v>
      </c>
      <c r="AN131" s="15"/>
      <c r="AO131" s="13"/>
      <c r="AP131" s="13" t="s">
        <v>269</v>
      </c>
      <c r="AQ131" s="16" t="n">
        <f aca="false">IFERROR(IF(AND(INDEX(Mob_Demob!$D$6:$D$14,MATCH(AM131,Mob_Demob!$A$6:$A$14,0))="",INDEX(Mob_Demob!$G$6:$G$14,MATCH(AM131,Mob_Demob!$A$6:$A$14,0))=""),"",ROUND(MAX(N(INDEX(Mob_Demob!$G$6:$G$14,MATCH(AM131,Mob_Demob!$A$6:$A$14,0))),N(INDEX(Mob_Demob!$D$6:$D$14,MATCH(AM131,Mob_Demob!$A$6:$A$14,0)))*Settings!$B$6)+IF(AP131="Y",N(INDEX(Mob_Demob!$I$6:$I$14,MATCH(AM131,Mob_Demob!$A$6:$A$14,0)))*Settings!$B$19,0)+N(INDEX(Mob_Demob!$L$6:$L$14,MATCH(AM131,Mob_Demob!$A$6:$A$14,0)))*N(INDEX(Mob_Demob!$K$6:$K$14,MATCH(AM131,Mob_Demob!$A$6:$A$14,0)))*Settings!$B$6+N(INDEX(Mob_Demob!$M$6:$M$14,MATCH(AM131,Mob_Demob!$A$6:$A$14,0)))*N(INDEX(Mob_Demob!$N$6:$N$14,MATCH(AM131,Mob_Demob!$A$6:$A$14,0))),0)),"")</f>
        <v>1800</v>
      </c>
      <c r="AR131" s="16" t="n">
        <f aca="false">IF(AQ131="","",ROUND(AQ131*Settings!$B$18,0))</f>
        <v>1800</v>
      </c>
      <c r="AS131" s="13" t="s">
        <v>1094</v>
      </c>
      <c r="AT131" s="14" t="s">
        <v>585</v>
      </c>
      <c r="AU131" s="14" t="s">
        <v>262</v>
      </c>
    </row>
    <row r="132" customFormat="false" ht="64.15" hidden="false" customHeight="false" outlineLevel="0" collapsed="false">
      <c r="A132" s="21" t="s">
        <v>1118</v>
      </c>
      <c r="B132" s="21" t="s">
        <v>921</v>
      </c>
      <c r="C132" s="21" t="s">
        <v>1088</v>
      </c>
      <c r="D132" s="21" t="s">
        <v>1119</v>
      </c>
      <c r="E132" s="22" t="s">
        <v>1120</v>
      </c>
      <c r="F132" s="13" t="s">
        <v>1091</v>
      </c>
      <c r="G132" s="13" t="n">
        <v>4000</v>
      </c>
      <c r="H132" s="13" t="s">
        <v>1092</v>
      </c>
      <c r="I132" s="14"/>
      <c r="J132" s="15"/>
      <c r="K132" s="13"/>
      <c r="L132" s="13" t="s">
        <v>1103</v>
      </c>
      <c r="M132" s="13"/>
      <c r="N132" s="13" t="s">
        <v>184</v>
      </c>
      <c r="O132" s="13" t="s">
        <v>1023</v>
      </c>
      <c r="P132" s="13" t="s">
        <v>186</v>
      </c>
      <c r="Q132" s="16"/>
      <c r="R132" s="16"/>
      <c r="S132" s="16"/>
      <c r="T132" s="16"/>
      <c r="U132" s="16"/>
      <c r="V132" s="13" t="s">
        <v>187</v>
      </c>
      <c r="W132" s="17"/>
      <c r="X132" s="13"/>
      <c r="Y132" s="13"/>
      <c r="Z132" s="13"/>
      <c r="AA132" s="13" t="s">
        <v>188</v>
      </c>
      <c r="AB132" s="13" t="s">
        <v>1121</v>
      </c>
      <c r="AC132" s="17"/>
      <c r="AD132" s="13"/>
      <c r="AE132" s="19"/>
      <c r="AF132" s="19"/>
      <c r="AG132" s="19"/>
      <c r="AH132" s="13"/>
      <c r="AI132" s="17"/>
      <c r="AJ132" s="13" t="s">
        <v>188</v>
      </c>
      <c r="AK132" s="13" t="s">
        <v>188</v>
      </c>
      <c r="AL132" s="14" t="s">
        <v>194</v>
      </c>
      <c r="AM132" s="13" t="s">
        <v>484</v>
      </c>
      <c r="AN132" s="15"/>
      <c r="AO132" s="13"/>
      <c r="AP132" s="13" t="s">
        <v>196</v>
      </c>
      <c r="AQ132" s="16" t="str">
        <f aca="false">IFERROR(IF(AND(INDEX(Mob_Demob!$D$6:$D$14,MATCH(AM132,Mob_Demob!$A$6:$A$14,0))="",INDEX(Mob_Demob!$G$6:$G$14,MATCH(AM132,Mob_Demob!$A$6:$A$14,0))=""),"",ROUND(MAX(N(INDEX(Mob_Demob!$G$6:$G$14,MATCH(AM132,Mob_Demob!$A$6:$A$14,0))),N(INDEX(Mob_Demob!$D$6:$D$14,MATCH(AM132,Mob_Demob!$A$6:$A$14,0)))*Settings!$B$6)+IF(AP132="Y",N(INDEX(Mob_Demob!$I$6:$I$14,MATCH(AM132,Mob_Demob!$A$6:$A$14,0)))*Settings!$B$19,0)+N(INDEX(Mob_Demob!$L$6:$L$14,MATCH(AM132,Mob_Demob!$A$6:$A$14,0)))*N(INDEX(Mob_Demob!$K$6:$K$14,MATCH(AM132,Mob_Demob!$A$6:$A$14,0)))*Settings!$B$6+N(INDEX(Mob_Demob!$M$6:$M$14,MATCH(AM132,Mob_Demob!$A$6:$A$14,0)))*N(INDEX(Mob_Demob!$N$6:$N$14,MATCH(AM132,Mob_Demob!$A$6:$A$14,0))),0)),"")</f>
        <v/>
      </c>
      <c r="AR132" s="16" t="str">
        <f aca="false">IF(AQ132="","",ROUND(AQ132*Settings!$B$18,0))</f>
        <v/>
      </c>
      <c r="AS132" s="13" t="s">
        <v>1094</v>
      </c>
      <c r="AT132" s="14" t="s">
        <v>1122</v>
      </c>
      <c r="AU132" s="14" t="s">
        <v>1100</v>
      </c>
    </row>
    <row r="133" customFormat="false" ht="64.15" hidden="false" customHeight="false" outlineLevel="0" collapsed="false">
      <c r="A133" s="21" t="s">
        <v>1123</v>
      </c>
      <c r="B133" s="21" t="s">
        <v>921</v>
      </c>
      <c r="C133" s="21" t="s">
        <v>1088</v>
      </c>
      <c r="D133" s="21" t="s">
        <v>1124</v>
      </c>
      <c r="E133" s="22" t="s">
        <v>1125</v>
      </c>
      <c r="F133" s="13" t="s">
        <v>1091</v>
      </c>
      <c r="G133" s="13" t="n">
        <v>4000</v>
      </c>
      <c r="H133" s="13" t="s">
        <v>1092</v>
      </c>
      <c r="I133" s="14"/>
      <c r="J133" s="15"/>
      <c r="K133" s="13"/>
      <c r="L133" s="13" t="s">
        <v>1103</v>
      </c>
      <c r="M133" s="13"/>
      <c r="N133" s="13" t="s">
        <v>851</v>
      </c>
      <c r="O133" s="13" t="s">
        <v>504</v>
      </c>
      <c r="P133" s="13" t="s">
        <v>186</v>
      </c>
      <c r="Q133" s="16"/>
      <c r="R133" s="16"/>
      <c r="S133" s="16"/>
      <c r="T133" s="16"/>
      <c r="U133" s="16"/>
      <c r="V133" s="13" t="s">
        <v>187</v>
      </c>
      <c r="W133" s="17"/>
      <c r="X133" s="13"/>
      <c r="Y133" s="13"/>
      <c r="Z133" s="13"/>
      <c r="AA133" s="13" t="s">
        <v>188</v>
      </c>
      <c r="AB133" s="13" t="s">
        <v>1126</v>
      </c>
      <c r="AC133" s="17"/>
      <c r="AD133" s="13"/>
      <c r="AE133" s="19" t="n">
        <v>0</v>
      </c>
      <c r="AF133" s="19" t="n">
        <v>0</v>
      </c>
      <c r="AG133" s="19" t="n">
        <v>0</v>
      </c>
      <c r="AH133" s="13" t="s">
        <v>506</v>
      </c>
      <c r="AI133" s="17"/>
      <c r="AJ133" s="13" t="s">
        <v>188</v>
      </c>
      <c r="AK133" s="13" t="s">
        <v>188</v>
      </c>
      <c r="AL133" s="14" t="s">
        <v>194</v>
      </c>
      <c r="AM133" s="13" t="s">
        <v>484</v>
      </c>
      <c r="AN133" s="15"/>
      <c r="AO133" s="13"/>
      <c r="AP133" s="13" t="s">
        <v>196</v>
      </c>
      <c r="AQ133" s="16" t="str">
        <f aca="false">IFERROR(IF(AND(INDEX(Mob_Demob!$D$6:$D$14,MATCH(AM133,Mob_Demob!$A$6:$A$14,0))="",INDEX(Mob_Demob!$G$6:$G$14,MATCH(AM133,Mob_Demob!$A$6:$A$14,0))=""),"",ROUND(MAX(N(INDEX(Mob_Demob!$G$6:$G$14,MATCH(AM133,Mob_Demob!$A$6:$A$14,0))),N(INDEX(Mob_Demob!$D$6:$D$14,MATCH(AM133,Mob_Demob!$A$6:$A$14,0)))*Settings!$B$6)+IF(AP133="Y",N(INDEX(Mob_Demob!$I$6:$I$14,MATCH(AM133,Mob_Demob!$A$6:$A$14,0)))*Settings!$B$19,0)+N(INDEX(Mob_Demob!$L$6:$L$14,MATCH(AM133,Mob_Demob!$A$6:$A$14,0)))*N(INDEX(Mob_Demob!$K$6:$K$14,MATCH(AM133,Mob_Demob!$A$6:$A$14,0)))*Settings!$B$6+N(INDEX(Mob_Demob!$M$6:$M$14,MATCH(AM133,Mob_Demob!$A$6:$A$14,0)))*N(INDEX(Mob_Demob!$N$6:$N$14,MATCH(AM133,Mob_Demob!$A$6:$A$14,0))),0)),"")</f>
        <v/>
      </c>
      <c r="AR133" s="16" t="str">
        <f aca="false">IF(AQ133="","",ROUND(AQ133*Settings!$B$18,0))</f>
        <v/>
      </c>
      <c r="AS133" s="13" t="s">
        <v>1127</v>
      </c>
      <c r="AT133" s="14" t="s">
        <v>1128</v>
      </c>
      <c r="AU133" s="14" t="s">
        <v>509</v>
      </c>
    </row>
    <row r="134" customFormat="false" ht="64.15" hidden="false" customHeight="false" outlineLevel="0" collapsed="false">
      <c r="A134" s="21" t="s">
        <v>1129</v>
      </c>
      <c r="B134" s="21" t="s">
        <v>921</v>
      </c>
      <c r="C134" s="21" t="s">
        <v>1088</v>
      </c>
      <c r="D134" s="21" t="s">
        <v>1124</v>
      </c>
      <c r="E134" s="22" t="s">
        <v>1130</v>
      </c>
      <c r="F134" s="13" t="s">
        <v>1091</v>
      </c>
      <c r="G134" s="13" t="n">
        <v>6000</v>
      </c>
      <c r="H134" s="13" t="s">
        <v>1092</v>
      </c>
      <c r="I134" s="14"/>
      <c r="J134" s="15"/>
      <c r="K134" s="13"/>
      <c r="L134" s="13" t="s">
        <v>1110</v>
      </c>
      <c r="M134" s="13"/>
      <c r="N134" s="13" t="s">
        <v>851</v>
      </c>
      <c r="O134" s="13" t="s">
        <v>504</v>
      </c>
      <c r="P134" s="13" t="s">
        <v>186</v>
      </c>
      <c r="Q134" s="16"/>
      <c r="R134" s="16"/>
      <c r="S134" s="16"/>
      <c r="T134" s="16"/>
      <c r="U134" s="16"/>
      <c r="V134" s="13" t="s">
        <v>187</v>
      </c>
      <c r="W134" s="17"/>
      <c r="X134" s="13"/>
      <c r="Y134" s="13"/>
      <c r="Z134" s="13"/>
      <c r="AA134" s="13" t="s">
        <v>188</v>
      </c>
      <c r="AB134" s="13" t="s">
        <v>1131</v>
      </c>
      <c r="AC134" s="17"/>
      <c r="AD134" s="13"/>
      <c r="AE134" s="19" t="n">
        <v>0</v>
      </c>
      <c r="AF134" s="19" t="n">
        <v>0</v>
      </c>
      <c r="AG134" s="19" t="n">
        <v>0</v>
      </c>
      <c r="AH134" s="13" t="s">
        <v>506</v>
      </c>
      <c r="AI134" s="17"/>
      <c r="AJ134" s="13" t="s">
        <v>188</v>
      </c>
      <c r="AK134" s="13" t="s">
        <v>188</v>
      </c>
      <c r="AL134" s="14" t="s">
        <v>194</v>
      </c>
      <c r="AM134" s="13" t="s">
        <v>484</v>
      </c>
      <c r="AN134" s="15"/>
      <c r="AO134" s="13"/>
      <c r="AP134" s="13" t="s">
        <v>196</v>
      </c>
      <c r="AQ134" s="16" t="str">
        <f aca="false">IFERROR(IF(AND(INDEX(Mob_Demob!$D$6:$D$14,MATCH(AM134,Mob_Demob!$A$6:$A$14,0))="",INDEX(Mob_Demob!$G$6:$G$14,MATCH(AM134,Mob_Demob!$A$6:$A$14,0))=""),"",ROUND(MAX(N(INDEX(Mob_Demob!$G$6:$G$14,MATCH(AM134,Mob_Demob!$A$6:$A$14,0))),N(INDEX(Mob_Demob!$D$6:$D$14,MATCH(AM134,Mob_Demob!$A$6:$A$14,0)))*Settings!$B$6)+IF(AP134="Y",N(INDEX(Mob_Demob!$I$6:$I$14,MATCH(AM134,Mob_Demob!$A$6:$A$14,0)))*Settings!$B$19,0)+N(INDEX(Mob_Demob!$L$6:$L$14,MATCH(AM134,Mob_Demob!$A$6:$A$14,0)))*N(INDEX(Mob_Demob!$K$6:$K$14,MATCH(AM134,Mob_Demob!$A$6:$A$14,0)))*Settings!$B$6+N(INDEX(Mob_Demob!$M$6:$M$14,MATCH(AM134,Mob_Demob!$A$6:$A$14,0)))*N(INDEX(Mob_Demob!$N$6:$N$14,MATCH(AM134,Mob_Demob!$A$6:$A$14,0))),0)),"")</f>
        <v/>
      </c>
      <c r="AR134" s="16" t="str">
        <f aca="false">IF(AQ134="","",ROUND(AQ134*Settings!$B$18,0))</f>
        <v/>
      </c>
      <c r="AS134" s="13" t="s">
        <v>1127</v>
      </c>
      <c r="AT134" s="14" t="s">
        <v>1132</v>
      </c>
      <c r="AU134" s="14" t="s">
        <v>509</v>
      </c>
    </row>
    <row r="135" customFormat="false" ht="64.15" hidden="false" customHeight="false" outlineLevel="0" collapsed="false">
      <c r="A135" s="21" t="s">
        <v>1133</v>
      </c>
      <c r="B135" s="21" t="s">
        <v>921</v>
      </c>
      <c r="C135" s="21" t="s">
        <v>1088</v>
      </c>
      <c r="D135" s="21" t="s">
        <v>1124</v>
      </c>
      <c r="E135" s="22" t="s">
        <v>1134</v>
      </c>
      <c r="F135" s="13" t="s">
        <v>1091</v>
      </c>
      <c r="G135" s="13" t="n">
        <v>10000</v>
      </c>
      <c r="H135" s="13" t="s">
        <v>1092</v>
      </c>
      <c r="I135" s="14"/>
      <c r="J135" s="15"/>
      <c r="K135" s="13"/>
      <c r="L135" s="13" t="s">
        <v>1135</v>
      </c>
      <c r="M135" s="13"/>
      <c r="N135" s="13" t="s">
        <v>851</v>
      </c>
      <c r="O135" s="13" t="s">
        <v>504</v>
      </c>
      <c r="P135" s="13" t="s">
        <v>186</v>
      </c>
      <c r="Q135" s="16"/>
      <c r="R135" s="16"/>
      <c r="S135" s="16"/>
      <c r="T135" s="16"/>
      <c r="U135" s="16"/>
      <c r="V135" s="13" t="s">
        <v>187</v>
      </c>
      <c r="W135" s="17"/>
      <c r="X135" s="13"/>
      <c r="Y135" s="13"/>
      <c r="Z135" s="13"/>
      <c r="AA135" s="13" t="s">
        <v>188</v>
      </c>
      <c r="AB135" s="13" t="s">
        <v>1136</v>
      </c>
      <c r="AC135" s="17"/>
      <c r="AD135" s="13"/>
      <c r="AE135" s="19" t="n">
        <v>0</v>
      </c>
      <c r="AF135" s="19" t="n">
        <v>0</v>
      </c>
      <c r="AG135" s="19" t="n">
        <v>0</v>
      </c>
      <c r="AH135" s="13" t="s">
        <v>506</v>
      </c>
      <c r="AI135" s="17"/>
      <c r="AJ135" s="13" t="s">
        <v>188</v>
      </c>
      <c r="AK135" s="13" t="s">
        <v>188</v>
      </c>
      <c r="AL135" s="14" t="s">
        <v>194</v>
      </c>
      <c r="AM135" s="13" t="s">
        <v>484</v>
      </c>
      <c r="AN135" s="15"/>
      <c r="AO135" s="13"/>
      <c r="AP135" s="13" t="s">
        <v>196</v>
      </c>
      <c r="AQ135" s="16" t="str">
        <f aca="false">IFERROR(IF(AND(INDEX(Mob_Demob!$D$6:$D$14,MATCH(AM135,Mob_Demob!$A$6:$A$14,0))="",INDEX(Mob_Demob!$G$6:$G$14,MATCH(AM135,Mob_Demob!$A$6:$A$14,0))=""),"",ROUND(MAX(N(INDEX(Mob_Demob!$G$6:$G$14,MATCH(AM135,Mob_Demob!$A$6:$A$14,0))),N(INDEX(Mob_Demob!$D$6:$D$14,MATCH(AM135,Mob_Demob!$A$6:$A$14,0)))*Settings!$B$6)+IF(AP135="Y",N(INDEX(Mob_Demob!$I$6:$I$14,MATCH(AM135,Mob_Demob!$A$6:$A$14,0)))*Settings!$B$19,0)+N(INDEX(Mob_Demob!$L$6:$L$14,MATCH(AM135,Mob_Demob!$A$6:$A$14,0)))*N(INDEX(Mob_Demob!$K$6:$K$14,MATCH(AM135,Mob_Demob!$A$6:$A$14,0)))*Settings!$B$6+N(INDEX(Mob_Demob!$M$6:$M$14,MATCH(AM135,Mob_Demob!$A$6:$A$14,0)))*N(INDEX(Mob_Demob!$N$6:$N$14,MATCH(AM135,Mob_Demob!$A$6:$A$14,0))),0)),"")</f>
        <v/>
      </c>
      <c r="AR135" s="16" t="str">
        <f aca="false">IF(AQ135="","",ROUND(AQ135*Settings!$B$18,0))</f>
        <v/>
      </c>
      <c r="AS135" s="13" t="s">
        <v>1127</v>
      </c>
      <c r="AT135" s="14" t="s">
        <v>1137</v>
      </c>
      <c r="AU135" s="14" t="s">
        <v>509</v>
      </c>
    </row>
    <row r="136" customFormat="false" ht="64.15" hidden="false" customHeight="false" outlineLevel="0" collapsed="false">
      <c r="A136" s="21" t="s">
        <v>1138</v>
      </c>
      <c r="B136" s="21" t="s">
        <v>921</v>
      </c>
      <c r="C136" s="21" t="s">
        <v>1088</v>
      </c>
      <c r="D136" s="21" t="s">
        <v>1124</v>
      </c>
      <c r="E136" s="22" t="s">
        <v>1139</v>
      </c>
      <c r="F136" s="13" t="s">
        <v>1091</v>
      </c>
      <c r="G136" s="13" t="n">
        <v>14000</v>
      </c>
      <c r="H136" s="13" t="s">
        <v>1092</v>
      </c>
      <c r="I136" s="14"/>
      <c r="J136" s="15"/>
      <c r="K136" s="13"/>
      <c r="L136" s="13" t="s">
        <v>1140</v>
      </c>
      <c r="M136" s="13"/>
      <c r="N136" s="13" t="s">
        <v>851</v>
      </c>
      <c r="O136" s="13" t="s">
        <v>504</v>
      </c>
      <c r="P136" s="13" t="s">
        <v>186</v>
      </c>
      <c r="Q136" s="16"/>
      <c r="R136" s="16"/>
      <c r="S136" s="16"/>
      <c r="T136" s="16"/>
      <c r="U136" s="16"/>
      <c r="V136" s="13" t="s">
        <v>187</v>
      </c>
      <c r="W136" s="17"/>
      <c r="X136" s="13"/>
      <c r="Y136" s="13"/>
      <c r="Z136" s="13"/>
      <c r="AA136" s="13" t="s">
        <v>188</v>
      </c>
      <c r="AB136" s="13" t="s">
        <v>1141</v>
      </c>
      <c r="AC136" s="17"/>
      <c r="AD136" s="13"/>
      <c r="AE136" s="19" t="n">
        <v>0</v>
      </c>
      <c r="AF136" s="19" t="n">
        <v>0</v>
      </c>
      <c r="AG136" s="19" t="n">
        <v>0</v>
      </c>
      <c r="AH136" s="13" t="s">
        <v>506</v>
      </c>
      <c r="AI136" s="17"/>
      <c r="AJ136" s="13" t="s">
        <v>188</v>
      </c>
      <c r="AK136" s="13" t="s">
        <v>188</v>
      </c>
      <c r="AL136" s="14" t="s">
        <v>194</v>
      </c>
      <c r="AM136" s="13" t="s">
        <v>484</v>
      </c>
      <c r="AN136" s="15"/>
      <c r="AO136" s="13"/>
      <c r="AP136" s="13" t="s">
        <v>196</v>
      </c>
      <c r="AQ136" s="16" t="str">
        <f aca="false">IFERROR(IF(AND(INDEX(Mob_Demob!$D$6:$D$14,MATCH(AM136,Mob_Demob!$A$6:$A$14,0))="",INDEX(Mob_Demob!$G$6:$G$14,MATCH(AM136,Mob_Demob!$A$6:$A$14,0))=""),"",ROUND(MAX(N(INDEX(Mob_Demob!$G$6:$G$14,MATCH(AM136,Mob_Demob!$A$6:$A$14,0))),N(INDEX(Mob_Demob!$D$6:$D$14,MATCH(AM136,Mob_Demob!$A$6:$A$14,0)))*Settings!$B$6)+IF(AP136="Y",N(INDEX(Mob_Demob!$I$6:$I$14,MATCH(AM136,Mob_Demob!$A$6:$A$14,0)))*Settings!$B$19,0)+N(INDEX(Mob_Demob!$L$6:$L$14,MATCH(AM136,Mob_Demob!$A$6:$A$14,0)))*N(INDEX(Mob_Demob!$K$6:$K$14,MATCH(AM136,Mob_Demob!$A$6:$A$14,0)))*Settings!$B$6+N(INDEX(Mob_Demob!$M$6:$M$14,MATCH(AM136,Mob_Demob!$A$6:$A$14,0)))*N(INDEX(Mob_Demob!$N$6:$N$14,MATCH(AM136,Mob_Demob!$A$6:$A$14,0))),0)),"")</f>
        <v/>
      </c>
      <c r="AR136" s="16" t="str">
        <f aca="false">IF(AQ136="","",ROUND(AQ136*Settings!$B$18,0))</f>
        <v/>
      </c>
      <c r="AS136" s="13" t="s">
        <v>1127</v>
      </c>
      <c r="AT136" s="14" t="s">
        <v>1142</v>
      </c>
      <c r="AU136" s="14" t="s">
        <v>509</v>
      </c>
    </row>
    <row r="137" customFormat="false" ht="64.15" hidden="false" customHeight="false" outlineLevel="0" collapsed="false">
      <c r="A137" s="21" t="s">
        <v>1143</v>
      </c>
      <c r="B137" s="21" t="s">
        <v>921</v>
      </c>
      <c r="C137" s="21" t="s">
        <v>1088</v>
      </c>
      <c r="D137" s="21" t="s">
        <v>1124</v>
      </c>
      <c r="E137" s="22" t="s">
        <v>1144</v>
      </c>
      <c r="F137" s="13" t="s">
        <v>1091</v>
      </c>
      <c r="G137" s="13" t="n">
        <v>500</v>
      </c>
      <c r="H137" s="13" t="s">
        <v>1092</v>
      </c>
      <c r="I137" s="14"/>
      <c r="J137" s="15"/>
      <c r="K137" s="13"/>
      <c r="L137" s="13" t="s">
        <v>1145</v>
      </c>
      <c r="M137" s="13"/>
      <c r="N137" s="13" t="s">
        <v>851</v>
      </c>
      <c r="O137" s="13" t="s">
        <v>504</v>
      </c>
      <c r="P137" s="13" t="s">
        <v>186</v>
      </c>
      <c r="Q137" s="20" t="n">
        <v>155</v>
      </c>
      <c r="R137" s="20" t="n">
        <v>455</v>
      </c>
      <c r="S137" s="20" t="n">
        <v>1337</v>
      </c>
      <c r="T137" s="20" t="n">
        <v>990</v>
      </c>
      <c r="U137" s="20" t="n">
        <v>1683</v>
      </c>
      <c r="V137" s="13" t="s">
        <v>187</v>
      </c>
      <c r="W137" s="17"/>
      <c r="X137" s="13"/>
      <c r="Y137" s="13" t="s">
        <v>1146</v>
      </c>
      <c r="Z137" s="13" t="s">
        <v>212</v>
      </c>
      <c r="AA137" s="13" t="s">
        <v>213</v>
      </c>
      <c r="AB137" s="13"/>
      <c r="AC137" s="17"/>
      <c r="AD137" s="13"/>
      <c r="AE137" s="19" t="n">
        <v>0</v>
      </c>
      <c r="AF137" s="19" t="n">
        <v>0</v>
      </c>
      <c r="AG137" s="19" t="n">
        <v>0</v>
      </c>
      <c r="AH137" s="13" t="s">
        <v>506</v>
      </c>
      <c r="AI137" s="17"/>
      <c r="AJ137" s="13" t="s">
        <v>188</v>
      </c>
      <c r="AK137" s="13" t="s">
        <v>188</v>
      </c>
      <c r="AL137" s="14" t="s">
        <v>194</v>
      </c>
      <c r="AM137" s="13" t="s">
        <v>1147</v>
      </c>
      <c r="AN137" s="15"/>
      <c r="AO137" s="13"/>
      <c r="AP137" s="13" t="s">
        <v>196</v>
      </c>
      <c r="AQ137" s="16" t="n">
        <f aca="false">IFERROR(IF(AND(INDEX(Mob_Demob!$D$6:$D$14,MATCH(AM137,Mob_Demob!$A$6:$A$14,0))="",INDEX(Mob_Demob!$G$6:$G$14,MATCH(AM137,Mob_Demob!$A$6:$A$14,0))=""),"",ROUND(MAX(N(INDEX(Mob_Demob!$G$6:$G$14,MATCH(AM137,Mob_Demob!$A$6:$A$14,0))),N(INDEX(Mob_Demob!$D$6:$D$14,MATCH(AM137,Mob_Demob!$A$6:$A$14,0)))*Settings!$B$6)+IF(AP137="Y",N(INDEX(Mob_Demob!$I$6:$I$14,MATCH(AM137,Mob_Demob!$A$6:$A$14,0)))*Settings!$B$19,0)+N(INDEX(Mob_Demob!$L$6:$L$14,MATCH(AM137,Mob_Demob!$A$6:$A$14,0)))*N(INDEX(Mob_Demob!$K$6:$K$14,MATCH(AM137,Mob_Demob!$A$6:$A$14,0)))*Settings!$B$6+N(INDEX(Mob_Demob!$M$6:$M$14,MATCH(AM137,Mob_Demob!$A$6:$A$14,0)))*N(INDEX(Mob_Demob!$N$6:$N$14,MATCH(AM137,Mob_Demob!$A$6:$A$14,0))),0)),"")</f>
        <v>200</v>
      </c>
      <c r="AR137" s="16" t="n">
        <f aca="false">IF(AQ137="","",ROUND(AQ137*Settings!$B$18,0))</f>
        <v>200</v>
      </c>
      <c r="AS137" s="13" t="s">
        <v>1148</v>
      </c>
      <c r="AT137" s="14" t="s">
        <v>1149</v>
      </c>
      <c r="AU137" s="14" t="s">
        <v>341</v>
      </c>
    </row>
    <row r="138" customFormat="false" ht="64.15" hidden="false" customHeight="false" outlineLevel="0" collapsed="false">
      <c r="A138" s="21" t="s">
        <v>1150</v>
      </c>
      <c r="B138" s="21" t="s">
        <v>921</v>
      </c>
      <c r="C138" s="21" t="s">
        <v>1088</v>
      </c>
      <c r="D138" s="21" t="s">
        <v>1151</v>
      </c>
      <c r="E138" s="22" t="s">
        <v>1152</v>
      </c>
      <c r="F138" s="13" t="s">
        <v>1091</v>
      </c>
      <c r="G138" s="13" t="n">
        <v>12000</v>
      </c>
      <c r="H138" s="13" t="s">
        <v>1092</v>
      </c>
      <c r="I138" s="14"/>
      <c r="J138" s="15"/>
      <c r="K138" s="13"/>
      <c r="L138" s="13" t="s">
        <v>1153</v>
      </c>
      <c r="M138" s="13"/>
      <c r="N138" s="13" t="s">
        <v>1154</v>
      </c>
      <c r="O138" s="13" t="s">
        <v>504</v>
      </c>
      <c r="P138" s="13" t="s">
        <v>186</v>
      </c>
      <c r="Q138" s="20" t="n">
        <v>461</v>
      </c>
      <c r="R138" s="20" t="n">
        <v>1336</v>
      </c>
      <c r="S138" s="20" t="n">
        <v>3875</v>
      </c>
      <c r="T138" s="16"/>
      <c r="U138" s="16"/>
      <c r="V138" s="13" t="s">
        <v>187</v>
      </c>
      <c r="W138" s="17"/>
      <c r="X138" s="13"/>
      <c r="Y138" s="13" t="s">
        <v>259</v>
      </c>
      <c r="Z138" s="13" t="s">
        <v>260</v>
      </c>
      <c r="AA138" s="13" t="s">
        <v>192</v>
      </c>
      <c r="AB138" s="13"/>
      <c r="AC138" s="17"/>
      <c r="AD138" s="13"/>
      <c r="AE138" s="19" t="n">
        <v>0</v>
      </c>
      <c r="AF138" s="19" t="n">
        <v>0</v>
      </c>
      <c r="AG138" s="19" t="n">
        <v>0</v>
      </c>
      <c r="AH138" s="13" t="s">
        <v>506</v>
      </c>
      <c r="AI138" s="17"/>
      <c r="AJ138" s="13" t="s">
        <v>188</v>
      </c>
      <c r="AK138" s="13" t="s">
        <v>188</v>
      </c>
      <c r="AL138" s="14" t="s">
        <v>194</v>
      </c>
      <c r="AM138" s="13" t="s">
        <v>1155</v>
      </c>
      <c r="AN138" s="15"/>
      <c r="AO138" s="13"/>
      <c r="AP138" s="13" t="s">
        <v>196</v>
      </c>
      <c r="AQ138" s="16" t="n">
        <f aca="false">IFERROR(IF(AND(INDEX(Mob_Demob!$D$6:$D$14,MATCH(AM138,Mob_Demob!$A$6:$A$14,0))="",INDEX(Mob_Demob!$G$6:$G$14,MATCH(AM138,Mob_Demob!$A$6:$A$14,0))=""),"",ROUND(MAX(N(INDEX(Mob_Demob!$G$6:$G$14,MATCH(AM138,Mob_Demob!$A$6:$A$14,0))),N(INDEX(Mob_Demob!$D$6:$D$14,MATCH(AM138,Mob_Demob!$A$6:$A$14,0)))*Settings!$B$6)+IF(AP138="Y",N(INDEX(Mob_Demob!$I$6:$I$14,MATCH(AM138,Mob_Demob!$A$6:$A$14,0)))*Settings!$B$19,0)+N(INDEX(Mob_Demob!$L$6:$L$14,MATCH(AM138,Mob_Demob!$A$6:$A$14,0)))*N(INDEX(Mob_Demob!$K$6:$K$14,MATCH(AM138,Mob_Demob!$A$6:$A$14,0)))*Settings!$B$6+N(INDEX(Mob_Demob!$M$6:$M$14,MATCH(AM138,Mob_Demob!$A$6:$A$14,0)))*N(INDEX(Mob_Demob!$N$6:$N$14,MATCH(AM138,Mob_Demob!$A$6:$A$14,0))),0)),"")</f>
        <v>200</v>
      </c>
      <c r="AR138" s="16" t="n">
        <f aca="false">IF(AQ138="","",ROUND(AQ138*Settings!$B$18,0))</f>
        <v>200</v>
      </c>
      <c r="AS138" s="13"/>
      <c r="AT138" s="14" t="s">
        <v>585</v>
      </c>
      <c r="AU138" s="14" t="s">
        <v>341</v>
      </c>
    </row>
    <row r="139" customFormat="false" ht="64.15" hidden="false" customHeight="false" outlineLevel="0" collapsed="false">
      <c r="A139" s="11" t="s">
        <v>1156</v>
      </c>
      <c r="B139" s="11" t="s">
        <v>1157</v>
      </c>
      <c r="C139" s="11" t="s">
        <v>1158</v>
      </c>
      <c r="D139" s="11" t="s">
        <v>1159</v>
      </c>
      <c r="E139" s="12" t="s">
        <v>1160</v>
      </c>
      <c r="F139" s="13" t="s">
        <v>1161</v>
      </c>
      <c r="G139" s="13" t="n">
        <v>175</v>
      </c>
      <c r="H139" s="13" t="s">
        <v>334</v>
      </c>
      <c r="I139" s="14" t="s">
        <v>1162</v>
      </c>
      <c r="J139" s="15" t="n">
        <v>175</v>
      </c>
      <c r="K139" s="13"/>
      <c r="L139" s="13"/>
      <c r="M139" s="13"/>
      <c r="N139" s="13" t="s">
        <v>1163</v>
      </c>
      <c r="O139" s="13" t="s">
        <v>1164</v>
      </c>
      <c r="P139" s="13" t="s">
        <v>186</v>
      </c>
      <c r="Q139" s="20" t="n">
        <v>78</v>
      </c>
      <c r="R139" s="20" t="n">
        <v>268</v>
      </c>
      <c r="S139" s="20" t="n">
        <v>858</v>
      </c>
      <c r="T139" s="20" t="n">
        <v>485</v>
      </c>
      <c r="U139" s="20" t="n">
        <v>1080</v>
      </c>
      <c r="V139" s="13" t="s">
        <v>187</v>
      </c>
      <c r="W139" s="17"/>
      <c r="X139" s="13"/>
      <c r="Y139" s="13" t="s">
        <v>732</v>
      </c>
      <c r="Z139" s="13" t="s">
        <v>212</v>
      </c>
      <c r="AA139" s="13" t="s">
        <v>213</v>
      </c>
      <c r="AB139" s="13"/>
      <c r="AC139" s="17"/>
      <c r="AD139" s="13"/>
      <c r="AE139" s="19"/>
      <c r="AF139" s="19"/>
      <c r="AG139" s="19"/>
      <c r="AH139" s="13"/>
      <c r="AI139" s="17"/>
      <c r="AJ139" s="13" t="s">
        <v>188</v>
      </c>
      <c r="AK139" s="13" t="s">
        <v>188</v>
      </c>
      <c r="AL139" s="14" t="s">
        <v>194</v>
      </c>
      <c r="AM139" s="13" t="s">
        <v>1147</v>
      </c>
      <c r="AN139" s="15" t="n">
        <v>175</v>
      </c>
      <c r="AO139" s="13"/>
      <c r="AP139" s="13" t="s">
        <v>196</v>
      </c>
      <c r="AQ139" s="16" t="n">
        <f aca="false">IFERROR(IF(AND(INDEX(Mob_Demob!$D$6:$D$14,MATCH(AM139,Mob_Demob!$A$6:$A$14,0))="",INDEX(Mob_Demob!$G$6:$G$14,MATCH(AM139,Mob_Demob!$A$6:$A$14,0))=""),"",ROUND(MAX(N(INDEX(Mob_Demob!$G$6:$G$14,MATCH(AM139,Mob_Demob!$A$6:$A$14,0))),N(INDEX(Mob_Demob!$D$6:$D$14,MATCH(AM139,Mob_Demob!$A$6:$A$14,0)))*Settings!$B$6)+IF(AP139="Y",N(INDEX(Mob_Demob!$I$6:$I$14,MATCH(AM139,Mob_Demob!$A$6:$A$14,0)))*Settings!$B$19,0)+N(INDEX(Mob_Demob!$L$6:$L$14,MATCH(AM139,Mob_Demob!$A$6:$A$14,0)))*N(INDEX(Mob_Demob!$K$6:$K$14,MATCH(AM139,Mob_Demob!$A$6:$A$14,0)))*Settings!$B$6+N(INDEX(Mob_Demob!$M$6:$M$14,MATCH(AM139,Mob_Demob!$A$6:$A$14,0)))*N(INDEX(Mob_Demob!$N$6:$N$14,MATCH(AM139,Mob_Demob!$A$6:$A$14,0))),0)),"")</f>
        <v>200</v>
      </c>
      <c r="AR139" s="16" t="n">
        <f aca="false">IF(AQ139="","",ROUND(AQ139*Settings!$B$18,0))</f>
        <v>200</v>
      </c>
      <c r="AS139" s="13" t="s">
        <v>1165</v>
      </c>
      <c r="AT139" s="14" t="s">
        <v>1166</v>
      </c>
      <c r="AU139" s="14" t="s">
        <v>262</v>
      </c>
    </row>
    <row r="140" customFormat="false" ht="64.15" hidden="false" customHeight="false" outlineLevel="0" collapsed="false">
      <c r="A140" s="11" t="s">
        <v>1167</v>
      </c>
      <c r="B140" s="11" t="s">
        <v>1157</v>
      </c>
      <c r="C140" s="11" t="s">
        <v>1158</v>
      </c>
      <c r="D140" s="11" t="s">
        <v>1168</v>
      </c>
      <c r="E140" s="12" t="s">
        <v>1169</v>
      </c>
      <c r="F140" s="13" t="s">
        <v>1161</v>
      </c>
      <c r="G140" s="13" t="n">
        <v>950</v>
      </c>
      <c r="H140" s="13" t="s">
        <v>334</v>
      </c>
      <c r="I140" s="14" t="s">
        <v>1170</v>
      </c>
      <c r="J140" s="15" t="n">
        <v>950</v>
      </c>
      <c r="K140" s="13"/>
      <c r="L140" s="13"/>
      <c r="M140" s="13"/>
      <c r="N140" s="13" t="s">
        <v>184</v>
      </c>
      <c r="O140" s="13" t="s">
        <v>1164</v>
      </c>
      <c r="P140" s="13" t="s">
        <v>186</v>
      </c>
      <c r="Q140" s="20" t="n">
        <v>240</v>
      </c>
      <c r="R140" s="20" t="n">
        <v>821</v>
      </c>
      <c r="S140" s="20" t="n">
        <v>2418</v>
      </c>
      <c r="T140" s="20" t="n">
        <v>1850</v>
      </c>
      <c r="U140" s="20" t="n">
        <v>2595</v>
      </c>
      <c r="V140" s="13" t="s">
        <v>187</v>
      </c>
      <c r="W140" s="17"/>
      <c r="X140" s="13"/>
      <c r="Y140" s="13" t="s">
        <v>732</v>
      </c>
      <c r="Z140" s="13" t="s">
        <v>212</v>
      </c>
      <c r="AA140" s="13" t="s">
        <v>213</v>
      </c>
      <c r="AB140" s="13"/>
      <c r="AC140" s="17"/>
      <c r="AD140" s="13"/>
      <c r="AE140" s="19"/>
      <c r="AF140" s="19"/>
      <c r="AG140" s="19"/>
      <c r="AH140" s="13"/>
      <c r="AI140" s="17"/>
      <c r="AJ140" s="13" t="s">
        <v>188</v>
      </c>
      <c r="AK140" s="13" t="s">
        <v>188</v>
      </c>
      <c r="AL140" s="14" t="s">
        <v>194</v>
      </c>
      <c r="AM140" s="13" t="s">
        <v>1147</v>
      </c>
      <c r="AN140" s="15" t="n">
        <v>950</v>
      </c>
      <c r="AO140" s="13"/>
      <c r="AP140" s="13" t="s">
        <v>196</v>
      </c>
      <c r="AQ140" s="16" t="n">
        <f aca="false">IFERROR(IF(AND(INDEX(Mob_Demob!$D$6:$D$14,MATCH(AM140,Mob_Demob!$A$6:$A$14,0))="",INDEX(Mob_Demob!$G$6:$G$14,MATCH(AM140,Mob_Demob!$A$6:$A$14,0))=""),"",ROUND(MAX(N(INDEX(Mob_Demob!$G$6:$G$14,MATCH(AM140,Mob_Demob!$A$6:$A$14,0))),N(INDEX(Mob_Demob!$D$6:$D$14,MATCH(AM140,Mob_Demob!$A$6:$A$14,0)))*Settings!$B$6)+IF(AP140="Y",N(INDEX(Mob_Demob!$I$6:$I$14,MATCH(AM140,Mob_Demob!$A$6:$A$14,0)))*Settings!$B$19,0)+N(INDEX(Mob_Demob!$L$6:$L$14,MATCH(AM140,Mob_Demob!$A$6:$A$14,0)))*N(INDEX(Mob_Demob!$K$6:$K$14,MATCH(AM140,Mob_Demob!$A$6:$A$14,0)))*Settings!$B$6+N(INDEX(Mob_Demob!$M$6:$M$14,MATCH(AM140,Mob_Demob!$A$6:$A$14,0)))*N(INDEX(Mob_Demob!$N$6:$N$14,MATCH(AM140,Mob_Demob!$A$6:$A$14,0))),0)),"")</f>
        <v>200</v>
      </c>
      <c r="AR140" s="16" t="n">
        <f aca="false">IF(AQ140="","",ROUND(AQ140*Settings!$B$18,0))</f>
        <v>200</v>
      </c>
      <c r="AS140" s="13" t="s">
        <v>1171</v>
      </c>
      <c r="AT140" s="14" t="s">
        <v>1172</v>
      </c>
      <c r="AU140" s="14" t="s">
        <v>262</v>
      </c>
    </row>
    <row r="141" customFormat="false" ht="64.15" hidden="false" customHeight="false" outlineLevel="0" collapsed="false">
      <c r="A141" s="11" t="s">
        <v>1173</v>
      </c>
      <c r="B141" s="11" t="s">
        <v>1157</v>
      </c>
      <c r="C141" s="11" t="s">
        <v>1174</v>
      </c>
      <c r="D141" s="11" t="s">
        <v>1175</v>
      </c>
      <c r="E141" s="12" t="s">
        <v>1176</v>
      </c>
      <c r="F141" s="13" t="s">
        <v>1161</v>
      </c>
      <c r="G141" s="13" t="n">
        <v>130</v>
      </c>
      <c r="H141" s="13" t="s">
        <v>334</v>
      </c>
      <c r="I141" s="14" t="s">
        <v>1177</v>
      </c>
      <c r="J141" s="15" t="n">
        <v>130</v>
      </c>
      <c r="K141" s="13"/>
      <c r="L141" s="13"/>
      <c r="M141" s="13"/>
      <c r="N141" s="13" t="s">
        <v>1163</v>
      </c>
      <c r="O141" s="13" t="s">
        <v>1164</v>
      </c>
      <c r="P141" s="13" t="s">
        <v>186</v>
      </c>
      <c r="Q141" s="20" t="n">
        <v>85</v>
      </c>
      <c r="R141" s="20" t="n">
        <v>255</v>
      </c>
      <c r="S141" s="20" t="n">
        <v>765</v>
      </c>
      <c r="T141" s="20" t="n">
        <v>485</v>
      </c>
      <c r="U141" s="20" t="n">
        <v>1137</v>
      </c>
      <c r="V141" s="13" t="s">
        <v>187</v>
      </c>
      <c r="W141" s="17"/>
      <c r="X141" s="13"/>
      <c r="Y141" s="13" t="s">
        <v>1178</v>
      </c>
      <c r="Z141" s="13" t="s">
        <v>212</v>
      </c>
      <c r="AA141" s="13" t="s">
        <v>213</v>
      </c>
      <c r="AB141" s="13"/>
      <c r="AC141" s="17"/>
      <c r="AD141" s="13"/>
      <c r="AE141" s="19"/>
      <c r="AF141" s="19" t="n">
        <v>0.26</v>
      </c>
      <c r="AG141" s="19"/>
      <c r="AH141" s="13" t="s">
        <v>1179</v>
      </c>
      <c r="AI141" s="17"/>
      <c r="AJ141" s="13" t="s">
        <v>188</v>
      </c>
      <c r="AK141" s="13" t="s">
        <v>188</v>
      </c>
      <c r="AL141" s="14" t="s">
        <v>194</v>
      </c>
      <c r="AM141" s="13" t="s">
        <v>1147</v>
      </c>
      <c r="AN141" s="15" t="n">
        <v>130</v>
      </c>
      <c r="AO141" s="13"/>
      <c r="AP141" s="13" t="s">
        <v>196</v>
      </c>
      <c r="AQ141" s="16" t="n">
        <f aca="false">IFERROR(IF(AND(INDEX(Mob_Demob!$D$6:$D$14,MATCH(AM141,Mob_Demob!$A$6:$A$14,0))="",INDEX(Mob_Demob!$G$6:$G$14,MATCH(AM141,Mob_Demob!$A$6:$A$14,0))=""),"",ROUND(MAX(N(INDEX(Mob_Demob!$G$6:$G$14,MATCH(AM141,Mob_Demob!$A$6:$A$14,0))),N(INDEX(Mob_Demob!$D$6:$D$14,MATCH(AM141,Mob_Demob!$A$6:$A$14,0)))*Settings!$B$6)+IF(AP141="Y",N(INDEX(Mob_Demob!$I$6:$I$14,MATCH(AM141,Mob_Demob!$A$6:$A$14,0)))*Settings!$B$19,0)+N(INDEX(Mob_Demob!$L$6:$L$14,MATCH(AM141,Mob_Demob!$A$6:$A$14,0)))*N(INDEX(Mob_Demob!$K$6:$K$14,MATCH(AM141,Mob_Demob!$A$6:$A$14,0)))*Settings!$B$6+N(INDEX(Mob_Demob!$M$6:$M$14,MATCH(AM141,Mob_Demob!$A$6:$A$14,0)))*N(INDEX(Mob_Demob!$N$6:$N$14,MATCH(AM141,Mob_Demob!$A$6:$A$14,0))),0)),"")</f>
        <v>200</v>
      </c>
      <c r="AR141" s="16" t="n">
        <f aca="false">IF(AQ141="","",ROUND(AQ141*Settings!$B$18,0))</f>
        <v>200</v>
      </c>
      <c r="AS141" s="13" t="s">
        <v>1180</v>
      </c>
      <c r="AT141" s="14" t="s">
        <v>1181</v>
      </c>
      <c r="AU141" s="14" t="s">
        <v>341</v>
      </c>
    </row>
    <row r="142" customFormat="false" ht="64.15" hidden="false" customHeight="false" outlineLevel="0" collapsed="false">
      <c r="A142" s="11" t="s">
        <v>1182</v>
      </c>
      <c r="B142" s="11" t="s">
        <v>1157</v>
      </c>
      <c r="C142" s="11" t="s">
        <v>1183</v>
      </c>
      <c r="D142" s="11" t="s">
        <v>1184</v>
      </c>
      <c r="E142" s="12" t="s">
        <v>1185</v>
      </c>
      <c r="F142" s="13" t="s">
        <v>1186</v>
      </c>
      <c r="G142" s="13" t="n">
        <v>28</v>
      </c>
      <c r="H142" s="13" t="s">
        <v>181</v>
      </c>
      <c r="I142" s="14" t="s">
        <v>1187</v>
      </c>
      <c r="J142" s="15"/>
      <c r="K142" s="13" t="n">
        <v>28</v>
      </c>
      <c r="L142" s="13"/>
      <c r="M142" s="13"/>
      <c r="N142" s="13" t="s">
        <v>184</v>
      </c>
      <c r="O142" s="13" t="s">
        <v>1164</v>
      </c>
      <c r="P142" s="13" t="s">
        <v>186</v>
      </c>
      <c r="Q142" s="16"/>
      <c r="R142" s="16"/>
      <c r="S142" s="16"/>
      <c r="T142" s="16"/>
      <c r="U142" s="16"/>
      <c r="V142" s="13" t="s">
        <v>187</v>
      </c>
      <c r="W142" s="17"/>
      <c r="X142" s="13"/>
      <c r="Y142" s="13"/>
      <c r="Z142" s="13"/>
      <c r="AA142" s="13" t="s">
        <v>188</v>
      </c>
      <c r="AB142" s="13" t="s">
        <v>1188</v>
      </c>
      <c r="AC142" s="18" t="n">
        <v>5.54</v>
      </c>
      <c r="AD142" s="13" t="s">
        <v>190</v>
      </c>
      <c r="AE142" s="19" t="n">
        <f aca="false">ROUND(K142*Settings!$B$11*Settings!$B$13,2)</f>
        <v>0.48</v>
      </c>
      <c r="AF142" s="19" t="n">
        <f aca="false">ROUND(K142*Settings!$B$11*Settings!$B$14,2)</f>
        <v>0.63</v>
      </c>
      <c r="AG142" s="19" t="n">
        <f aca="false">ROUND(K142*Settings!$B$11*Settings!$B$15,2)</f>
        <v>0.82</v>
      </c>
      <c r="AH142" s="13" t="s">
        <v>191</v>
      </c>
      <c r="AI142" s="17" t="n">
        <f aca="false">IF(OR(AC142="",AF142="",Settings!$B$5=""),"",ROUND(AC142-AF142*Settings!$B$5,2))</f>
        <v>3.23</v>
      </c>
      <c r="AJ142" s="13" t="s">
        <v>192</v>
      </c>
      <c r="AK142" s="13" t="s">
        <v>193</v>
      </c>
      <c r="AL142" s="14" t="s">
        <v>194</v>
      </c>
      <c r="AM142" s="13" t="s">
        <v>1147</v>
      </c>
      <c r="AN142" s="15"/>
      <c r="AO142" s="13"/>
      <c r="AP142" s="13" t="s">
        <v>196</v>
      </c>
      <c r="AQ142" s="16" t="n">
        <f aca="false">IFERROR(IF(AND(INDEX(Mob_Demob!$D$6:$D$14,MATCH(AM142,Mob_Demob!$A$6:$A$14,0))="",INDEX(Mob_Demob!$G$6:$G$14,MATCH(AM142,Mob_Demob!$A$6:$A$14,0))=""),"",ROUND(MAX(N(INDEX(Mob_Demob!$G$6:$G$14,MATCH(AM142,Mob_Demob!$A$6:$A$14,0))),N(INDEX(Mob_Demob!$D$6:$D$14,MATCH(AM142,Mob_Demob!$A$6:$A$14,0)))*Settings!$B$6)+IF(AP142="Y",N(INDEX(Mob_Demob!$I$6:$I$14,MATCH(AM142,Mob_Demob!$A$6:$A$14,0)))*Settings!$B$19,0)+N(INDEX(Mob_Demob!$L$6:$L$14,MATCH(AM142,Mob_Demob!$A$6:$A$14,0)))*N(INDEX(Mob_Demob!$K$6:$K$14,MATCH(AM142,Mob_Demob!$A$6:$A$14,0)))*Settings!$B$6+N(INDEX(Mob_Demob!$M$6:$M$14,MATCH(AM142,Mob_Demob!$A$6:$A$14,0)))*N(INDEX(Mob_Demob!$N$6:$N$14,MATCH(AM142,Mob_Demob!$A$6:$A$14,0))),0)),"")</f>
        <v>200</v>
      </c>
      <c r="AR142" s="16" t="n">
        <f aca="false">IF(AQ142="","",ROUND(AQ142*Settings!$B$18,0))</f>
        <v>200</v>
      </c>
      <c r="AS142" s="13"/>
      <c r="AT142" s="14" t="s">
        <v>1189</v>
      </c>
      <c r="AU142" s="14" t="s">
        <v>1190</v>
      </c>
    </row>
    <row r="143" customFormat="false" ht="64.15" hidden="false" customHeight="false" outlineLevel="0" collapsed="false">
      <c r="A143" s="11" t="s">
        <v>1191</v>
      </c>
      <c r="B143" s="11" t="s">
        <v>1157</v>
      </c>
      <c r="C143" s="11" t="s">
        <v>1192</v>
      </c>
      <c r="D143" s="11" t="s">
        <v>1193</v>
      </c>
      <c r="E143" s="12" t="s">
        <v>1194</v>
      </c>
      <c r="F143" s="13" t="s">
        <v>1195</v>
      </c>
      <c r="G143" s="13" t="n">
        <v>33</v>
      </c>
      <c r="H143" s="13" t="s">
        <v>1196</v>
      </c>
      <c r="I143" s="14" t="s">
        <v>1197</v>
      </c>
      <c r="J143" s="15" t="n">
        <v>3200</v>
      </c>
      <c r="K143" s="13"/>
      <c r="L143" s="13" t="s">
        <v>1198</v>
      </c>
      <c r="M143" s="13"/>
      <c r="N143" s="13" t="s">
        <v>184</v>
      </c>
      <c r="O143" s="13" t="s">
        <v>1164</v>
      </c>
      <c r="P143" s="13" t="s">
        <v>186</v>
      </c>
      <c r="Q143" s="20" t="n">
        <v>298</v>
      </c>
      <c r="R143" s="20" t="n">
        <v>1030</v>
      </c>
      <c r="S143" s="20" t="n">
        <v>3090</v>
      </c>
      <c r="T143" s="20" t="n">
        <v>2100</v>
      </c>
      <c r="U143" s="20" t="n">
        <v>3875</v>
      </c>
      <c r="V143" s="13" t="s">
        <v>187</v>
      </c>
      <c r="W143" s="17"/>
      <c r="X143" s="13"/>
      <c r="Y143" s="13" t="s">
        <v>732</v>
      </c>
      <c r="Z143" s="13" t="s">
        <v>212</v>
      </c>
      <c r="AA143" s="13" t="s">
        <v>213</v>
      </c>
      <c r="AB143" s="13"/>
      <c r="AC143" s="17"/>
      <c r="AD143" s="13"/>
      <c r="AE143" s="19"/>
      <c r="AF143" s="19"/>
      <c r="AG143" s="19"/>
      <c r="AH143" s="13"/>
      <c r="AI143" s="17"/>
      <c r="AJ143" s="13" t="s">
        <v>188</v>
      </c>
      <c r="AK143" s="13" t="s">
        <v>188</v>
      </c>
      <c r="AL143" s="14" t="s">
        <v>194</v>
      </c>
      <c r="AM143" s="13" t="s">
        <v>195</v>
      </c>
      <c r="AN143" s="15" t="n">
        <v>3200</v>
      </c>
      <c r="AO143" s="13"/>
      <c r="AP143" s="13" t="s">
        <v>196</v>
      </c>
      <c r="AQ143" s="16" t="n">
        <f aca="false">IFERROR(IF(AND(INDEX(Mob_Demob!$D$6:$D$14,MATCH(AM143,Mob_Demob!$A$6:$A$14,0))="",INDEX(Mob_Demob!$G$6:$G$14,MATCH(AM143,Mob_Demob!$A$6:$A$14,0))=""),"",ROUND(MAX(N(INDEX(Mob_Demob!$G$6:$G$14,MATCH(AM143,Mob_Demob!$A$6:$A$14,0))),N(INDEX(Mob_Demob!$D$6:$D$14,MATCH(AM143,Mob_Demob!$A$6:$A$14,0)))*Settings!$B$6)+IF(AP143="Y",N(INDEX(Mob_Demob!$I$6:$I$14,MATCH(AM143,Mob_Demob!$A$6:$A$14,0)))*Settings!$B$19,0)+N(INDEX(Mob_Demob!$L$6:$L$14,MATCH(AM143,Mob_Demob!$A$6:$A$14,0)))*N(INDEX(Mob_Demob!$K$6:$K$14,MATCH(AM143,Mob_Demob!$A$6:$A$14,0)))*Settings!$B$6+N(INDEX(Mob_Demob!$M$6:$M$14,MATCH(AM143,Mob_Demob!$A$6:$A$14,0)))*N(INDEX(Mob_Demob!$N$6:$N$14,MATCH(AM143,Mob_Demob!$A$6:$A$14,0))),0)),"")</f>
        <v>500</v>
      </c>
      <c r="AR143" s="16" t="n">
        <f aca="false">IF(AQ143="","",ROUND(AQ143*Settings!$B$18,0))</f>
        <v>500</v>
      </c>
      <c r="AS143" s="13" t="s">
        <v>1199</v>
      </c>
      <c r="AT143" s="14" t="s">
        <v>1200</v>
      </c>
      <c r="AU143" s="14" t="s">
        <v>262</v>
      </c>
    </row>
    <row r="144" customFormat="false" ht="64.15" hidden="false" customHeight="false" outlineLevel="0" collapsed="false">
      <c r="A144" s="11" t="s">
        <v>1201</v>
      </c>
      <c r="B144" s="11" t="s">
        <v>1157</v>
      </c>
      <c r="C144" s="11" t="s">
        <v>1202</v>
      </c>
      <c r="D144" s="11" t="s">
        <v>1203</v>
      </c>
      <c r="E144" s="12" t="s">
        <v>1204</v>
      </c>
      <c r="F144" s="13" t="s">
        <v>1195</v>
      </c>
      <c r="G144" s="13" t="n">
        <v>84</v>
      </c>
      <c r="H144" s="13" t="s">
        <v>1196</v>
      </c>
      <c r="I144" s="14" t="s">
        <v>1205</v>
      </c>
      <c r="J144" s="15"/>
      <c r="K144" s="13"/>
      <c r="L144" s="13"/>
      <c r="M144" s="13"/>
      <c r="N144" s="13" t="s">
        <v>503</v>
      </c>
      <c r="O144" s="13" t="s">
        <v>504</v>
      </c>
      <c r="P144" s="13" t="s">
        <v>186</v>
      </c>
      <c r="Q144" s="20" t="n">
        <v>250</v>
      </c>
      <c r="R144" s="20" t="n">
        <v>875</v>
      </c>
      <c r="S144" s="20" t="n">
        <v>2595</v>
      </c>
      <c r="T144" s="16"/>
      <c r="U144" s="16"/>
      <c r="V144" s="13" t="s">
        <v>187</v>
      </c>
      <c r="W144" s="17"/>
      <c r="X144" s="13"/>
      <c r="Y144" s="13" t="s">
        <v>764</v>
      </c>
      <c r="Z144" s="13" t="s">
        <v>765</v>
      </c>
      <c r="AA144" s="13" t="s">
        <v>192</v>
      </c>
      <c r="AB144" s="13" t="s">
        <v>1206</v>
      </c>
      <c r="AC144" s="18" t="n">
        <v>27.01</v>
      </c>
      <c r="AD144" s="13" t="s">
        <v>190</v>
      </c>
      <c r="AE144" s="19" t="n">
        <v>0</v>
      </c>
      <c r="AF144" s="19" t="n">
        <v>0</v>
      </c>
      <c r="AG144" s="19" t="n">
        <v>0</v>
      </c>
      <c r="AH144" s="13" t="s">
        <v>506</v>
      </c>
      <c r="AI144" s="17" t="n">
        <f aca="false">IF(OR(AC144="",AF144="",Settings!$B$5=""),"",ROUND(AC144-AF144*Settings!$B$5,2))</f>
        <v>27.01</v>
      </c>
      <c r="AJ144" s="13" t="s">
        <v>192</v>
      </c>
      <c r="AK144" s="13" t="s">
        <v>193</v>
      </c>
      <c r="AL144" s="14" t="s">
        <v>194</v>
      </c>
      <c r="AM144" s="13" t="s">
        <v>195</v>
      </c>
      <c r="AN144" s="15"/>
      <c r="AO144" s="13"/>
      <c r="AP144" s="13" t="s">
        <v>196</v>
      </c>
      <c r="AQ144" s="16" t="n">
        <f aca="false">IFERROR(IF(AND(INDEX(Mob_Demob!$D$6:$D$14,MATCH(AM144,Mob_Demob!$A$6:$A$14,0))="",INDEX(Mob_Demob!$G$6:$G$14,MATCH(AM144,Mob_Demob!$A$6:$A$14,0))=""),"",ROUND(MAX(N(INDEX(Mob_Demob!$G$6:$G$14,MATCH(AM144,Mob_Demob!$A$6:$A$14,0))),N(INDEX(Mob_Demob!$D$6:$D$14,MATCH(AM144,Mob_Demob!$A$6:$A$14,0)))*Settings!$B$6)+IF(AP144="Y",N(INDEX(Mob_Demob!$I$6:$I$14,MATCH(AM144,Mob_Demob!$A$6:$A$14,0)))*Settings!$B$19,0)+N(INDEX(Mob_Demob!$L$6:$L$14,MATCH(AM144,Mob_Demob!$A$6:$A$14,0)))*N(INDEX(Mob_Demob!$K$6:$K$14,MATCH(AM144,Mob_Demob!$A$6:$A$14,0)))*Settings!$B$6+N(INDEX(Mob_Demob!$M$6:$M$14,MATCH(AM144,Mob_Demob!$A$6:$A$14,0)))*N(INDEX(Mob_Demob!$N$6:$N$14,MATCH(AM144,Mob_Demob!$A$6:$A$14,0))),0)),"")</f>
        <v>500</v>
      </c>
      <c r="AR144" s="16" t="n">
        <f aca="false">IF(AQ144="","",ROUND(AQ144*Settings!$B$18,0))</f>
        <v>500</v>
      </c>
      <c r="AS144" s="13" t="s">
        <v>1207</v>
      </c>
      <c r="AT144" s="14" t="s">
        <v>1208</v>
      </c>
      <c r="AU144" s="14"/>
    </row>
    <row r="145" customFormat="false" ht="64.15" hidden="false" customHeight="false" outlineLevel="0" collapsed="false">
      <c r="A145" s="11" t="s">
        <v>1209</v>
      </c>
      <c r="B145" s="11" t="s">
        <v>1157</v>
      </c>
      <c r="C145" s="11" t="s">
        <v>1210</v>
      </c>
      <c r="D145" s="11" t="s">
        <v>1211</v>
      </c>
      <c r="E145" s="12" t="s">
        <v>1212</v>
      </c>
      <c r="F145" s="13" t="s">
        <v>1195</v>
      </c>
      <c r="G145" s="13" t="n">
        <v>50</v>
      </c>
      <c r="H145" s="13" t="s">
        <v>1196</v>
      </c>
      <c r="I145" s="14" t="s">
        <v>1213</v>
      </c>
      <c r="J145" s="15" t="n">
        <v>9800</v>
      </c>
      <c r="K145" s="13" t="n">
        <v>74.6</v>
      </c>
      <c r="L145" s="13" t="s">
        <v>1214</v>
      </c>
      <c r="M145" s="13"/>
      <c r="N145" s="13" t="s">
        <v>184</v>
      </c>
      <c r="O145" s="13" t="s">
        <v>185</v>
      </c>
      <c r="P145" s="13" t="s">
        <v>186</v>
      </c>
      <c r="Q145" s="16"/>
      <c r="R145" s="16"/>
      <c r="S145" s="16"/>
      <c r="T145" s="16"/>
      <c r="U145" s="16"/>
      <c r="V145" s="13" t="s">
        <v>187</v>
      </c>
      <c r="W145" s="17"/>
      <c r="X145" s="13"/>
      <c r="Y145" s="13"/>
      <c r="Z145" s="13"/>
      <c r="AA145" s="13" t="s">
        <v>188</v>
      </c>
      <c r="AB145" s="13"/>
      <c r="AC145" s="17"/>
      <c r="AD145" s="13"/>
      <c r="AE145" s="19" t="n">
        <f aca="false">ROUND(K145*Settings!$B$11*Settings!$B$13,2)</f>
        <v>1.27</v>
      </c>
      <c r="AF145" s="19" t="n">
        <f aca="false">ROUND(K145*Settings!$B$11*Settings!$B$14,2)</f>
        <v>1.67</v>
      </c>
      <c r="AG145" s="19" t="n">
        <f aca="false">ROUND(K145*Settings!$B$11*Settings!$B$15,2)</f>
        <v>2.18</v>
      </c>
      <c r="AH145" s="13" t="s">
        <v>191</v>
      </c>
      <c r="AI145" s="17"/>
      <c r="AJ145" s="13" t="s">
        <v>188</v>
      </c>
      <c r="AK145" s="13" t="s">
        <v>188</v>
      </c>
      <c r="AL145" s="14" t="s">
        <v>194</v>
      </c>
      <c r="AM145" s="13" t="s">
        <v>195</v>
      </c>
      <c r="AN145" s="15" t="n">
        <v>9800</v>
      </c>
      <c r="AO145" s="13"/>
      <c r="AP145" s="13" t="s">
        <v>196</v>
      </c>
      <c r="AQ145" s="16" t="n">
        <f aca="false">IFERROR(IF(AND(INDEX(Mob_Demob!$D$6:$D$14,MATCH(AM145,Mob_Demob!$A$6:$A$14,0))="",INDEX(Mob_Demob!$G$6:$G$14,MATCH(AM145,Mob_Demob!$A$6:$A$14,0))=""),"",ROUND(MAX(N(INDEX(Mob_Demob!$G$6:$G$14,MATCH(AM145,Mob_Demob!$A$6:$A$14,0))),N(INDEX(Mob_Demob!$D$6:$D$14,MATCH(AM145,Mob_Demob!$A$6:$A$14,0)))*Settings!$B$6)+IF(AP145="Y",N(INDEX(Mob_Demob!$I$6:$I$14,MATCH(AM145,Mob_Demob!$A$6:$A$14,0)))*Settings!$B$19,0)+N(INDEX(Mob_Demob!$L$6:$L$14,MATCH(AM145,Mob_Demob!$A$6:$A$14,0)))*N(INDEX(Mob_Demob!$K$6:$K$14,MATCH(AM145,Mob_Demob!$A$6:$A$14,0)))*Settings!$B$6+N(INDEX(Mob_Demob!$M$6:$M$14,MATCH(AM145,Mob_Demob!$A$6:$A$14,0)))*N(INDEX(Mob_Demob!$N$6:$N$14,MATCH(AM145,Mob_Demob!$A$6:$A$14,0))),0)),"")</f>
        <v>500</v>
      </c>
      <c r="AR145" s="16" t="n">
        <f aca="false">IF(AQ145="","",ROUND(AQ145*Settings!$B$18,0))</f>
        <v>500</v>
      </c>
      <c r="AS145" s="13" t="s">
        <v>1215</v>
      </c>
      <c r="AT145" s="14" t="s">
        <v>1216</v>
      </c>
      <c r="AU145" s="14" t="s">
        <v>251</v>
      </c>
    </row>
    <row r="146" customFormat="false" ht="64.15" hidden="false" customHeight="false" outlineLevel="0" collapsed="false">
      <c r="A146" s="11" t="s">
        <v>1217</v>
      </c>
      <c r="B146" s="11" t="s">
        <v>1157</v>
      </c>
      <c r="C146" s="11" t="s">
        <v>1210</v>
      </c>
      <c r="D146" s="11" t="s">
        <v>1218</v>
      </c>
      <c r="E146" s="12" t="s">
        <v>1219</v>
      </c>
      <c r="F146" s="13" t="s">
        <v>1195</v>
      </c>
      <c r="G146" s="13" t="n">
        <v>66</v>
      </c>
      <c r="H146" s="13" t="s">
        <v>1196</v>
      </c>
      <c r="I146" s="14" t="s">
        <v>1220</v>
      </c>
      <c r="J146" s="15" t="n">
        <v>15895</v>
      </c>
      <c r="K146" s="13"/>
      <c r="L146" s="13" t="s">
        <v>1221</v>
      </c>
      <c r="M146" s="13"/>
      <c r="N146" s="13" t="s">
        <v>184</v>
      </c>
      <c r="O146" s="13" t="s">
        <v>185</v>
      </c>
      <c r="P146" s="13" t="s">
        <v>186</v>
      </c>
      <c r="Q146" s="20" t="n">
        <v>725</v>
      </c>
      <c r="R146" s="20" t="n">
        <v>1775</v>
      </c>
      <c r="S146" s="20" t="n">
        <v>4400</v>
      </c>
      <c r="T146" s="20" t="n">
        <v>3750</v>
      </c>
      <c r="U146" s="20" t="n">
        <v>6988</v>
      </c>
      <c r="V146" s="13" t="s">
        <v>187</v>
      </c>
      <c r="W146" s="17"/>
      <c r="X146" s="13"/>
      <c r="Y146" s="13" t="s">
        <v>426</v>
      </c>
      <c r="Z146" s="13" t="s">
        <v>212</v>
      </c>
      <c r="AA146" s="13" t="s">
        <v>213</v>
      </c>
      <c r="AB146" s="13"/>
      <c r="AC146" s="17"/>
      <c r="AD146" s="13"/>
      <c r="AE146" s="19"/>
      <c r="AF146" s="19"/>
      <c r="AG146" s="19"/>
      <c r="AH146" s="13"/>
      <c r="AI146" s="17"/>
      <c r="AJ146" s="13" t="s">
        <v>188</v>
      </c>
      <c r="AK146" s="13" t="s">
        <v>188</v>
      </c>
      <c r="AL146" s="14" t="s">
        <v>194</v>
      </c>
      <c r="AM146" s="13" t="s">
        <v>195</v>
      </c>
      <c r="AN146" s="15" t="n">
        <v>15895</v>
      </c>
      <c r="AO146" s="13"/>
      <c r="AP146" s="13" t="s">
        <v>196</v>
      </c>
      <c r="AQ146" s="16" t="n">
        <f aca="false">IFERROR(IF(AND(INDEX(Mob_Demob!$D$6:$D$14,MATCH(AM146,Mob_Demob!$A$6:$A$14,0))="",INDEX(Mob_Demob!$G$6:$G$14,MATCH(AM146,Mob_Demob!$A$6:$A$14,0))=""),"",ROUND(MAX(N(INDEX(Mob_Demob!$G$6:$G$14,MATCH(AM146,Mob_Demob!$A$6:$A$14,0))),N(INDEX(Mob_Demob!$D$6:$D$14,MATCH(AM146,Mob_Demob!$A$6:$A$14,0)))*Settings!$B$6)+IF(AP146="Y",N(INDEX(Mob_Demob!$I$6:$I$14,MATCH(AM146,Mob_Demob!$A$6:$A$14,0)))*Settings!$B$19,0)+N(INDEX(Mob_Demob!$L$6:$L$14,MATCH(AM146,Mob_Demob!$A$6:$A$14,0)))*N(INDEX(Mob_Demob!$K$6:$K$14,MATCH(AM146,Mob_Demob!$A$6:$A$14,0)))*Settings!$B$6+N(INDEX(Mob_Demob!$M$6:$M$14,MATCH(AM146,Mob_Demob!$A$6:$A$14,0)))*N(INDEX(Mob_Demob!$N$6:$N$14,MATCH(AM146,Mob_Demob!$A$6:$A$14,0))),0)),"")</f>
        <v>500</v>
      </c>
      <c r="AR146" s="16" t="n">
        <f aca="false">IF(AQ146="","",ROUND(AQ146*Settings!$B$18,0))</f>
        <v>500</v>
      </c>
      <c r="AS146" s="13" t="s">
        <v>1215</v>
      </c>
      <c r="AT146" s="14" t="s">
        <v>1222</v>
      </c>
      <c r="AU146" s="14" t="s">
        <v>1054</v>
      </c>
    </row>
    <row r="147" customFormat="false" ht="64.15" hidden="false" customHeight="false" outlineLevel="0" collapsed="false">
      <c r="A147" s="11" t="s">
        <v>1223</v>
      </c>
      <c r="B147" s="11" t="s">
        <v>1157</v>
      </c>
      <c r="C147" s="11" t="s">
        <v>1210</v>
      </c>
      <c r="D147" s="11" t="s">
        <v>1224</v>
      </c>
      <c r="E147" s="12" t="s">
        <v>1225</v>
      </c>
      <c r="F147" s="13" t="s">
        <v>1195</v>
      </c>
      <c r="G147" s="13" t="n">
        <v>66</v>
      </c>
      <c r="H147" s="13" t="s">
        <v>1196</v>
      </c>
      <c r="I147" s="14" t="s">
        <v>1226</v>
      </c>
      <c r="J147" s="15" t="n">
        <v>16990</v>
      </c>
      <c r="K147" s="13"/>
      <c r="L147" s="13" t="s">
        <v>1221</v>
      </c>
      <c r="M147" s="13"/>
      <c r="N147" s="13" t="s">
        <v>184</v>
      </c>
      <c r="O147" s="13" t="s">
        <v>185</v>
      </c>
      <c r="P147" s="13" t="s">
        <v>186</v>
      </c>
      <c r="Q147" s="20" t="n">
        <v>729</v>
      </c>
      <c r="R147" s="20" t="n">
        <v>2135</v>
      </c>
      <c r="S147" s="20" t="n">
        <v>6259</v>
      </c>
      <c r="T147" s="20" t="n">
        <v>4005</v>
      </c>
      <c r="U147" s="20" t="n">
        <v>8512</v>
      </c>
      <c r="V147" s="13" t="s">
        <v>187</v>
      </c>
      <c r="W147" s="17"/>
      <c r="X147" s="13"/>
      <c r="Y147" s="13" t="s">
        <v>1146</v>
      </c>
      <c r="Z147" s="13" t="s">
        <v>212</v>
      </c>
      <c r="AA147" s="13" t="s">
        <v>213</v>
      </c>
      <c r="AB147" s="13"/>
      <c r="AC147" s="17"/>
      <c r="AD147" s="13"/>
      <c r="AE147" s="19"/>
      <c r="AF147" s="19"/>
      <c r="AG147" s="19"/>
      <c r="AH147" s="13"/>
      <c r="AI147" s="17"/>
      <c r="AJ147" s="13" t="s">
        <v>188</v>
      </c>
      <c r="AK147" s="13" t="s">
        <v>188</v>
      </c>
      <c r="AL147" s="14" t="s">
        <v>194</v>
      </c>
      <c r="AM147" s="13" t="s">
        <v>195</v>
      </c>
      <c r="AN147" s="15" t="n">
        <v>16990</v>
      </c>
      <c r="AO147" s="13"/>
      <c r="AP147" s="13" t="s">
        <v>196</v>
      </c>
      <c r="AQ147" s="16" t="n">
        <f aca="false">IFERROR(IF(AND(INDEX(Mob_Demob!$D$6:$D$14,MATCH(AM147,Mob_Demob!$A$6:$A$14,0))="",INDEX(Mob_Demob!$G$6:$G$14,MATCH(AM147,Mob_Demob!$A$6:$A$14,0))=""),"",ROUND(MAX(N(INDEX(Mob_Demob!$G$6:$G$14,MATCH(AM147,Mob_Demob!$A$6:$A$14,0))),N(INDEX(Mob_Demob!$D$6:$D$14,MATCH(AM147,Mob_Demob!$A$6:$A$14,0)))*Settings!$B$6)+IF(AP147="Y",N(INDEX(Mob_Demob!$I$6:$I$14,MATCH(AM147,Mob_Demob!$A$6:$A$14,0)))*Settings!$B$19,0)+N(INDEX(Mob_Demob!$L$6:$L$14,MATCH(AM147,Mob_Demob!$A$6:$A$14,0)))*N(INDEX(Mob_Demob!$K$6:$K$14,MATCH(AM147,Mob_Demob!$A$6:$A$14,0)))*Settings!$B$6+N(INDEX(Mob_Demob!$M$6:$M$14,MATCH(AM147,Mob_Demob!$A$6:$A$14,0)))*N(INDEX(Mob_Demob!$N$6:$N$14,MATCH(AM147,Mob_Demob!$A$6:$A$14,0))),0)),"")</f>
        <v>500</v>
      </c>
      <c r="AR147" s="16" t="n">
        <f aca="false">IF(AQ147="","",ROUND(AQ147*Settings!$B$18,0))</f>
        <v>500</v>
      </c>
      <c r="AS147" s="13" t="s">
        <v>1215</v>
      </c>
      <c r="AT147" s="14" t="s">
        <v>1227</v>
      </c>
      <c r="AU147" s="14" t="s">
        <v>262</v>
      </c>
    </row>
    <row r="148" customFormat="false" ht="64.15" hidden="false" customHeight="false" outlineLevel="0" collapsed="false">
      <c r="A148" s="11" t="s">
        <v>1228</v>
      </c>
      <c r="B148" s="11" t="s">
        <v>1157</v>
      </c>
      <c r="C148" s="11" t="s">
        <v>1210</v>
      </c>
      <c r="D148" s="11" t="s">
        <v>1229</v>
      </c>
      <c r="E148" s="12" t="s">
        <v>1230</v>
      </c>
      <c r="F148" s="13" t="s">
        <v>1195</v>
      </c>
      <c r="G148" s="13" t="n">
        <v>84</v>
      </c>
      <c r="H148" s="13" t="s">
        <v>1196</v>
      </c>
      <c r="I148" s="14" t="s">
        <v>1231</v>
      </c>
      <c r="J148" s="15" t="n">
        <v>23136</v>
      </c>
      <c r="K148" s="13"/>
      <c r="L148" s="13" t="s">
        <v>1232</v>
      </c>
      <c r="M148" s="13"/>
      <c r="N148" s="13" t="s">
        <v>184</v>
      </c>
      <c r="O148" s="13" t="s">
        <v>185</v>
      </c>
      <c r="P148" s="13" t="s">
        <v>186</v>
      </c>
      <c r="Q148" s="20" t="n">
        <v>700</v>
      </c>
      <c r="R148" s="20" t="n">
        <v>1988</v>
      </c>
      <c r="S148" s="20" t="n">
        <v>5083</v>
      </c>
      <c r="T148" s="20" t="n">
        <v>4500</v>
      </c>
      <c r="U148" s="20" t="n">
        <v>9910</v>
      </c>
      <c r="V148" s="13" t="s">
        <v>187</v>
      </c>
      <c r="W148" s="17"/>
      <c r="X148" s="13"/>
      <c r="Y148" s="13" t="s">
        <v>1233</v>
      </c>
      <c r="Z148" s="13" t="s">
        <v>212</v>
      </c>
      <c r="AA148" s="13" t="s">
        <v>213</v>
      </c>
      <c r="AB148" s="13"/>
      <c r="AC148" s="17"/>
      <c r="AD148" s="13"/>
      <c r="AE148" s="19"/>
      <c r="AF148" s="19" t="n">
        <v>2.91</v>
      </c>
      <c r="AG148" s="19"/>
      <c r="AH148" s="13" t="s">
        <v>1234</v>
      </c>
      <c r="AI148" s="17"/>
      <c r="AJ148" s="13" t="s">
        <v>188</v>
      </c>
      <c r="AK148" s="13" t="s">
        <v>188</v>
      </c>
      <c r="AL148" s="14" t="s">
        <v>194</v>
      </c>
      <c r="AM148" s="13" t="s">
        <v>216</v>
      </c>
      <c r="AN148" s="15" t="n">
        <v>23136</v>
      </c>
      <c r="AO148" s="13"/>
      <c r="AP148" s="13" t="s">
        <v>196</v>
      </c>
      <c r="AQ148" s="16" t="n">
        <f aca="false">IFERROR(IF(AND(INDEX(Mob_Demob!$D$6:$D$14,MATCH(AM148,Mob_Demob!$A$6:$A$14,0))="",INDEX(Mob_Demob!$G$6:$G$14,MATCH(AM148,Mob_Demob!$A$6:$A$14,0))=""),"",ROUND(MAX(N(INDEX(Mob_Demob!$G$6:$G$14,MATCH(AM148,Mob_Demob!$A$6:$A$14,0))),N(INDEX(Mob_Demob!$D$6:$D$14,MATCH(AM148,Mob_Demob!$A$6:$A$14,0)))*Settings!$B$6)+IF(AP148="Y",N(INDEX(Mob_Demob!$I$6:$I$14,MATCH(AM148,Mob_Demob!$A$6:$A$14,0)))*Settings!$B$19,0)+N(INDEX(Mob_Demob!$L$6:$L$14,MATCH(AM148,Mob_Demob!$A$6:$A$14,0)))*N(INDEX(Mob_Demob!$K$6:$K$14,MATCH(AM148,Mob_Demob!$A$6:$A$14,0)))*Settings!$B$6+N(INDEX(Mob_Demob!$M$6:$M$14,MATCH(AM148,Mob_Demob!$A$6:$A$14,0)))*N(INDEX(Mob_Demob!$N$6:$N$14,MATCH(AM148,Mob_Demob!$A$6:$A$14,0))),0)),"")</f>
        <v>550</v>
      </c>
      <c r="AR148" s="16" t="n">
        <f aca="false">IF(AQ148="","",ROUND(AQ148*Settings!$B$18,0))</f>
        <v>550</v>
      </c>
      <c r="AS148" s="13" t="s">
        <v>1235</v>
      </c>
      <c r="AT148" s="14" t="s">
        <v>1236</v>
      </c>
      <c r="AU148" s="14" t="s">
        <v>341</v>
      </c>
    </row>
    <row r="149" customFormat="false" ht="64.15" hidden="false" customHeight="false" outlineLevel="0" collapsed="false">
      <c r="A149" s="11" t="s">
        <v>1237</v>
      </c>
      <c r="B149" s="11" t="s">
        <v>1157</v>
      </c>
      <c r="C149" s="11" t="s">
        <v>1210</v>
      </c>
      <c r="D149" s="11" t="s">
        <v>1238</v>
      </c>
      <c r="E149" s="12" t="s">
        <v>1239</v>
      </c>
      <c r="F149" s="13" t="s">
        <v>1195</v>
      </c>
      <c r="G149" s="13" t="n">
        <v>84</v>
      </c>
      <c r="H149" s="13" t="s">
        <v>1196</v>
      </c>
      <c r="I149" s="14" t="s">
        <v>1240</v>
      </c>
      <c r="J149" s="15" t="n">
        <v>25707</v>
      </c>
      <c r="K149" s="13"/>
      <c r="L149" s="13" t="s">
        <v>1232</v>
      </c>
      <c r="M149" s="13"/>
      <c r="N149" s="13" t="s">
        <v>184</v>
      </c>
      <c r="O149" s="13" t="s">
        <v>185</v>
      </c>
      <c r="P149" s="13" t="s">
        <v>186</v>
      </c>
      <c r="Q149" s="20" t="n">
        <v>967</v>
      </c>
      <c r="R149" s="20" t="n">
        <v>2835</v>
      </c>
      <c r="S149" s="20" t="n">
        <v>8309</v>
      </c>
      <c r="T149" s="20" t="n">
        <v>5310</v>
      </c>
      <c r="U149" s="20" t="n">
        <v>11308</v>
      </c>
      <c r="V149" s="13" t="s">
        <v>187</v>
      </c>
      <c r="W149" s="17"/>
      <c r="X149" s="13"/>
      <c r="Y149" s="13" t="s">
        <v>1146</v>
      </c>
      <c r="Z149" s="13" t="s">
        <v>212</v>
      </c>
      <c r="AA149" s="13" t="s">
        <v>213</v>
      </c>
      <c r="AB149" s="13"/>
      <c r="AC149" s="17"/>
      <c r="AD149" s="13"/>
      <c r="AE149" s="19"/>
      <c r="AF149" s="19"/>
      <c r="AG149" s="19"/>
      <c r="AH149" s="13"/>
      <c r="AI149" s="17"/>
      <c r="AJ149" s="13" t="s">
        <v>188</v>
      </c>
      <c r="AK149" s="13" t="s">
        <v>188</v>
      </c>
      <c r="AL149" s="14" t="s">
        <v>194</v>
      </c>
      <c r="AM149" s="13" t="s">
        <v>216</v>
      </c>
      <c r="AN149" s="15" t="n">
        <v>25707</v>
      </c>
      <c r="AO149" s="13"/>
      <c r="AP149" s="13" t="s">
        <v>196</v>
      </c>
      <c r="AQ149" s="16" t="n">
        <f aca="false">IFERROR(IF(AND(INDEX(Mob_Demob!$D$6:$D$14,MATCH(AM149,Mob_Demob!$A$6:$A$14,0))="",INDEX(Mob_Demob!$G$6:$G$14,MATCH(AM149,Mob_Demob!$A$6:$A$14,0))=""),"",ROUND(MAX(N(INDEX(Mob_Demob!$G$6:$G$14,MATCH(AM149,Mob_Demob!$A$6:$A$14,0))),N(INDEX(Mob_Demob!$D$6:$D$14,MATCH(AM149,Mob_Demob!$A$6:$A$14,0)))*Settings!$B$6)+IF(AP149="Y",N(INDEX(Mob_Demob!$I$6:$I$14,MATCH(AM149,Mob_Demob!$A$6:$A$14,0)))*Settings!$B$19,0)+N(INDEX(Mob_Demob!$L$6:$L$14,MATCH(AM149,Mob_Demob!$A$6:$A$14,0)))*N(INDEX(Mob_Demob!$K$6:$K$14,MATCH(AM149,Mob_Demob!$A$6:$A$14,0)))*Settings!$B$6+N(INDEX(Mob_Demob!$M$6:$M$14,MATCH(AM149,Mob_Demob!$A$6:$A$14,0)))*N(INDEX(Mob_Demob!$N$6:$N$14,MATCH(AM149,Mob_Demob!$A$6:$A$14,0))),0)),"")</f>
        <v>550</v>
      </c>
      <c r="AR149" s="16" t="n">
        <f aca="false">IF(AQ149="","",ROUND(AQ149*Settings!$B$18,0))</f>
        <v>550</v>
      </c>
      <c r="AS149" s="13" t="s">
        <v>1235</v>
      </c>
      <c r="AT149" s="14" t="s">
        <v>1241</v>
      </c>
      <c r="AU149" s="14" t="s">
        <v>262</v>
      </c>
    </row>
    <row r="150" customFormat="false" ht="64.15" hidden="false" customHeight="false" outlineLevel="0" collapsed="false">
      <c r="A150" s="11" t="s">
        <v>1242</v>
      </c>
      <c r="B150" s="11" t="s">
        <v>1157</v>
      </c>
      <c r="C150" s="11" t="s">
        <v>1210</v>
      </c>
      <c r="D150" s="11" t="s">
        <v>1229</v>
      </c>
      <c r="E150" s="12" t="s">
        <v>1243</v>
      </c>
      <c r="F150" s="13" t="s">
        <v>1195</v>
      </c>
      <c r="G150" s="13" t="n">
        <v>84</v>
      </c>
      <c r="H150" s="13" t="s">
        <v>1196</v>
      </c>
      <c r="I150" s="14" t="s">
        <v>1244</v>
      </c>
      <c r="J150" s="15" t="n">
        <v>41641</v>
      </c>
      <c r="K150" s="13" t="n">
        <v>176</v>
      </c>
      <c r="L150" s="13" t="s">
        <v>1232</v>
      </c>
      <c r="M150" s="13"/>
      <c r="N150" s="13" t="s">
        <v>184</v>
      </c>
      <c r="O150" s="13" t="s">
        <v>185</v>
      </c>
      <c r="P150" s="13" t="s">
        <v>186</v>
      </c>
      <c r="Q150" s="20" t="n">
        <v>1284</v>
      </c>
      <c r="R150" s="20" t="n">
        <v>3724</v>
      </c>
      <c r="S150" s="20" t="n">
        <v>10799</v>
      </c>
      <c r="T150" s="16"/>
      <c r="U150" s="16"/>
      <c r="V150" s="13" t="s">
        <v>187</v>
      </c>
      <c r="W150" s="17"/>
      <c r="X150" s="13"/>
      <c r="Y150" s="13" t="s">
        <v>259</v>
      </c>
      <c r="Z150" s="13" t="s">
        <v>260</v>
      </c>
      <c r="AA150" s="13" t="s">
        <v>192</v>
      </c>
      <c r="AB150" s="13"/>
      <c r="AC150" s="17"/>
      <c r="AD150" s="13"/>
      <c r="AE150" s="19"/>
      <c r="AF150" s="19" t="n">
        <v>3.09</v>
      </c>
      <c r="AG150" s="19"/>
      <c r="AH150" s="13" t="s">
        <v>1245</v>
      </c>
      <c r="AI150" s="17"/>
      <c r="AJ150" s="13" t="s">
        <v>188</v>
      </c>
      <c r="AK150" s="13" t="s">
        <v>188</v>
      </c>
      <c r="AL150" s="14" t="s">
        <v>194</v>
      </c>
      <c r="AM150" s="13" t="s">
        <v>216</v>
      </c>
      <c r="AN150" s="15" t="n">
        <v>41641</v>
      </c>
      <c r="AO150" s="13"/>
      <c r="AP150" s="13" t="s">
        <v>196</v>
      </c>
      <c r="AQ150" s="16" t="n">
        <f aca="false">IFERROR(IF(AND(INDEX(Mob_Demob!$D$6:$D$14,MATCH(AM150,Mob_Demob!$A$6:$A$14,0))="",INDEX(Mob_Demob!$G$6:$G$14,MATCH(AM150,Mob_Demob!$A$6:$A$14,0))=""),"",ROUND(MAX(N(INDEX(Mob_Demob!$G$6:$G$14,MATCH(AM150,Mob_Demob!$A$6:$A$14,0))),N(INDEX(Mob_Demob!$D$6:$D$14,MATCH(AM150,Mob_Demob!$A$6:$A$14,0)))*Settings!$B$6)+IF(AP150="Y",N(INDEX(Mob_Demob!$I$6:$I$14,MATCH(AM150,Mob_Demob!$A$6:$A$14,0)))*Settings!$B$19,0)+N(INDEX(Mob_Demob!$L$6:$L$14,MATCH(AM150,Mob_Demob!$A$6:$A$14,0)))*N(INDEX(Mob_Demob!$K$6:$K$14,MATCH(AM150,Mob_Demob!$A$6:$A$14,0)))*Settings!$B$6+N(INDEX(Mob_Demob!$M$6:$M$14,MATCH(AM150,Mob_Demob!$A$6:$A$14,0)))*N(INDEX(Mob_Demob!$N$6:$N$14,MATCH(AM150,Mob_Demob!$A$6:$A$14,0))),0)),"")</f>
        <v>550</v>
      </c>
      <c r="AR150" s="16" t="n">
        <f aca="false">IF(AQ150="","",ROUND(AQ150*Settings!$B$18,0))</f>
        <v>550</v>
      </c>
      <c r="AS150" s="13" t="s">
        <v>1235</v>
      </c>
      <c r="AT150" s="14" t="s">
        <v>1246</v>
      </c>
      <c r="AU150" s="14" t="s">
        <v>341</v>
      </c>
    </row>
    <row r="151" customFormat="false" ht="64.15" hidden="false" customHeight="false" outlineLevel="0" collapsed="false">
      <c r="A151" s="11" t="s">
        <v>1247</v>
      </c>
      <c r="B151" s="11" t="s">
        <v>1157</v>
      </c>
      <c r="C151" s="11" t="s">
        <v>1210</v>
      </c>
      <c r="D151" s="11" t="s">
        <v>1248</v>
      </c>
      <c r="E151" s="12" t="s">
        <v>1249</v>
      </c>
      <c r="F151" s="13" t="s">
        <v>1195</v>
      </c>
      <c r="G151" s="13" t="n">
        <v>48</v>
      </c>
      <c r="H151" s="13" t="s">
        <v>1196</v>
      </c>
      <c r="I151" s="14" t="s">
        <v>1250</v>
      </c>
      <c r="J151" s="15"/>
      <c r="K151" s="13"/>
      <c r="L151" s="13"/>
      <c r="M151" s="13"/>
      <c r="N151" s="13" t="s">
        <v>184</v>
      </c>
      <c r="O151" s="13" t="s">
        <v>185</v>
      </c>
      <c r="P151" s="13" t="s">
        <v>186</v>
      </c>
      <c r="Q151" s="16"/>
      <c r="R151" s="16"/>
      <c r="S151" s="16"/>
      <c r="T151" s="16"/>
      <c r="U151" s="16"/>
      <c r="V151" s="13" t="s">
        <v>187</v>
      </c>
      <c r="W151" s="17"/>
      <c r="X151" s="13"/>
      <c r="Y151" s="13"/>
      <c r="Z151" s="13"/>
      <c r="AA151" s="13" t="s">
        <v>188</v>
      </c>
      <c r="AB151" s="13" t="s">
        <v>1251</v>
      </c>
      <c r="AC151" s="18" t="n">
        <v>94.55</v>
      </c>
      <c r="AD151" s="13" t="s">
        <v>190</v>
      </c>
      <c r="AE151" s="19"/>
      <c r="AF151" s="19"/>
      <c r="AG151" s="19"/>
      <c r="AH151" s="13"/>
      <c r="AI151" s="17" t="str">
        <f aca="false">IF(OR(AC151="",AF151="",Settings!$B$5=""),"",ROUND(AC151-AF151*Settings!$B$5,2))</f>
        <v/>
      </c>
      <c r="AJ151" s="13" t="s">
        <v>192</v>
      </c>
      <c r="AK151" s="13" t="s">
        <v>193</v>
      </c>
      <c r="AL151" s="14" t="s">
        <v>194</v>
      </c>
      <c r="AM151" s="13" t="s">
        <v>195</v>
      </c>
      <c r="AN151" s="15"/>
      <c r="AO151" s="13"/>
      <c r="AP151" s="13" t="s">
        <v>196</v>
      </c>
      <c r="AQ151" s="16" t="n">
        <f aca="false">IFERROR(IF(AND(INDEX(Mob_Demob!$D$6:$D$14,MATCH(AM151,Mob_Demob!$A$6:$A$14,0))="",INDEX(Mob_Demob!$G$6:$G$14,MATCH(AM151,Mob_Demob!$A$6:$A$14,0))=""),"",ROUND(MAX(N(INDEX(Mob_Demob!$G$6:$G$14,MATCH(AM151,Mob_Demob!$A$6:$A$14,0))),N(INDEX(Mob_Demob!$D$6:$D$14,MATCH(AM151,Mob_Demob!$A$6:$A$14,0)))*Settings!$B$6)+IF(AP151="Y",N(INDEX(Mob_Demob!$I$6:$I$14,MATCH(AM151,Mob_Demob!$A$6:$A$14,0)))*Settings!$B$19,0)+N(INDEX(Mob_Demob!$L$6:$L$14,MATCH(AM151,Mob_Demob!$A$6:$A$14,0)))*N(INDEX(Mob_Demob!$K$6:$K$14,MATCH(AM151,Mob_Demob!$A$6:$A$14,0)))*Settings!$B$6+N(INDEX(Mob_Demob!$M$6:$M$14,MATCH(AM151,Mob_Demob!$A$6:$A$14,0)))*N(INDEX(Mob_Demob!$N$6:$N$14,MATCH(AM151,Mob_Demob!$A$6:$A$14,0))),0)),"")</f>
        <v>500</v>
      </c>
      <c r="AR151" s="16" t="n">
        <f aca="false">IF(AQ151="","",ROUND(AQ151*Settings!$B$18,0))</f>
        <v>500</v>
      </c>
      <c r="AS151" s="13" t="s">
        <v>1252</v>
      </c>
      <c r="AT151" s="14" t="s">
        <v>1253</v>
      </c>
      <c r="AU151" s="14" t="s">
        <v>1254</v>
      </c>
    </row>
    <row r="152" customFormat="false" ht="64.15" hidden="false" customHeight="false" outlineLevel="0" collapsed="false">
      <c r="A152" s="11" t="s">
        <v>1255</v>
      </c>
      <c r="B152" s="11" t="s">
        <v>1157</v>
      </c>
      <c r="C152" s="11" t="s">
        <v>1210</v>
      </c>
      <c r="D152" s="11" t="s">
        <v>1256</v>
      </c>
      <c r="E152" s="12" t="s">
        <v>1257</v>
      </c>
      <c r="F152" s="13" t="s">
        <v>1195</v>
      </c>
      <c r="G152" s="13" t="n">
        <v>51</v>
      </c>
      <c r="H152" s="13" t="s">
        <v>1196</v>
      </c>
      <c r="I152" s="14" t="s">
        <v>1258</v>
      </c>
      <c r="J152" s="15"/>
      <c r="K152" s="13" t="n">
        <v>145</v>
      </c>
      <c r="L152" s="13" t="s">
        <v>1259</v>
      </c>
      <c r="M152" s="13"/>
      <c r="N152" s="13" t="s">
        <v>184</v>
      </c>
      <c r="O152" s="13" t="s">
        <v>185</v>
      </c>
      <c r="P152" s="13" t="s">
        <v>186</v>
      </c>
      <c r="Q152" s="16"/>
      <c r="R152" s="16"/>
      <c r="S152" s="16"/>
      <c r="T152" s="16"/>
      <c r="U152" s="16"/>
      <c r="V152" s="13" t="s">
        <v>187</v>
      </c>
      <c r="W152" s="17"/>
      <c r="X152" s="13"/>
      <c r="Y152" s="13"/>
      <c r="Z152" s="13"/>
      <c r="AA152" s="13" t="s">
        <v>188</v>
      </c>
      <c r="AB152" s="13" t="s">
        <v>1260</v>
      </c>
      <c r="AC152" s="18" t="n">
        <v>124.72</v>
      </c>
      <c r="AD152" s="13" t="s">
        <v>190</v>
      </c>
      <c r="AE152" s="19" t="n">
        <f aca="false">ROUND(K152*Settings!$B$11*Settings!$B$13,2)</f>
        <v>2.47</v>
      </c>
      <c r="AF152" s="19" t="n">
        <f aca="false">ROUND(K152*Settings!$B$11*Settings!$B$14,2)</f>
        <v>3.24</v>
      </c>
      <c r="AG152" s="19" t="n">
        <f aca="false">ROUND(K152*Settings!$B$11*Settings!$B$15,2)</f>
        <v>4.23</v>
      </c>
      <c r="AH152" s="13" t="s">
        <v>191</v>
      </c>
      <c r="AI152" s="17" t="n">
        <f aca="false">IF(OR(AC152="",AF152="",Settings!$B$5=""),"",ROUND(AC152-AF152*Settings!$B$5,2))</f>
        <v>112.86</v>
      </c>
      <c r="AJ152" s="13" t="s">
        <v>192</v>
      </c>
      <c r="AK152" s="13" t="s">
        <v>193</v>
      </c>
      <c r="AL152" s="14" t="s">
        <v>194</v>
      </c>
      <c r="AM152" s="13" t="s">
        <v>216</v>
      </c>
      <c r="AN152" s="15"/>
      <c r="AO152" s="13"/>
      <c r="AP152" s="13" t="s">
        <v>241</v>
      </c>
      <c r="AQ152" s="16" t="n">
        <f aca="false">IFERROR(IF(AND(INDEX(Mob_Demob!$D$6:$D$14,MATCH(AM152,Mob_Demob!$A$6:$A$14,0))="",INDEX(Mob_Demob!$G$6:$G$14,MATCH(AM152,Mob_Demob!$A$6:$A$14,0))=""),"",ROUND(MAX(N(INDEX(Mob_Demob!$G$6:$G$14,MATCH(AM152,Mob_Demob!$A$6:$A$14,0))),N(INDEX(Mob_Demob!$D$6:$D$14,MATCH(AM152,Mob_Demob!$A$6:$A$14,0)))*Settings!$B$6)+IF(AP152="Y",N(INDEX(Mob_Demob!$I$6:$I$14,MATCH(AM152,Mob_Demob!$A$6:$A$14,0)))*Settings!$B$19,0)+N(INDEX(Mob_Demob!$L$6:$L$14,MATCH(AM152,Mob_Demob!$A$6:$A$14,0)))*N(INDEX(Mob_Demob!$K$6:$K$14,MATCH(AM152,Mob_Demob!$A$6:$A$14,0)))*Settings!$B$6+N(INDEX(Mob_Demob!$M$6:$M$14,MATCH(AM152,Mob_Demob!$A$6:$A$14,0)))*N(INDEX(Mob_Demob!$N$6:$N$14,MATCH(AM152,Mob_Demob!$A$6:$A$14,0))),0)),"")</f>
        <v>550</v>
      </c>
      <c r="AR152" s="16" t="n">
        <f aca="false">IF(AQ152="","",ROUND(AQ152*Settings!$B$18,0))</f>
        <v>550</v>
      </c>
      <c r="AS152" s="13" t="s">
        <v>1215</v>
      </c>
      <c r="AT152" s="14" t="s">
        <v>315</v>
      </c>
      <c r="AU152" s="14" t="s">
        <v>199</v>
      </c>
    </row>
    <row r="153" customFormat="false" ht="64.15" hidden="false" customHeight="false" outlineLevel="0" collapsed="false">
      <c r="A153" s="11" t="s">
        <v>1261</v>
      </c>
      <c r="B153" s="11" t="s">
        <v>1157</v>
      </c>
      <c r="C153" s="11" t="s">
        <v>1262</v>
      </c>
      <c r="D153" s="11" t="s">
        <v>1263</v>
      </c>
      <c r="E153" s="12" t="s">
        <v>1264</v>
      </c>
      <c r="F153" s="13" t="s">
        <v>180</v>
      </c>
      <c r="G153" s="13" t="n">
        <v>249</v>
      </c>
      <c r="H153" s="13" t="s">
        <v>181</v>
      </c>
      <c r="I153" s="14" t="s">
        <v>1265</v>
      </c>
      <c r="J153" s="15"/>
      <c r="K153" s="13" t="n">
        <v>249</v>
      </c>
      <c r="L153" s="13"/>
      <c r="M153" s="13"/>
      <c r="N153" s="13" t="s">
        <v>184</v>
      </c>
      <c r="O153" s="13" t="s">
        <v>185</v>
      </c>
      <c r="P153" s="13" t="s">
        <v>186</v>
      </c>
      <c r="Q153" s="20" t="n">
        <v>2629</v>
      </c>
      <c r="R153" s="20" t="n">
        <v>7623</v>
      </c>
      <c r="S153" s="20" t="n">
        <v>22107</v>
      </c>
      <c r="T153" s="16"/>
      <c r="U153" s="16"/>
      <c r="V153" s="13" t="s">
        <v>187</v>
      </c>
      <c r="W153" s="17"/>
      <c r="X153" s="13"/>
      <c r="Y153" s="13" t="s">
        <v>259</v>
      </c>
      <c r="Z153" s="13" t="s">
        <v>260</v>
      </c>
      <c r="AA153" s="13" t="s">
        <v>192</v>
      </c>
      <c r="AB153" s="13"/>
      <c r="AC153" s="17"/>
      <c r="AD153" s="13"/>
      <c r="AE153" s="19" t="n">
        <v>5.17</v>
      </c>
      <c r="AF153" s="19" t="n">
        <v>6.84</v>
      </c>
      <c r="AG153" s="19" t="n">
        <v>8.51</v>
      </c>
      <c r="AH153" s="13" t="s">
        <v>1266</v>
      </c>
      <c r="AI153" s="17"/>
      <c r="AJ153" s="13" t="s">
        <v>188</v>
      </c>
      <c r="AK153" s="13" t="s">
        <v>188</v>
      </c>
      <c r="AL153" s="14" t="s">
        <v>194</v>
      </c>
      <c r="AM153" s="13" t="s">
        <v>268</v>
      </c>
      <c r="AN153" s="15"/>
      <c r="AO153" s="13"/>
      <c r="AP153" s="13" t="s">
        <v>269</v>
      </c>
      <c r="AQ153" s="16" t="n">
        <f aca="false">IFERROR(IF(AND(INDEX(Mob_Demob!$D$6:$D$14,MATCH(AM153,Mob_Demob!$A$6:$A$14,0))="",INDEX(Mob_Demob!$G$6:$G$14,MATCH(AM153,Mob_Demob!$A$6:$A$14,0))=""),"",ROUND(MAX(N(INDEX(Mob_Demob!$G$6:$G$14,MATCH(AM153,Mob_Demob!$A$6:$A$14,0))),N(INDEX(Mob_Demob!$D$6:$D$14,MATCH(AM153,Mob_Demob!$A$6:$A$14,0)))*Settings!$B$6)+IF(AP153="Y",N(INDEX(Mob_Demob!$I$6:$I$14,MATCH(AM153,Mob_Demob!$A$6:$A$14,0)))*Settings!$B$19,0)+N(INDEX(Mob_Demob!$L$6:$L$14,MATCH(AM153,Mob_Demob!$A$6:$A$14,0)))*N(INDEX(Mob_Demob!$K$6:$K$14,MATCH(AM153,Mob_Demob!$A$6:$A$14,0)))*Settings!$B$6+N(INDEX(Mob_Demob!$M$6:$M$14,MATCH(AM153,Mob_Demob!$A$6:$A$14,0)))*N(INDEX(Mob_Demob!$N$6:$N$14,MATCH(AM153,Mob_Demob!$A$6:$A$14,0))),0)),"")</f>
        <v>1800</v>
      </c>
      <c r="AR153" s="16" t="n">
        <f aca="false">IF(AQ153="","",ROUND(AQ153*Settings!$B$18,0))</f>
        <v>1800</v>
      </c>
      <c r="AS153" s="13" t="s">
        <v>1267</v>
      </c>
      <c r="AT153" s="14" t="s">
        <v>1268</v>
      </c>
      <c r="AU153" s="14" t="s">
        <v>341</v>
      </c>
    </row>
    <row r="154" customFormat="false" ht="64.15" hidden="false" customHeight="false" outlineLevel="0" collapsed="false">
      <c r="A154" s="11" t="s">
        <v>1269</v>
      </c>
      <c r="B154" s="11" t="s">
        <v>1157</v>
      </c>
      <c r="C154" s="11" t="s">
        <v>1262</v>
      </c>
      <c r="D154" s="11" t="s">
        <v>1263</v>
      </c>
      <c r="E154" s="12" t="s">
        <v>1270</v>
      </c>
      <c r="F154" s="13" t="s">
        <v>180</v>
      </c>
      <c r="G154" s="13" t="n">
        <v>405</v>
      </c>
      <c r="H154" s="13" t="s">
        <v>181</v>
      </c>
      <c r="I154" s="14" t="s">
        <v>1271</v>
      </c>
      <c r="J154" s="15"/>
      <c r="K154" s="13" t="n">
        <v>405</v>
      </c>
      <c r="L154" s="13"/>
      <c r="M154" s="13"/>
      <c r="N154" s="13" t="s">
        <v>184</v>
      </c>
      <c r="O154" s="13" t="s">
        <v>185</v>
      </c>
      <c r="P154" s="13" t="s">
        <v>186</v>
      </c>
      <c r="Q154" s="20" t="n">
        <v>4034</v>
      </c>
      <c r="R154" s="20" t="n">
        <v>11697</v>
      </c>
      <c r="S154" s="20" t="n">
        <v>33922</v>
      </c>
      <c r="T154" s="16"/>
      <c r="U154" s="16"/>
      <c r="V154" s="13" t="s">
        <v>187</v>
      </c>
      <c r="W154" s="17"/>
      <c r="X154" s="13"/>
      <c r="Y154" s="13" t="s">
        <v>259</v>
      </c>
      <c r="Z154" s="13" t="s">
        <v>260</v>
      </c>
      <c r="AA154" s="13" t="s">
        <v>192</v>
      </c>
      <c r="AB154" s="13"/>
      <c r="AC154" s="17"/>
      <c r="AD154" s="13"/>
      <c r="AE154" s="19" t="n">
        <v>7.76</v>
      </c>
      <c r="AF154" s="19" t="n">
        <v>10.06</v>
      </c>
      <c r="AG154" s="19" t="n">
        <v>12.37</v>
      </c>
      <c r="AH154" s="13" t="s">
        <v>1272</v>
      </c>
      <c r="AI154" s="17"/>
      <c r="AJ154" s="13" t="s">
        <v>188</v>
      </c>
      <c r="AK154" s="13" t="s">
        <v>188</v>
      </c>
      <c r="AL154" s="14" t="s">
        <v>194</v>
      </c>
      <c r="AM154" s="13" t="s">
        <v>268</v>
      </c>
      <c r="AN154" s="15"/>
      <c r="AO154" s="13"/>
      <c r="AP154" s="13" t="s">
        <v>269</v>
      </c>
      <c r="AQ154" s="16" t="n">
        <f aca="false">IFERROR(IF(AND(INDEX(Mob_Demob!$D$6:$D$14,MATCH(AM154,Mob_Demob!$A$6:$A$14,0))="",INDEX(Mob_Demob!$G$6:$G$14,MATCH(AM154,Mob_Demob!$A$6:$A$14,0))=""),"",ROUND(MAX(N(INDEX(Mob_Demob!$G$6:$G$14,MATCH(AM154,Mob_Demob!$A$6:$A$14,0))),N(INDEX(Mob_Demob!$D$6:$D$14,MATCH(AM154,Mob_Demob!$A$6:$A$14,0)))*Settings!$B$6)+IF(AP154="Y",N(INDEX(Mob_Demob!$I$6:$I$14,MATCH(AM154,Mob_Demob!$A$6:$A$14,0)))*Settings!$B$19,0)+N(INDEX(Mob_Demob!$L$6:$L$14,MATCH(AM154,Mob_Demob!$A$6:$A$14,0)))*N(INDEX(Mob_Demob!$K$6:$K$14,MATCH(AM154,Mob_Demob!$A$6:$A$14,0)))*Settings!$B$6+N(INDEX(Mob_Demob!$M$6:$M$14,MATCH(AM154,Mob_Demob!$A$6:$A$14,0)))*N(INDEX(Mob_Demob!$N$6:$N$14,MATCH(AM154,Mob_Demob!$A$6:$A$14,0))),0)),"")</f>
        <v>1800</v>
      </c>
      <c r="AR154" s="16" t="n">
        <f aca="false">IF(AQ154="","",ROUND(AQ154*Settings!$B$18,0))</f>
        <v>1800</v>
      </c>
      <c r="AS154" s="13" t="s">
        <v>1267</v>
      </c>
      <c r="AT154" s="14" t="s">
        <v>1268</v>
      </c>
      <c r="AU154" s="14" t="s">
        <v>341</v>
      </c>
    </row>
    <row r="155" customFormat="false" ht="64.15" hidden="false" customHeight="false" outlineLevel="0" collapsed="false">
      <c r="A155" s="11" t="s">
        <v>1273</v>
      </c>
      <c r="B155" s="11" t="s">
        <v>1157</v>
      </c>
      <c r="C155" s="11" t="s">
        <v>1274</v>
      </c>
      <c r="D155" s="11" t="s">
        <v>1275</v>
      </c>
      <c r="E155" s="12" t="s">
        <v>1276</v>
      </c>
      <c r="F155" s="13" t="s">
        <v>180</v>
      </c>
      <c r="G155" s="13" t="n">
        <v>249</v>
      </c>
      <c r="H155" s="13" t="s">
        <v>181</v>
      </c>
      <c r="I155" s="14" t="s">
        <v>1277</v>
      </c>
      <c r="J155" s="15"/>
      <c r="K155" s="13" t="n">
        <v>249</v>
      </c>
      <c r="L155" s="13"/>
      <c r="M155" s="13"/>
      <c r="N155" s="13" t="s">
        <v>184</v>
      </c>
      <c r="O155" s="13" t="s">
        <v>185</v>
      </c>
      <c r="P155" s="13" t="s">
        <v>186</v>
      </c>
      <c r="Q155" s="16"/>
      <c r="R155" s="16"/>
      <c r="S155" s="16"/>
      <c r="T155" s="16"/>
      <c r="U155" s="16"/>
      <c r="V155" s="13" t="s">
        <v>187</v>
      </c>
      <c r="W155" s="17"/>
      <c r="X155" s="13"/>
      <c r="Y155" s="13"/>
      <c r="Z155" s="13"/>
      <c r="AA155" s="13" t="s">
        <v>188</v>
      </c>
      <c r="AB155" s="13" t="s">
        <v>1278</v>
      </c>
      <c r="AC155" s="18" t="n">
        <v>197.35</v>
      </c>
      <c r="AD155" s="13" t="s">
        <v>190</v>
      </c>
      <c r="AE155" s="19" t="n">
        <f aca="false">ROUND(K155*Settings!$B$11*Settings!$B$13,2)</f>
        <v>4.24</v>
      </c>
      <c r="AF155" s="19" t="n">
        <f aca="false">ROUND(K155*Settings!$B$11*Settings!$B$14,2)</f>
        <v>5.57</v>
      </c>
      <c r="AG155" s="19" t="n">
        <f aca="false">ROUND(K155*Settings!$B$11*Settings!$B$15,2)</f>
        <v>7.26</v>
      </c>
      <c r="AH155" s="13" t="s">
        <v>191</v>
      </c>
      <c r="AI155" s="17" t="n">
        <f aca="false">IF(OR(AC155="",AF155="",Settings!$B$5=""),"",ROUND(AC155-AF155*Settings!$B$5,2))</f>
        <v>176.96</v>
      </c>
      <c r="AJ155" s="13" t="s">
        <v>192</v>
      </c>
      <c r="AK155" s="13" t="s">
        <v>193</v>
      </c>
      <c r="AL155" s="14" t="s">
        <v>194</v>
      </c>
      <c r="AM155" s="13" t="s">
        <v>268</v>
      </c>
      <c r="AN155" s="15"/>
      <c r="AO155" s="13"/>
      <c r="AP155" s="13" t="s">
        <v>269</v>
      </c>
      <c r="AQ155" s="16" t="n">
        <f aca="false">IFERROR(IF(AND(INDEX(Mob_Demob!$D$6:$D$14,MATCH(AM155,Mob_Demob!$A$6:$A$14,0))="",INDEX(Mob_Demob!$G$6:$G$14,MATCH(AM155,Mob_Demob!$A$6:$A$14,0))=""),"",ROUND(MAX(N(INDEX(Mob_Demob!$G$6:$G$14,MATCH(AM155,Mob_Demob!$A$6:$A$14,0))),N(INDEX(Mob_Demob!$D$6:$D$14,MATCH(AM155,Mob_Demob!$A$6:$A$14,0)))*Settings!$B$6)+IF(AP155="Y",N(INDEX(Mob_Demob!$I$6:$I$14,MATCH(AM155,Mob_Demob!$A$6:$A$14,0)))*Settings!$B$19,0)+N(INDEX(Mob_Demob!$L$6:$L$14,MATCH(AM155,Mob_Demob!$A$6:$A$14,0)))*N(INDEX(Mob_Demob!$K$6:$K$14,MATCH(AM155,Mob_Demob!$A$6:$A$14,0)))*Settings!$B$6+N(INDEX(Mob_Demob!$M$6:$M$14,MATCH(AM155,Mob_Demob!$A$6:$A$14,0)))*N(INDEX(Mob_Demob!$N$6:$N$14,MATCH(AM155,Mob_Demob!$A$6:$A$14,0))),0)),"")</f>
        <v>1800</v>
      </c>
      <c r="AR155" s="16" t="n">
        <f aca="false">IF(AQ155="","",ROUND(AQ155*Settings!$B$18,0))</f>
        <v>1800</v>
      </c>
      <c r="AS155" s="13"/>
      <c r="AT155" s="14" t="s">
        <v>1279</v>
      </c>
      <c r="AU155" s="14" t="s">
        <v>199</v>
      </c>
    </row>
    <row r="156" customFormat="false" ht="64.15" hidden="false" customHeight="false" outlineLevel="0" collapsed="false">
      <c r="A156" s="11" t="s">
        <v>1280</v>
      </c>
      <c r="B156" s="11" t="s">
        <v>1157</v>
      </c>
      <c r="C156" s="11" t="s">
        <v>1274</v>
      </c>
      <c r="D156" s="11" t="s">
        <v>1275</v>
      </c>
      <c r="E156" s="12" t="s">
        <v>1281</v>
      </c>
      <c r="F156" s="13" t="s">
        <v>180</v>
      </c>
      <c r="G156" s="13" t="n">
        <v>405</v>
      </c>
      <c r="H156" s="13" t="s">
        <v>181</v>
      </c>
      <c r="I156" s="14" t="s">
        <v>1282</v>
      </c>
      <c r="J156" s="15"/>
      <c r="K156" s="13" t="n">
        <v>405</v>
      </c>
      <c r="L156" s="13"/>
      <c r="M156" s="13"/>
      <c r="N156" s="13" t="s">
        <v>184</v>
      </c>
      <c r="O156" s="13" t="s">
        <v>185</v>
      </c>
      <c r="P156" s="13" t="s">
        <v>186</v>
      </c>
      <c r="Q156" s="16"/>
      <c r="R156" s="16"/>
      <c r="S156" s="16"/>
      <c r="T156" s="16"/>
      <c r="U156" s="16"/>
      <c r="V156" s="13" t="s">
        <v>187</v>
      </c>
      <c r="W156" s="17"/>
      <c r="X156" s="13"/>
      <c r="Y156" s="13"/>
      <c r="Z156" s="13"/>
      <c r="AA156" s="13" t="s">
        <v>188</v>
      </c>
      <c r="AB156" s="13" t="s">
        <v>1283</v>
      </c>
      <c r="AC156" s="18" t="n">
        <v>243.88</v>
      </c>
      <c r="AD156" s="13" t="s">
        <v>190</v>
      </c>
      <c r="AE156" s="19" t="n">
        <f aca="false">ROUND(K156*Settings!$B$11*Settings!$B$13,2)</f>
        <v>6.89</v>
      </c>
      <c r="AF156" s="19" t="n">
        <f aca="false">ROUND(K156*Settings!$B$11*Settings!$B$14,2)</f>
        <v>9.05</v>
      </c>
      <c r="AG156" s="19" t="n">
        <f aca="false">ROUND(K156*Settings!$B$11*Settings!$B$15,2)</f>
        <v>11.81</v>
      </c>
      <c r="AH156" s="13" t="s">
        <v>191</v>
      </c>
      <c r="AI156" s="17" t="n">
        <f aca="false">IF(OR(AC156="",AF156="",Settings!$B$5=""),"",ROUND(AC156-AF156*Settings!$B$5,2))</f>
        <v>210.76</v>
      </c>
      <c r="AJ156" s="13" t="s">
        <v>192</v>
      </c>
      <c r="AK156" s="13" t="s">
        <v>193</v>
      </c>
      <c r="AL156" s="14" t="s">
        <v>194</v>
      </c>
      <c r="AM156" s="13" t="s">
        <v>268</v>
      </c>
      <c r="AN156" s="15"/>
      <c r="AO156" s="13"/>
      <c r="AP156" s="13" t="s">
        <v>269</v>
      </c>
      <c r="AQ156" s="16" t="n">
        <f aca="false">IFERROR(IF(AND(INDEX(Mob_Demob!$D$6:$D$14,MATCH(AM156,Mob_Demob!$A$6:$A$14,0))="",INDEX(Mob_Demob!$G$6:$G$14,MATCH(AM156,Mob_Demob!$A$6:$A$14,0))=""),"",ROUND(MAX(N(INDEX(Mob_Demob!$G$6:$G$14,MATCH(AM156,Mob_Demob!$A$6:$A$14,0))),N(INDEX(Mob_Demob!$D$6:$D$14,MATCH(AM156,Mob_Demob!$A$6:$A$14,0)))*Settings!$B$6)+IF(AP156="Y",N(INDEX(Mob_Demob!$I$6:$I$14,MATCH(AM156,Mob_Demob!$A$6:$A$14,0)))*Settings!$B$19,0)+N(INDEX(Mob_Demob!$L$6:$L$14,MATCH(AM156,Mob_Demob!$A$6:$A$14,0)))*N(INDEX(Mob_Demob!$K$6:$K$14,MATCH(AM156,Mob_Demob!$A$6:$A$14,0)))*Settings!$B$6+N(INDEX(Mob_Demob!$M$6:$M$14,MATCH(AM156,Mob_Demob!$A$6:$A$14,0)))*N(INDEX(Mob_Demob!$N$6:$N$14,MATCH(AM156,Mob_Demob!$A$6:$A$14,0))),0)),"")</f>
        <v>1800</v>
      </c>
      <c r="AR156" s="16" t="n">
        <f aca="false">IF(AQ156="","",ROUND(AQ156*Settings!$B$18,0))</f>
        <v>1800</v>
      </c>
      <c r="AS156" s="13"/>
      <c r="AT156" s="14" t="s">
        <v>1279</v>
      </c>
      <c r="AU156" s="14" t="s">
        <v>199</v>
      </c>
    </row>
    <row r="157" customFormat="false" ht="64.15" hidden="false" customHeight="false" outlineLevel="0" collapsed="false">
      <c r="A157" s="11" t="s">
        <v>1284</v>
      </c>
      <c r="B157" s="11" t="s">
        <v>1157</v>
      </c>
      <c r="C157" s="11" t="s">
        <v>1274</v>
      </c>
      <c r="D157" s="11" t="s">
        <v>1275</v>
      </c>
      <c r="E157" s="12" t="s">
        <v>1285</v>
      </c>
      <c r="F157" s="13" t="s">
        <v>180</v>
      </c>
      <c r="G157" s="13" t="n">
        <v>496</v>
      </c>
      <c r="H157" s="13" t="s">
        <v>181</v>
      </c>
      <c r="I157" s="14" t="s">
        <v>1286</v>
      </c>
      <c r="J157" s="15"/>
      <c r="K157" s="13" t="n">
        <v>496</v>
      </c>
      <c r="L157" s="13"/>
      <c r="M157" s="13"/>
      <c r="N157" s="13" t="s">
        <v>184</v>
      </c>
      <c r="O157" s="13" t="s">
        <v>185</v>
      </c>
      <c r="P157" s="13" t="s">
        <v>186</v>
      </c>
      <c r="Q157" s="16"/>
      <c r="R157" s="16"/>
      <c r="S157" s="16"/>
      <c r="T157" s="16"/>
      <c r="U157" s="16"/>
      <c r="V157" s="13" t="s">
        <v>187</v>
      </c>
      <c r="W157" s="17"/>
      <c r="X157" s="13"/>
      <c r="Y157" s="13"/>
      <c r="Z157" s="13"/>
      <c r="AA157" s="13" t="s">
        <v>188</v>
      </c>
      <c r="AB157" s="13" t="s">
        <v>1287</v>
      </c>
      <c r="AC157" s="18" t="n">
        <v>400.69</v>
      </c>
      <c r="AD157" s="13" t="s">
        <v>190</v>
      </c>
      <c r="AE157" s="19" t="n">
        <f aca="false">ROUND(K157*Settings!$B$11*Settings!$B$13,2)</f>
        <v>8.44</v>
      </c>
      <c r="AF157" s="19" t="n">
        <f aca="false">ROUND(K157*Settings!$B$11*Settings!$B$14,2)</f>
        <v>11.09</v>
      </c>
      <c r="AG157" s="19" t="n">
        <f aca="false">ROUND(K157*Settings!$B$11*Settings!$B$15,2)</f>
        <v>14.46</v>
      </c>
      <c r="AH157" s="13" t="s">
        <v>191</v>
      </c>
      <c r="AI157" s="17" t="n">
        <f aca="false">IF(OR(AC157="",AF157="",Settings!$B$5=""),"",ROUND(AC157-AF157*Settings!$B$5,2))</f>
        <v>360.1</v>
      </c>
      <c r="AJ157" s="13" t="s">
        <v>192</v>
      </c>
      <c r="AK157" s="13" t="s">
        <v>193</v>
      </c>
      <c r="AL157" s="14" t="s">
        <v>194</v>
      </c>
      <c r="AM157" s="13" t="s">
        <v>268</v>
      </c>
      <c r="AN157" s="15"/>
      <c r="AO157" s="13"/>
      <c r="AP157" s="13" t="s">
        <v>269</v>
      </c>
      <c r="AQ157" s="16" t="n">
        <f aca="false">IFERROR(IF(AND(INDEX(Mob_Demob!$D$6:$D$14,MATCH(AM157,Mob_Demob!$A$6:$A$14,0))="",INDEX(Mob_Demob!$G$6:$G$14,MATCH(AM157,Mob_Demob!$A$6:$A$14,0))=""),"",ROUND(MAX(N(INDEX(Mob_Demob!$G$6:$G$14,MATCH(AM157,Mob_Demob!$A$6:$A$14,0))),N(INDEX(Mob_Demob!$D$6:$D$14,MATCH(AM157,Mob_Demob!$A$6:$A$14,0)))*Settings!$B$6)+IF(AP157="Y",N(INDEX(Mob_Demob!$I$6:$I$14,MATCH(AM157,Mob_Demob!$A$6:$A$14,0)))*Settings!$B$19,0)+N(INDEX(Mob_Demob!$L$6:$L$14,MATCH(AM157,Mob_Demob!$A$6:$A$14,0)))*N(INDEX(Mob_Demob!$K$6:$K$14,MATCH(AM157,Mob_Demob!$A$6:$A$14,0)))*Settings!$B$6+N(INDEX(Mob_Demob!$M$6:$M$14,MATCH(AM157,Mob_Demob!$A$6:$A$14,0)))*N(INDEX(Mob_Demob!$N$6:$N$14,MATCH(AM157,Mob_Demob!$A$6:$A$14,0))),0)),"")</f>
        <v>1800</v>
      </c>
      <c r="AR157" s="16" t="n">
        <f aca="false">IF(AQ157="","",ROUND(AQ157*Settings!$B$18,0))</f>
        <v>1800</v>
      </c>
      <c r="AS157" s="13"/>
      <c r="AT157" s="14" t="s">
        <v>1279</v>
      </c>
      <c r="AU157" s="14" t="s">
        <v>199</v>
      </c>
    </row>
    <row r="158" customFormat="false" ht="64.15" hidden="false" customHeight="false" outlineLevel="0" collapsed="false">
      <c r="A158" s="21" t="s">
        <v>1288</v>
      </c>
      <c r="B158" s="21" t="s">
        <v>1289</v>
      </c>
      <c r="C158" s="21" t="s">
        <v>1290</v>
      </c>
      <c r="D158" s="21" t="s">
        <v>1291</v>
      </c>
      <c r="E158" s="22" t="s">
        <v>1292</v>
      </c>
      <c r="F158" s="13" t="s">
        <v>1195</v>
      </c>
      <c r="G158" s="13" t="n">
        <v>47</v>
      </c>
      <c r="H158" s="13" t="s">
        <v>1196</v>
      </c>
      <c r="I158" s="14" t="s">
        <v>1293</v>
      </c>
      <c r="J158" s="15" t="n">
        <v>3538</v>
      </c>
      <c r="K158" s="13"/>
      <c r="L158" s="13" t="s">
        <v>1294</v>
      </c>
      <c r="M158" s="13"/>
      <c r="N158" s="13" t="s">
        <v>184</v>
      </c>
      <c r="O158" s="13" t="s">
        <v>1295</v>
      </c>
      <c r="P158" s="13" t="s">
        <v>186</v>
      </c>
      <c r="Q158" s="20" t="n">
        <v>299</v>
      </c>
      <c r="R158" s="20" t="n">
        <v>796</v>
      </c>
      <c r="S158" s="20" t="n">
        <v>2176</v>
      </c>
      <c r="T158" s="20" t="n">
        <v>1875</v>
      </c>
      <c r="U158" s="20" t="n">
        <v>2795</v>
      </c>
      <c r="V158" s="13" t="s">
        <v>187</v>
      </c>
      <c r="W158" s="17"/>
      <c r="X158" s="13"/>
      <c r="Y158" s="13" t="s">
        <v>1296</v>
      </c>
      <c r="Z158" s="13" t="s">
        <v>212</v>
      </c>
      <c r="AA158" s="13" t="s">
        <v>213</v>
      </c>
      <c r="AB158" s="13" t="s">
        <v>1297</v>
      </c>
      <c r="AC158" s="18" t="n">
        <v>92.08</v>
      </c>
      <c r="AD158" s="13" t="s">
        <v>190</v>
      </c>
      <c r="AE158" s="19"/>
      <c r="AF158" s="19"/>
      <c r="AG158" s="19"/>
      <c r="AH158" s="13"/>
      <c r="AI158" s="17" t="str">
        <f aca="false">IF(OR(AC158="",AF158="",Settings!$B$5=""),"",ROUND(AC158-AF158*Settings!$B$5,2))</f>
        <v/>
      </c>
      <c r="AJ158" s="13" t="s">
        <v>192</v>
      </c>
      <c r="AK158" s="13" t="s">
        <v>193</v>
      </c>
      <c r="AL158" s="14" t="s">
        <v>194</v>
      </c>
      <c r="AM158" s="13" t="s">
        <v>195</v>
      </c>
      <c r="AN158" s="15" t="n">
        <v>3538</v>
      </c>
      <c r="AO158" s="13"/>
      <c r="AP158" s="13" t="s">
        <v>196</v>
      </c>
      <c r="AQ158" s="16" t="n">
        <f aca="false">IFERROR(IF(AND(INDEX(Mob_Demob!$D$6:$D$14,MATCH(AM158,Mob_Demob!$A$6:$A$14,0))="",INDEX(Mob_Demob!$G$6:$G$14,MATCH(AM158,Mob_Demob!$A$6:$A$14,0))=""),"",ROUND(MAX(N(INDEX(Mob_Demob!$G$6:$G$14,MATCH(AM158,Mob_Demob!$A$6:$A$14,0))),N(INDEX(Mob_Demob!$D$6:$D$14,MATCH(AM158,Mob_Demob!$A$6:$A$14,0)))*Settings!$B$6)+IF(AP158="Y",N(INDEX(Mob_Demob!$I$6:$I$14,MATCH(AM158,Mob_Demob!$A$6:$A$14,0)))*Settings!$B$19,0)+N(INDEX(Mob_Demob!$L$6:$L$14,MATCH(AM158,Mob_Demob!$A$6:$A$14,0)))*N(INDEX(Mob_Demob!$K$6:$K$14,MATCH(AM158,Mob_Demob!$A$6:$A$14,0)))*Settings!$B$6+N(INDEX(Mob_Demob!$M$6:$M$14,MATCH(AM158,Mob_Demob!$A$6:$A$14,0)))*N(INDEX(Mob_Demob!$N$6:$N$14,MATCH(AM158,Mob_Demob!$A$6:$A$14,0))),0)),"")</f>
        <v>500</v>
      </c>
      <c r="AR158" s="16" t="n">
        <f aca="false">IF(AQ158="","",ROUND(AQ158*Settings!$B$18,0))</f>
        <v>500</v>
      </c>
      <c r="AS158" s="13" t="s">
        <v>1298</v>
      </c>
      <c r="AT158" s="14" t="s">
        <v>1299</v>
      </c>
      <c r="AU158" s="14" t="s">
        <v>1300</v>
      </c>
    </row>
    <row r="159" customFormat="false" ht="64.15" hidden="false" customHeight="false" outlineLevel="0" collapsed="false">
      <c r="A159" s="21" t="s">
        <v>1301</v>
      </c>
      <c r="B159" s="21" t="s">
        <v>1289</v>
      </c>
      <c r="C159" s="21" t="s">
        <v>1290</v>
      </c>
      <c r="D159" s="21" t="s">
        <v>1302</v>
      </c>
      <c r="E159" s="22" t="s">
        <v>1303</v>
      </c>
      <c r="F159" s="13" t="s">
        <v>1195</v>
      </c>
      <c r="G159" s="13" t="n">
        <v>47.2</v>
      </c>
      <c r="H159" s="13" t="s">
        <v>1196</v>
      </c>
      <c r="I159" s="14" t="s">
        <v>1304</v>
      </c>
      <c r="J159" s="15"/>
      <c r="K159" s="13" t="n">
        <v>75</v>
      </c>
      <c r="L159" s="13" t="s">
        <v>1305</v>
      </c>
      <c r="M159" s="13"/>
      <c r="N159" s="13" t="s">
        <v>184</v>
      </c>
      <c r="O159" s="13" t="s">
        <v>1295</v>
      </c>
      <c r="P159" s="13" t="s">
        <v>186</v>
      </c>
      <c r="Q159" s="16"/>
      <c r="R159" s="16"/>
      <c r="S159" s="16"/>
      <c r="T159" s="16"/>
      <c r="U159" s="16"/>
      <c r="V159" s="13" t="s">
        <v>187</v>
      </c>
      <c r="W159" s="17"/>
      <c r="X159" s="13"/>
      <c r="Y159" s="13"/>
      <c r="Z159" s="13"/>
      <c r="AA159" s="13" t="s">
        <v>188</v>
      </c>
      <c r="AB159" s="13" t="s">
        <v>1306</v>
      </c>
      <c r="AC159" s="18" t="n">
        <v>61.71</v>
      </c>
      <c r="AD159" s="13" t="s">
        <v>190</v>
      </c>
      <c r="AE159" s="19" t="n">
        <f aca="false">ROUND(K159*Settings!$B$11*Settings!$B$13,2)</f>
        <v>1.28</v>
      </c>
      <c r="AF159" s="19" t="n">
        <f aca="false">ROUND(K159*Settings!$B$11*Settings!$B$14,2)</f>
        <v>1.68</v>
      </c>
      <c r="AG159" s="19" t="n">
        <f aca="false">ROUND(K159*Settings!$B$11*Settings!$B$15,2)</f>
        <v>2.19</v>
      </c>
      <c r="AH159" s="13" t="s">
        <v>191</v>
      </c>
      <c r="AI159" s="17" t="n">
        <f aca="false">IF(OR(AC159="",AF159="",Settings!$B$5=""),"",ROUND(AC159-AF159*Settings!$B$5,2))</f>
        <v>55.56</v>
      </c>
      <c r="AJ159" s="13" t="s">
        <v>192</v>
      </c>
      <c r="AK159" s="13" t="s">
        <v>193</v>
      </c>
      <c r="AL159" s="14" t="s">
        <v>194</v>
      </c>
      <c r="AM159" s="13" t="s">
        <v>195</v>
      </c>
      <c r="AN159" s="15"/>
      <c r="AO159" s="13"/>
      <c r="AP159" s="13" t="s">
        <v>196</v>
      </c>
      <c r="AQ159" s="16" t="n">
        <f aca="false">IFERROR(IF(AND(INDEX(Mob_Demob!$D$6:$D$14,MATCH(AM159,Mob_Demob!$A$6:$A$14,0))="",INDEX(Mob_Demob!$G$6:$G$14,MATCH(AM159,Mob_Demob!$A$6:$A$14,0))=""),"",ROUND(MAX(N(INDEX(Mob_Demob!$G$6:$G$14,MATCH(AM159,Mob_Demob!$A$6:$A$14,0))),N(INDEX(Mob_Demob!$D$6:$D$14,MATCH(AM159,Mob_Demob!$A$6:$A$14,0)))*Settings!$B$6)+IF(AP159="Y",N(INDEX(Mob_Demob!$I$6:$I$14,MATCH(AM159,Mob_Demob!$A$6:$A$14,0)))*Settings!$B$19,0)+N(INDEX(Mob_Demob!$L$6:$L$14,MATCH(AM159,Mob_Demob!$A$6:$A$14,0)))*N(INDEX(Mob_Demob!$K$6:$K$14,MATCH(AM159,Mob_Demob!$A$6:$A$14,0)))*Settings!$B$6+N(INDEX(Mob_Demob!$M$6:$M$14,MATCH(AM159,Mob_Demob!$A$6:$A$14,0)))*N(INDEX(Mob_Demob!$N$6:$N$14,MATCH(AM159,Mob_Demob!$A$6:$A$14,0))),0)),"")</f>
        <v>500</v>
      </c>
      <c r="AR159" s="16" t="n">
        <f aca="false">IF(AQ159="","",ROUND(AQ159*Settings!$B$18,0))</f>
        <v>500</v>
      </c>
      <c r="AS159" s="13" t="s">
        <v>1307</v>
      </c>
      <c r="AT159" s="14" t="s">
        <v>1308</v>
      </c>
      <c r="AU159" s="14" t="s">
        <v>1309</v>
      </c>
    </row>
    <row r="160" customFormat="false" ht="64.15" hidden="false" customHeight="false" outlineLevel="0" collapsed="false">
      <c r="A160" s="21" t="s">
        <v>1310</v>
      </c>
      <c r="B160" s="21" t="s">
        <v>1289</v>
      </c>
      <c r="C160" s="21" t="s">
        <v>1290</v>
      </c>
      <c r="D160" s="21" t="s">
        <v>1311</v>
      </c>
      <c r="E160" s="22" t="s">
        <v>1312</v>
      </c>
      <c r="F160" s="13" t="s">
        <v>1195</v>
      </c>
      <c r="G160" s="13" t="n">
        <v>54</v>
      </c>
      <c r="H160" s="13" t="s">
        <v>1196</v>
      </c>
      <c r="I160" s="14" t="s">
        <v>1313</v>
      </c>
      <c r="J160" s="15"/>
      <c r="K160" s="13"/>
      <c r="L160" s="13" t="s">
        <v>1314</v>
      </c>
      <c r="M160" s="13"/>
      <c r="N160" s="13" t="s">
        <v>184</v>
      </c>
      <c r="O160" s="13" t="s">
        <v>1295</v>
      </c>
      <c r="P160" s="13" t="s">
        <v>186</v>
      </c>
      <c r="Q160" s="20" t="n">
        <v>425</v>
      </c>
      <c r="R160" s="20" t="n">
        <v>1050</v>
      </c>
      <c r="S160" s="20" t="n">
        <v>2600</v>
      </c>
      <c r="T160" s="16"/>
      <c r="U160" s="16"/>
      <c r="V160" s="13" t="s">
        <v>187</v>
      </c>
      <c r="W160" s="17"/>
      <c r="X160" s="13"/>
      <c r="Y160" s="13" t="s">
        <v>1001</v>
      </c>
      <c r="Z160" s="13" t="s">
        <v>1002</v>
      </c>
      <c r="AA160" s="13" t="s">
        <v>192</v>
      </c>
      <c r="AB160" s="13"/>
      <c r="AC160" s="17"/>
      <c r="AD160" s="13"/>
      <c r="AE160" s="19"/>
      <c r="AF160" s="19"/>
      <c r="AG160" s="19"/>
      <c r="AH160" s="13"/>
      <c r="AI160" s="17"/>
      <c r="AJ160" s="13" t="s">
        <v>188</v>
      </c>
      <c r="AK160" s="13" t="s">
        <v>188</v>
      </c>
      <c r="AL160" s="14" t="s">
        <v>194</v>
      </c>
      <c r="AM160" s="13" t="s">
        <v>195</v>
      </c>
      <c r="AN160" s="15"/>
      <c r="AO160" s="13"/>
      <c r="AP160" s="13" t="s">
        <v>196</v>
      </c>
      <c r="AQ160" s="16" t="n">
        <f aca="false">IFERROR(IF(AND(INDEX(Mob_Demob!$D$6:$D$14,MATCH(AM160,Mob_Demob!$A$6:$A$14,0))="",INDEX(Mob_Demob!$G$6:$G$14,MATCH(AM160,Mob_Demob!$A$6:$A$14,0))=""),"",ROUND(MAX(N(INDEX(Mob_Demob!$G$6:$G$14,MATCH(AM160,Mob_Demob!$A$6:$A$14,0))),N(INDEX(Mob_Demob!$D$6:$D$14,MATCH(AM160,Mob_Demob!$A$6:$A$14,0)))*Settings!$B$6)+IF(AP160="Y",N(INDEX(Mob_Demob!$I$6:$I$14,MATCH(AM160,Mob_Demob!$A$6:$A$14,0)))*Settings!$B$19,0)+N(INDEX(Mob_Demob!$L$6:$L$14,MATCH(AM160,Mob_Demob!$A$6:$A$14,0)))*N(INDEX(Mob_Demob!$K$6:$K$14,MATCH(AM160,Mob_Demob!$A$6:$A$14,0)))*Settings!$B$6+N(INDEX(Mob_Demob!$M$6:$M$14,MATCH(AM160,Mob_Demob!$A$6:$A$14,0)))*N(INDEX(Mob_Demob!$N$6:$N$14,MATCH(AM160,Mob_Demob!$A$6:$A$14,0))),0)),"")</f>
        <v>500</v>
      </c>
      <c r="AR160" s="16" t="n">
        <f aca="false">IF(AQ160="","",ROUND(AQ160*Settings!$B$18,0))</f>
        <v>500</v>
      </c>
      <c r="AS160" s="13" t="s">
        <v>1307</v>
      </c>
      <c r="AT160" s="14" t="s">
        <v>1003</v>
      </c>
      <c r="AU160" s="14" t="s">
        <v>262</v>
      </c>
    </row>
    <row r="161" customFormat="false" ht="64.15" hidden="false" customHeight="false" outlineLevel="0" collapsed="false">
      <c r="A161" s="21" t="s">
        <v>1315</v>
      </c>
      <c r="B161" s="21" t="s">
        <v>1289</v>
      </c>
      <c r="C161" s="21" t="s">
        <v>1290</v>
      </c>
      <c r="D161" s="21" t="s">
        <v>1316</v>
      </c>
      <c r="E161" s="22" t="s">
        <v>1317</v>
      </c>
      <c r="F161" s="13" t="s">
        <v>1195</v>
      </c>
      <c r="G161" s="13" t="n">
        <v>67</v>
      </c>
      <c r="H161" s="13" t="s">
        <v>1196</v>
      </c>
      <c r="I161" s="14" t="s">
        <v>1318</v>
      </c>
      <c r="J161" s="15" t="n">
        <v>21642</v>
      </c>
      <c r="K161" s="13"/>
      <c r="L161" s="13" t="s">
        <v>1319</v>
      </c>
      <c r="M161" s="13"/>
      <c r="N161" s="13" t="s">
        <v>184</v>
      </c>
      <c r="O161" s="13" t="s">
        <v>1295</v>
      </c>
      <c r="P161" s="13" t="s">
        <v>186</v>
      </c>
      <c r="Q161" s="20" t="n">
        <v>750</v>
      </c>
      <c r="R161" s="20" t="n">
        <v>1850</v>
      </c>
      <c r="S161" s="20" t="n">
        <v>4590</v>
      </c>
      <c r="T161" s="16"/>
      <c r="U161" s="16"/>
      <c r="V161" s="13" t="s">
        <v>187</v>
      </c>
      <c r="W161" s="17"/>
      <c r="X161" s="13"/>
      <c r="Y161" s="13" t="s">
        <v>1001</v>
      </c>
      <c r="Z161" s="13" t="s">
        <v>1002</v>
      </c>
      <c r="AA161" s="13" t="s">
        <v>192</v>
      </c>
      <c r="AB161" s="13"/>
      <c r="AC161" s="17"/>
      <c r="AD161" s="13"/>
      <c r="AE161" s="19"/>
      <c r="AF161" s="19"/>
      <c r="AG161" s="19"/>
      <c r="AH161" s="13"/>
      <c r="AI161" s="17"/>
      <c r="AJ161" s="13" t="s">
        <v>188</v>
      </c>
      <c r="AK161" s="13" t="s">
        <v>188</v>
      </c>
      <c r="AL161" s="14" t="s">
        <v>194</v>
      </c>
      <c r="AM161" s="13" t="s">
        <v>216</v>
      </c>
      <c r="AN161" s="15" t="n">
        <v>21642</v>
      </c>
      <c r="AO161" s="13"/>
      <c r="AP161" s="13" t="s">
        <v>196</v>
      </c>
      <c r="AQ161" s="16" t="n">
        <f aca="false">IFERROR(IF(AND(INDEX(Mob_Demob!$D$6:$D$14,MATCH(AM161,Mob_Demob!$A$6:$A$14,0))="",INDEX(Mob_Demob!$G$6:$G$14,MATCH(AM161,Mob_Demob!$A$6:$A$14,0))=""),"",ROUND(MAX(N(INDEX(Mob_Demob!$G$6:$G$14,MATCH(AM161,Mob_Demob!$A$6:$A$14,0))),N(INDEX(Mob_Demob!$D$6:$D$14,MATCH(AM161,Mob_Demob!$A$6:$A$14,0)))*Settings!$B$6)+IF(AP161="Y",N(INDEX(Mob_Demob!$I$6:$I$14,MATCH(AM161,Mob_Demob!$A$6:$A$14,0)))*Settings!$B$19,0)+N(INDEX(Mob_Demob!$L$6:$L$14,MATCH(AM161,Mob_Demob!$A$6:$A$14,0)))*N(INDEX(Mob_Demob!$K$6:$K$14,MATCH(AM161,Mob_Demob!$A$6:$A$14,0)))*Settings!$B$6+N(INDEX(Mob_Demob!$M$6:$M$14,MATCH(AM161,Mob_Demob!$A$6:$A$14,0)))*N(INDEX(Mob_Demob!$N$6:$N$14,MATCH(AM161,Mob_Demob!$A$6:$A$14,0))),0)),"")</f>
        <v>550</v>
      </c>
      <c r="AR161" s="16" t="n">
        <f aca="false">IF(AQ161="","",ROUND(AQ161*Settings!$B$18,0))</f>
        <v>550</v>
      </c>
      <c r="AS161" s="13" t="s">
        <v>1307</v>
      </c>
      <c r="AT161" s="14" t="s">
        <v>1320</v>
      </c>
      <c r="AU161" s="14" t="s">
        <v>262</v>
      </c>
    </row>
    <row r="162" customFormat="false" ht="64.15" hidden="false" customHeight="false" outlineLevel="0" collapsed="false">
      <c r="A162" s="21" t="s">
        <v>1321</v>
      </c>
      <c r="B162" s="21" t="s">
        <v>1289</v>
      </c>
      <c r="C162" s="21" t="s">
        <v>1290</v>
      </c>
      <c r="D162" s="21" t="s">
        <v>1316</v>
      </c>
      <c r="E162" s="22" t="s">
        <v>1322</v>
      </c>
      <c r="F162" s="13" t="s">
        <v>1195</v>
      </c>
      <c r="G162" s="13" t="n">
        <v>79</v>
      </c>
      <c r="H162" s="13" t="s">
        <v>1196</v>
      </c>
      <c r="I162" s="14" t="s">
        <v>1323</v>
      </c>
      <c r="J162" s="15"/>
      <c r="K162" s="13"/>
      <c r="L162" s="13" t="s">
        <v>1324</v>
      </c>
      <c r="M162" s="13"/>
      <c r="N162" s="13" t="s">
        <v>184</v>
      </c>
      <c r="O162" s="13" t="s">
        <v>1295</v>
      </c>
      <c r="P162" s="13" t="s">
        <v>186</v>
      </c>
      <c r="Q162" s="20" t="n">
        <v>975</v>
      </c>
      <c r="R162" s="20" t="n">
        <v>2400</v>
      </c>
      <c r="S162" s="20" t="n">
        <v>5950</v>
      </c>
      <c r="T162" s="16"/>
      <c r="U162" s="16"/>
      <c r="V162" s="13" t="s">
        <v>187</v>
      </c>
      <c r="W162" s="17"/>
      <c r="X162" s="13"/>
      <c r="Y162" s="13" t="s">
        <v>1001</v>
      </c>
      <c r="Z162" s="13" t="s">
        <v>1002</v>
      </c>
      <c r="AA162" s="13" t="s">
        <v>192</v>
      </c>
      <c r="AB162" s="13"/>
      <c r="AC162" s="17"/>
      <c r="AD162" s="13"/>
      <c r="AE162" s="19"/>
      <c r="AF162" s="19"/>
      <c r="AG162" s="19"/>
      <c r="AH162" s="13"/>
      <c r="AI162" s="17"/>
      <c r="AJ162" s="13" t="s">
        <v>188</v>
      </c>
      <c r="AK162" s="13" t="s">
        <v>188</v>
      </c>
      <c r="AL162" s="14" t="s">
        <v>194</v>
      </c>
      <c r="AM162" s="13" t="s">
        <v>216</v>
      </c>
      <c r="AN162" s="15"/>
      <c r="AO162" s="13"/>
      <c r="AP162" s="13" t="s">
        <v>241</v>
      </c>
      <c r="AQ162" s="16" t="n">
        <f aca="false">IFERROR(IF(AND(INDEX(Mob_Demob!$D$6:$D$14,MATCH(AM162,Mob_Demob!$A$6:$A$14,0))="",INDEX(Mob_Demob!$G$6:$G$14,MATCH(AM162,Mob_Demob!$A$6:$A$14,0))=""),"",ROUND(MAX(N(INDEX(Mob_Demob!$G$6:$G$14,MATCH(AM162,Mob_Demob!$A$6:$A$14,0))),N(INDEX(Mob_Demob!$D$6:$D$14,MATCH(AM162,Mob_Demob!$A$6:$A$14,0)))*Settings!$B$6)+IF(AP162="Y",N(INDEX(Mob_Demob!$I$6:$I$14,MATCH(AM162,Mob_Demob!$A$6:$A$14,0)))*Settings!$B$19,0)+N(INDEX(Mob_Demob!$L$6:$L$14,MATCH(AM162,Mob_Demob!$A$6:$A$14,0)))*N(INDEX(Mob_Demob!$K$6:$K$14,MATCH(AM162,Mob_Demob!$A$6:$A$14,0)))*Settings!$B$6+N(INDEX(Mob_Demob!$M$6:$M$14,MATCH(AM162,Mob_Demob!$A$6:$A$14,0)))*N(INDEX(Mob_Demob!$N$6:$N$14,MATCH(AM162,Mob_Demob!$A$6:$A$14,0))),0)),"")</f>
        <v>550</v>
      </c>
      <c r="AR162" s="16" t="n">
        <f aca="false">IF(AQ162="","",ROUND(AQ162*Settings!$B$18,0))</f>
        <v>550</v>
      </c>
      <c r="AS162" s="13" t="s">
        <v>1307</v>
      </c>
      <c r="AT162" s="14" t="s">
        <v>1003</v>
      </c>
      <c r="AU162" s="14" t="s">
        <v>262</v>
      </c>
    </row>
    <row r="163" customFormat="false" ht="64.15" hidden="false" customHeight="false" outlineLevel="0" collapsed="false">
      <c r="A163" s="21" t="s">
        <v>1325</v>
      </c>
      <c r="B163" s="21" t="s">
        <v>1289</v>
      </c>
      <c r="C163" s="21" t="s">
        <v>1290</v>
      </c>
      <c r="D163" s="21" t="s">
        <v>1326</v>
      </c>
      <c r="E163" s="22" t="s">
        <v>1327</v>
      </c>
      <c r="F163" s="13" t="s">
        <v>1195</v>
      </c>
      <c r="G163" s="13" t="n">
        <v>84</v>
      </c>
      <c r="H163" s="13" t="s">
        <v>1196</v>
      </c>
      <c r="I163" s="14" t="s">
        <v>1328</v>
      </c>
      <c r="J163" s="15" t="n">
        <v>32000</v>
      </c>
      <c r="K163" s="13"/>
      <c r="L163" s="13" t="s">
        <v>1329</v>
      </c>
      <c r="M163" s="13"/>
      <c r="N163" s="13" t="s">
        <v>184</v>
      </c>
      <c r="O163" s="13" t="s">
        <v>1295</v>
      </c>
      <c r="P163" s="13" t="s">
        <v>186</v>
      </c>
      <c r="Q163" s="20" t="n">
        <v>1496</v>
      </c>
      <c r="R163" s="20" t="n">
        <v>4337</v>
      </c>
      <c r="S163" s="20" t="n">
        <v>12578</v>
      </c>
      <c r="T163" s="16"/>
      <c r="U163" s="16"/>
      <c r="V163" s="13" t="s">
        <v>187</v>
      </c>
      <c r="W163" s="17"/>
      <c r="X163" s="13"/>
      <c r="Y163" s="13" t="s">
        <v>259</v>
      </c>
      <c r="Z163" s="13" t="s">
        <v>260</v>
      </c>
      <c r="AA163" s="13" t="s">
        <v>192</v>
      </c>
      <c r="AB163" s="13"/>
      <c r="AC163" s="17"/>
      <c r="AD163" s="13"/>
      <c r="AE163" s="19"/>
      <c r="AF163" s="19"/>
      <c r="AG163" s="19"/>
      <c r="AH163" s="13"/>
      <c r="AI163" s="17"/>
      <c r="AJ163" s="13" t="s">
        <v>188</v>
      </c>
      <c r="AK163" s="13" t="s">
        <v>188</v>
      </c>
      <c r="AL163" s="14" t="s">
        <v>194</v>
      </c>
      <c r="AM163" s="13" t="s">
        <v>216</v>
      </c>
      <c r="AN163" s="15" t="n">
        <v>32000</v>
      </c>
      <c r="AO163" s="13"/>
      <c r="AP163" s="13" t="s">
        <v>196</v>
      </c>
      <c r="AQ163" s="16" t="n">
        <f aca="false">IFERROR(IF(AND(INDEX(Mob_Demob!$D$6:$D$14,MATCH(AM163,Mob_Demob!$A$6:$A$14,0))="",INDEX(Mob_Demob!$G$6:$G$14,MATCH(AM163,Mob_Demob!$A$6:$A$14,0))=""),"",ROUND(MAX(N(INDEX(Mob_Demob!$G$6:$G$14,MATCH(AM163,Mob_Demob!$A$6:$A$14,0))),N(INDEX(Mob_Demob!$D$6:$D$14,MATCH(AM163,Mob_Demob!$A$6:$A$14,0)))*Settings!$B$6)+IF(AP163="Y",N(INDEX(Mob_Demob!$I$6:$I$14,MATCH(AM163,Mob_Demob!$A$6:$A$14,0)))*Settings!$B$19,0)+N(INDEX(Mob_Demob!$L$6:$L$14,MATCH(AM163,Mob_Demob!$A$6:$A$14,0)))*N(INDEX(Mob_Demob!$K$6:$K$14,MATCH(AM163,Mob_Demob!$A$6:$A$14,0)))*Settings!$B$6+N(INDEX(Mob_Demob!$M$6:$M$14,MATCH(AM163,Mob_Demob!$A$6:$A$14,0)))*N(INDEX(Mob_Demob!$N$6:$N$14,MATCH(AM163,Mob_Demob!$A$6:$A$14,0))),0)),"")</f>
        <v>550</v>
      </c>
      <c r="AR163" s="16" t="n">
        <f aca="false">IF(AQ163="","",ROUND(AQ163*Settings!$B$18,0))</f>
        <v>550</v>
      </c>
      <c r="AS163" s="13" t="s">
        <v>1307</v>
      </c>
      <c r="AT163" s="14" t="s">
        <v>1330</v>
      </c>
      <c r="AU163" s="14" t="s">
        <v>262</v>
      </c>
    </row>
    <row r="164" customFormat="false" ht="64.15" hidden="false" customHeight="false" outlineLevel="0" collapsed="false">
      <c r="A164" s="21" t="s">
        <v>1331</v>
      </c>
      <c r="B164" s="21" t="s">
        <v>1289</v>
      </c>
      <c r="C164" s="21" t="s">
        <v>1332</v>
      </c>
      <c r="D164" s="21" t="s">
        <v>1333</v>
      </c>
      <c r="E164" s="22" t="s">
        <v>1334</v>
      </c>
      <c r="F164" s="13" t="s">
        <v>857</v>
      </c>
      <c r="G164" s="13" t="s">
        <v>1335</v>
      </c>
      <c r="H164" s="13"/>
      <c r="I164" s="14" t="s">
        <v>1336</v>
      </c>
      <c r="J164" s="15"/>
      <c r="K164" s="13"/>
      <c r="L164" s="13"/>
      <c r="M164" s="13"/>
      <c r="N164" s="13" t="s">
        <v>184</v>
      </c>
      <c r="O164" s="13" t="s">
        <v>1295</v>
      </c>
      <c r="P164" s="13" t="s">
        <v>186</v>
      </c>
      <c r="Q164" s="16"/>
      <c r="R164" s="16"/>
      <c r="S164" s="16"/>
      <c r="T164" s="16"/>
      <c r="U164" s="16"/>
      <c r="V164" s="13" t="s">
        <v>187</v>
      </c>
      <c r="W164" s="17"/>
      <c r="X164" s="13"/>
      <c r="Y164" s="13"/>
      <c r="Z164" s="13"/>
      <c r="AA164" s="13" t="s">
        <v>188</v>
      </c>
      <c r="AB164" s="13"/>
      <c r="AC164" s="17"/>
      <c r="AD164" s="13"/>
      <c r="AE164" s="19"/>
      <c r="AF164" s="19"/>
      <c r="AG164" s="19"/>
      <c r="AH164" s="13"/>
      <c r="AI164" s="17"/>
      <c r="AJ164" s="13" t="s">
        <v>188</v>
      </c>
      <c r="AK164" s="13" t="s">
        <v>188</v>
      </c>
      <c r="AL164" s="14" t="s">
        <v>194</v>
      </c>
      <c r="AM164" s="13" t="s">
        <v>195</v>
      </c>
      <c r="AN164" s="15"/>
      <c r="AO164" s="13"/>
      <c r="AP164" s="13" t="s">
        <v>196</v>
      </c>
      <c r="AQ164" s="16" t="n">
        <f aca="false">IFERROR(IF(AND(INDEX(Mob_Demob!$D$6:$D$14,MATCH(AM164,Mob_Demob!$A$6:$A$14,0))="",INDEX(Mob_Demob!$G$6:$G$14,MATCH(AM164,Mob_Demob!$A$6:$A$14,0))=""),"",ROUND(MAX(N(INDEX(Mob_Demob!$G$6:$G$14,MATCH(AM164,Mob_Demob!$A$6:$A$14,0))),N(INDEX(Mob_Demob!$D$6:$D$14,MATCH(AM164,Mob_Demob!$A$6:$A$14,0)))*Settings!$B$6)+IF(AP164="Y",N(INDEX(Mob_Demob!$I$6:$I$14,MATCH(AM164,Mob_Demob!$A$6:$A$14,0)))*Settings!$B$19,0)+N(INDEX(Mob_Demob!$L$6:$L$14,MATCH(AM164,Mob_Demob!$A$6:$A$14,0)))*N(INDEX(Mob_Demob!$K$6:$K$14,MATCH(AM164,Mob_Demob!$A$6:$A$14,0)))*Settings!$B$6+N(INDEX(Mob_Demob!$M$6:$M$14,MATCH(AM164,Mob_Demob!$A$6:$A$14,0)))*N(INDEX(Mob_Demob!$N$6:$N$14,MATCH(AM164,Mob_Demob!$A$6:$A$14,0))),0)),"")</f>
        <v>500</v>
      </c>
      <c r="AR164" s="16" t="n">
        <f aca="false">IF(AQ164="","",ROUND(AQ164*Settings!$B$18,0))</f>
        <v>500</v>
      </c>
      <c r="AS164" s="13" t="s">
        <v>1307</v>
      </c>
      <c r="AT164" s="14"/>
      <c r="AU164" s="14" t="s">
        <v>466</v>
      </c>
    </row>
    <row r="165" customFormat="false" ht="64.15" hidden="false" customHeight="false" outlineLevel="0" collapsed="false">
      <c r="A165" s="21" t="s">
        <v>1337</v>
      </c>
      <c r="B165" s="21" t="s">
        <v>1289</v>
      </c>
      <c r="C165" s="21" t="s">
        <v>1338</v>
      </c>
      <c r="D165" s="21" t="s">
        <v>1339</v>
      </c>
      <c r="E165" s="22" t="s">
        <v>1340</v>
      </c>
      <c r="F165" s="13" t="s">
        <v>1161</v>
      </c>
      <c r="G165" s="13" t="n">
        <v>5000</v>
      </c>
      <c r="H165" s="13" t="s">
        <v>334</v>
      </c>
      <c r="I165" s="14" t="s">
        <v>1341</v>
      </c>
      <c r="J165" s="15" t="n">
        <v>5000</v>
      </c>
      <c r="K165" s="13"/>
      <c r="L165" s="13"/>
      <c r="M165" s="13"/>
      <c r="N165" s="13" t="s">
        <v>184</v>
      </c>
      <c r="O165" s="13" t="s">
        <v>1295</v>
      </c>
      <c r="P165" s="13" t="s">
        <v>186</v>
      </c>
      <c r="Q165" s="20" t="n">
        <v>559</v>
      </c>
      <c r="R165" s="20" t="n">
        <v>1621</v>
      </c>
      <c r="S165" s="20" t="n">
        <v>4701</v>
      </c>
      <c r="T165" s="16"/>
      <c r="U165" s="16"/>
      <c r="V165" s="13" t="s">
        <v>187</v>
      </c>
      <c r="W165" s="17"/>
      <c r="X165" s="13"/>
      <c r="Y165" s="13" t="s">
        <v>259</v>
      </c>
      <c r="Z165" s="13" t="s">
        <v>260</v>
      </c>
      <c r="AA165" s="13" t="s">
        <v>192</v>
      </c>
      <c r="AB165" s="13"/>
      <c r="AC165" s="17"/>
      <c r="AD165" s="13"/>
      <c r="AE165" s="19"/>
      <c r="AF165" s="19"/>
      <c r="AG165" s="19"/>
      <c r="AH165" s="13"/>
      <c r="AI165" s="17"/>
      <c r="AJ165" s="13" t="s">
        <v>188</v>
      </c>
      <c r="AK165" s="13" t="s">
        <v>188</v>
      </c>
      <c r="AL165" s="14" t="s">
        <v>194</v>
      </c>
      <c r="AM165" s="13" t="s">
        <v>195</v>
      </c>
      <c r="AN165" s="15" t="n">
        <v>5000</v>
      </c>
      <c r="AO165" s="13"/>
      <c r="AP165" s="13" t="s">
        <v>196</v>
      </c>
      <c r="AQ165" s="16" t="n">
        <f aca="false">IFERROR(IF(AND(INDEX(Mob_Demob!$D$6:$D$14,MATCH(AM165,Mob_Demob!$A$6:$A$14,0))="",INDEX(Mob_Demob!$G$6:$G$14,MATCH(AM165,Mob_Demob!$A$6:$A$14,0))=""),"",ROUND(MAX(N(INDEX(Mob_Demob!$G$6:$G$14,MATCH(AM165,Mob_Demob!$A$6:$A$14,0))),N(INDEX(Mob_Demob!$D$6:$D$14,MATCH(AM165,Mob_Demob!$A$6:$A$14,0)))*Settings!$B$6)+IF(AP165="Y",N(INDEX(Mob_Demob!$I$6:$I$14,MATCH(AM165,Mob_Demob!$A$6:$A$14,0)))*Settings!$B$19,0)+N(INDEX(Mob_Demob!$L$6:$L$14,MATCH(AM165,Mob_Demob!$A$6:$A$14,0)))*N(INDEX(Mob_Demob!$K$6:$K$14,MATCH(AM165,Mob_Demob!$A$6:$A$14,0)))*Settings!$B$6+N(INDEX(Mob_Demob!$M$6:$M$14,MATCH(AM165,Mob_Demob!$A$6:$A$14,0)))*N(INDEX(Mob_Demob!$N$6:$N$14,MATCH(AM165,Mob_Demob!$A$6:$A$14,0))),0)),"")</f>
        <v>500</v>
      </c>
      <c r="AR165" s="16" t="n">
        <f aca="false">IF(AQ165="","",ROUND(AQ165*Settings!$B$18,0))</f>
        <v>500</v>
      </c>
      <c r="AS165" s="13" t="s">
        <v>1307</v>
      </c>
      <c r="AT165" s="14" t="s">
        <v>585</v>
      </c>
      <c r="AU165" s="14" t="s">
        <v>262</v>
      </c>
    </row>
    <row r="166" customFormat="false" ht="64.15" hidden="false" customHeight="false" outlineLevel="0" collapsed="false">
      <c r="A166" s="21" t="s">
        <v>1342</v>
      </c>
      <c r="B166" s="21" t="s">
        <v>1289</v>
      </c>
      <c r="C166" s="21" t="s">
        <v>1338</v>
      </c>
      <c r="D166" s="21" t="s">
        <v>1343</v>
      </c>
      <c r="E166" s="22" t="s">
        <v>1344</v>
      </c>
      <c r="F166" s="13" t="s">
        <v>1345</v>
      </c>
      <c r="G166" s="13" t="n">
        <v>68</v>
      </c>
      <c r="H166" s="13" t="s">
        <v>1196</v>
      </c>
      <c r="I166" s="14" t="s">
        <v>1346</v>
      </c>
      <c r="J166" s="15" t="n">
        <v>33000</v>
      </c>
      <c r="K166" s="13" t="n">
        <v>100</v>
      </c>
      <c r="L166" s="13"/>
      <c r="M166" s="13"/>
      <c r="N166" s="13" t="s">
        <v>184</v>
      </c>
      <c r="O166" s="13" t="s">
        <v>1295</v>
      </c>
      <c r="P166" s="13" t="s">
        <v>186</v>
      </c>
      <c r="Q166" s="20" t="n">
        <v>831</v>
      </c>
      <c r="R166" s="20" t="n">
        <v>2410</v>
      </c>
      <c r="S166" s="20" t="n">
        <v>6988</v>
      </c>
      <c r="T166" s="16"/>
      <c r="U166" s="16"/>
      <c r="V166" s="13" t="s">
        <v>187</v>
      </c>
      <c r="W166" s="17"/>
      <c r="X166" s="13"/>
      <c r="Y166" s="13" t="s">
        <v>259</v>
      </c>
      <c r="Z166" s="13" t="s">
        <v>260</v>
      </c>
      <c r="AA166" s="13" t="s">
        <v>192</v>
      </c>
      <c r="AB166" s="13" t="s">
        <v>1347</v>
      </c>
      <c r="AC166" s="18" t="n">
        <v>114.91</v>
      </c>
      <c r="AD166" s="13" t="s">
        <v>190</v>
      </c>
      <c r="AE166" s="19"/>
      <c r="AF166" s="19" t="n">
        <v>1.8</v>
      </c>
      <c r="AG166" s="19"/>
      <c r="AH166" s="13" t="s">
        <v>1348</v>
      </c>
      <c r="AI166" s="17" t="n">
        <f aca="false">IF(OR(AC166="",AF166="",Settings!$B$5=""),"",ROUND(AC166-AF166*Settings!$B$5,2))</f>
        <v>108.32</v>
      </c>
      <c r="AJ166" s="13" t="s">
        <v>192</v>
      </c>
      <c r="AK166" s="13" t="s">
        <v>193</v>
      </c>
      <c r="AL166" s="14" t="s">
        <v>194</v>
      </c>
      <c r="AM166" s="13" t="s">
        <v>216</v>
      </c>
      <c r="AN166" s="15" t="n">
        <v>33000</v>
      </c>
      <c r="AO166" s="13"/>
      <c r="AP166" s="13" t="s">
        <v>196</v>
      </c>
      <c r="AQ166" s="16" t="n">
        <f aca="false">IFERROR(IF(AND(INDEX(Mob_Demob!$D$6:$D$14,MATCH(AM166,Mob_Demob!$A$6:$A$14,0))="",INDEX(Mob_Demob!$G$6:$G$14,MATCH(AM166,Mob_Demob!$A$6:$A$14,0))=""),"",ROUND(MAX(N(INDEX(Mob_Demob!$G$6:$G$14,MATCH(AM166,Mob_Demob!$A$6:$A$14,0))),N(INDEX(Mob_Demob!$D$6:$D$14,MATCH(AM166,Mob_Demob!$A$6:$A$14,0)))*Settings!$B$6)+IF(AP166="Y",N(INDEX(Mob_Demob!$I$6:$I$14,MATCH(AM166,Mob_Demob!$A$6:$A$14,0)))*Settings!$B$19,0)+N(INDEX(Mob_Demob!$L$6:$L$14,MATCH(AM166,Mob_Demob!$A$6:$A$14,0)))*N(INDEX(Mob_Demob!$K$6:$K$14,MATCH(AM166,Mob_Demob!$A$6:$A$14,0)))*Settings!$B$6+N(INDEX(Mob_Demob!$M$6:$M$14,MATCH(AM166,Mob_Demob!$A$6:$A$14,0)))*N(INDEX(Mob_Demob!$N$6:$N$14,MATCH(AM166,Mob_Demob!$A$6:$A$14,0))),0)),"")</f>
        <v>550</v>
      </c>
      <c r="AR166" s="16" t="n">
        <f aca="false">IF(AQ166="","",ROUND(AQ166*Settings!$B$18,0))</f>
        <v>550</v>
      </c>
      <c r="AS166" s="13" t="s">
        <v>1349</v>
      </c>
      <c r="AT166" s="14" t="s">
        <v>1350</v>
      </c>
      <c r="AU166" s="14"/>
    </row>
    <row r="167" customFormat="false" ht="64.15" hidden="false" customHeight="false" outlineLevel="0" collapsed="false">
      <c r="A167" s="21" t="s">
        <v>1351</v>
      </c>
      <c r="B167" s="21" t="s">
        <v>1289</v>
      </c>
      <c r="C167" s="21" t="s">
        <v>1338</v>
      </c>
      <c r="D167" s="21" t="s">
        <v>1352</v>
      </c>
      <c r="E167" s="22" t="s">
        <v>1353</v>
      </c>
      <c r="F167" s="13" t="s">
        <v>1345</v>
      </c>
      <c r="G167" s="13" t="n">
        <v>82</v>
      </c>
      <c r="H167" s="13" t="s">
        <v>1196</v>
      </c>
      <c r="I167" s="14" t="s">
        <v>1354</v>
      </c>
      <c r="J167" s="15" t="n">
        <v>59525</v>
      </c>
      <c r="K167" s="13"/>
      <c r="L167" s="13"/>
      <c r="M167" s="13"/>
      <c r="N167" s="13" t="s">
        <v>184</v>
      </c>
      <c r="O167" s="13" t="s">
        <v>1295</v>
      </c>
      <c r="P167" s="13" t="s">
        <v>186</v>
      </c>
      <c r="Q167" s="20" t="n">
        <v>1416</v>
      </c>
      <c r="R167" s="20" t="n">
        <v>4107</v>
      </c>
      <c r="S167" s="20" t="n">
        <v>11911</v>
      </c>
      <c r="T167" s="16"/>
      <c r="U167" s="16"/>
      <c r="V167" s="13" t="s">
        <v>187</v>
      </c>
      <c r="W167" s="17"/>
      <c r="X167" s="13"/>
      <c r="Y167" s="13" t="s">
        <v>259</v>
      </c>
      <c r="Z167" s="13" t="s">
        <v>260</v>
      </c>
      <c r="AA167" s="13" t="s">
        <v>192</v>
      </c>
      <c r="AB167" s="13"/>
      <c r="AC167" s="17"/>
      <c r="AD167" s="13"/>
      <c r="AE167" s="19"/>
      <c r="AF167" s="19" t="n">
        <v>1.45</v>
      </c>
      <c r="AG167" s="19"/>
      <c r="AH167" s="13" t="s">
        <v>1355</v>
      </c>
      <c r="AI167" s="17"/>
      <c r="AJ167" s="13" t="s">
        <v>188</v>
      </c>
      <c r="AK167" s="13" t="s">
        <v>188</v>
      </c>
      <c r="AL167" s="14" t="s">
        <v>194</v>
      </c>
      <c r="AM167" s="13" t="s">
        <v>216</v>
      </c>
      <c r="AN167" s="15" t="n">
        <v>59525</v>
      </c>
      <c r="AO167" s="13"/>
      <c r="AP167" s="13" t="s">
        <v>241</v>
      </c>
      <c r="AQ167" s="16" t="n">
        <f aca="false">IFERROR(IF(AND(INDEX(Mob_Demob!$D$6:$D$14,MATCH(AM167,Mob_Demob!$A$6:$A$14,0))="",INDEX(Mob_Demob!$G$6:$G$14,MATCH(AM167,Mob_Demob!$A$6:$A$14,0))=""),"",ROUND(MAX(N(INDEX(Mob_Demob!$G$6:$G$14,MATCH(AM167,Mob_Demob!$A$6:$A$14,0))),N(INDEX(Mob_Demob!$D$6:$D$14,MATCH(AM167,Mob_Demob!$A$6:$A$14,0)))*Settings!$B$6)+IF(AP167="Y",N(INDEX(Mob_Demob!$I$6:$I$14,MATCH(AM167,Mob_Demob!$A$6:$A$14,0)))*Settings!$B$19,0)+N(INDEX(Mob_Demob!$L$6:$L$14,MATCH(AM167,Mob_Demob!$A$6:$A$14,0)))*N(INDEX(Mob_Demob!$K$6:$K$14,MATCH(AM167,Mob_Demob!$A$6:$A$14,0)))*Settings!$B$6+N(INDEX(Mob_Demob!$M$6:$M$14,MATCH(AM167,Mob_Demob!$A$6:$A$14,0)))*N(INDEX(Mob_Demob!$N$6:$N$14,MATCH(AM167,Mob_Demob!$A$6:$A$14,0))),0)),"")</f>
        <v>550</v>
      </c>
      <c r="AR167" s="16" t="n">
        <f aca="false">IF(AQ167="","",ROUND(AQ167*Settings!$B$18,0))</f>
        <v>550</v>
      </c>
      <c r="AS167" s="13" t="s">
        <v>1356</v>
      </c>
      <c r="AT167" s="14" t="s">
        <v>1357</v>
      </c>
      <c r="AU167" s="14" t="s">
        <v>341</v>
      </c>
    </row>
    <row r="168" customFormat="false" ht="64.15" hidden="false" customHeight="false" outlineLevel="0" collapsed="false">
      <c r="A168" s="11" t="s">
        <v>1358</v>
      </c>
      <c r="B168" s="11" t="s">
        <v>1157</v>
      </c>
      <c r="C168" s="11" t="s">
        <v>1338</v>
      </c>
      <c r="D168" s="11" t="s">
        <v>1359</v>
      </c>
      <c r="E168" s="12" t="s">
        <v>1360</v>
      </c>
      <c r="F168" s="13" t="s">
        <v>1361</v>
      </c>
      <c r="G168" s="13" t="n">
        <v>11</v>
      </c>
      <c r="H168" s="13" t="s">
        <v>1362</v>
      </c>
      <c r="I168" s="14" t="s">
        <v>1363</v>
      </c>
      <c r="J168" s="15"/>
      <c r="K168" s="13"/>
      <c r="L168" s="13"/>
      <c r="M168" s="13"/>
      <c r="N168" s="13" t="s">
        <v>851</v>
      </c>
      <c r="O168" s="13" t="s">
        <v>504</v>
      </c>
      <c r="P168" s="13" t="s">
        <v>186</v>
      </c>
      <c r="Q168" s="16"/>
      <c r="R168" s="16"/>
      <c r="S168" s="16"/>
      <c r="T168" s="16"/>
      <c r="U168" s="16"/>
      <c r="V168" s="13" t="s">
        <v>187</v>
      </c>
      <c r="W168" s="17"/>
      <c r="X168" s="13"/>
      <c r="Y168" s="13"/>
      <c r="Z168" s="13"/>
      <c r="AA168" s="13" t="s">
        <v>188</v>
      </c>
      <c r="AB168" s="13" t="s">
        <v>1364</v>
      </c>
      <c r="AC168" s="18" t="n">
        <v>14.94</v>
      </c>
      <c r="AD168" s="13" t="s">
        <v>190</v>
      </c>
      <c r="AE168" s="19" t="n">
        <v>0</v>
      </c>
      <c r="AF168" s="19" t="n">
        <v>0</v>
      </c>
      <c r="AG168" s="19" t="n">
        <v>0</v>
      </c>
      <c r="AH168" s="13" t="s">
        <v>506</v>
      </c>
      <c r="AI168" s="17" t="n">
        <f aca="false">IF(OR(AC168="",AF168="",Settings!$B$5=""),"",ROUND(AC168-AF168*Settings!$B$5,2))</f>
        <v>14.94</v>
      </c>
      <c r="AJ168" s="13" t="s">
        <v>192</v>
      </c>
      <c r="AK168" s="13" t="s">
        <v>193</v>
      </c>
      <c r="AL168" s="14" t="s">
        <v>194</v>
      </c>
      <c r="AM168" s="13" t="s">
        <v>507</v>
      </c>
      <c r="AN168" s="15"/>
      <c r="AO168" s="13"/>
      <c r="AP168" s="13" t="s">
        <v>196</v>
      </c>
      <c r="AQ168" s="16" t="n">
        <f aca="false">IFERROR(IF(AND(INDEX(Mob_Demob!$D$6:$D$14,MATCH(AM168,Mob_Demob!$A$6:$A$14,0))="",INDEX(Mob_Demob!$G$6:$G$14,MATCH(AM168,Mob_Demob!$A$6:$A$14,0))=""),"",ROUND(MAX(N(INDEX(Mob_Demob!$G$6:$G$14,MATCH(AM168,Mob_Demob!$A$6:$A$14,0))),N(INDEX(Mob_Demob!$D$6:$D$14,MATCH(AM168,Mob_Demob!$A$6:$A$14,0)))*Settings!$B$6)+IF(AP168="Y",N(INDEX(Mob_Demob!$I$6:$I$14,MATCH(AM168,Mob_Demob!$A$6:$A$14,0)))*Settings!$B$19,0)+N(INDEX(Mob_Demob!$L$6:$L$14,MATCH(AM168,Mob_Demob!$A$6:$A$14,0)))*N(INDEX(Mob_Demob!$K$6:$K$14,MATCH(AM168,Mob_Demob!$A$6:$A$14,0)))*Settings!$B$6+N(INDEX(Mob_Demob!$M$6:$M$14,MATCH(AM168,Mob_Demob!$A$6:$A$14,0)))*N(INDEX(Mob_Demob!$N$6:$N$14,MATCH(AM168,Mob_Demob!$A$6:$A$14,0))),0)),"")</f>
        <v>400</v>
      </c>
      <c r="AR168" s="16" t="n">
        <f aca="false">IF(AQ168="","",ROUND(AQ168*Settings!$B$18,0))</f>
        <v>400</v>
      </c>
      <c r="AS168" s="13"/>
      <c r="AT168" s="14" t="s">
        <v>1365</v>
      </c>
      <c r="AU168" s="14" t="s">
        <v>199</v>
      </c>
    </row>
    <row r="169" customFormat="false" ht="64.15" hidden="false" customHeight="false" outlineLevel="0" collapsed="false">
      <c r="A169" s="11" t="s">
        <v>1366</v>
      </c>
      <c r="B169" s="11" t="s">
        <v>1157</v>
      </c>
      <c r="C169" s="11" t="s">
        <v>1367</v>
      </c>
      <c r="D169" s="11" t="s">
        <v>1368</v>
      </c>
      <c r="E169" s="12" t="s">
        <v>1369</v>
      </c>
      <c r="F169" s="13" t="s">
        <v>141</v>
      </c>
      <c r="G169" s="13" t="s">
        <v>1370</v>
      </c>
      <c r="H169" s="13"/>
      <c r="I169" s="14" t="s">
        <v>1371</v>
      </c>
      <c r="J169" s="15"/>
      <c r="K169" s="13"/>
      <c r="L169" s="13"/>
      <c r="M169" s="13"/>
      <c r="N169" s="13" t="s">
        <v>851</v>
      </c>
      <c r="O169" s="13" t="s">
        <v>504</v>
      </c>
      <c r="P169" s="13" t="s">
        <v>186</v>
      </c>
      <c r="Q169" s="16"/>
      <c r="R169" s="16"/>
      <c r="S169" s="16"/>
      <c r="T169" s="16"/>
      <c r="U169" s="16"/>
      <c r="V169" s="13" t="s">
        <v>187</v>
      </c>
      <c r="W169" s="17"/>
      <c r="X169" s="13"/>
      <c r="Y169" s="13"/>
      <c r="Z169" s="13"/>
      <c r="AA169" s="13" t="s">
        <v>188</v>
      </c>
      <c r="AB169" s="13" t="s">
        <v>1372</v>
      </c>
      <c r="AC169" s="18" t="n">
        <v>2.69</v>
      </c>
      <c r="AD169" s="13" t="s">
        <v>190</v>
      </c>
      <c r="AE169" s="19" t="n">
        <v>0</v>
      </c>
      <c r="AF169" s="19" t="n">
        <v>0</v>
      </c>
      <c r="AG169" s="19" t="n">
        <v>0</v>
      </c>
      <c r="AH169" s="13" t="s">
        <v>506</v>
      </c>
      <c r="AI169" s="17" t="n">
        <f aca="false">IF(OR(AC169="",AF169="",Settings!$B$5=""),"",ROUND(AC169-AF169*Settings!$B$5,2))</f>
        <v>2.69</v>
      </c>
      <c r="AJ169" s="13" t="s">
        <v>192</v>
      </c>
      <c r="AK169" s="13" t="s">
        <v>193</v>
      </c>
      <c r="AL169" s="14" t="s">
        <v>194</v>
      </c>
      <c r="AM169" s="13" t="s">
        <v>507</v>
      </c>
      <c r="AN169" s="15"/>
      <c r="AO169" s="13"/>
      <c r="AP169" s="13" t="s">
        <v>196</v>
      </c>
      <c r="AQ169" s="16" t="n">
        <f aca="false">IFERROR(IF(AND(INDEX(Mob_Demob!$D$6:$D$14,MATCH(AM169,Mob_Demob!$A$6:$A$14,0))="",INDEX(Mob_Demob!$G$6:$G$14,MATCH(AM169,Mob_Demob!$A$6:$A$14,0))=""),"",ROUND(MAX(N(INDEX(Mob_Demob!$G$6:$G$14,MATCH(AM169,Mob_Demob!$A$6:$A$14,0))),N(INDEX(Mob_Demob!$D$6:$D$14,MATCH(AM169,Mob_Demob!$A$6:$A$14,0)))*Settings!$B$6)+IF(AP169="Y",N(INDEX(Mob_Demob!$I$6:$I$14,MATCH(AM169,Mob_Demob!$A$6:$A$14,0)))*Settings!$B$19,0)+N(INDEX(Mob_Demob!$L$6:$L$14,MATCH(AM169,Mob_Demob!$A$6:$A$14,0)))*N(INDEX(Mob_Demob!$K$6:$K$14,MATCH(AM169,Mob_Demob!$A$6:$A$14,0)))*Settings!$B$6+N(INDEX(Mob_Demob!$M$6:$M$14,MATCH(AM169,Mob_Demob!$A$6:$A$14,0)))*N(INDEX(Mob_Demob!$N$6:$N$14,MATCH(AM169,Mob_Demob!$A$6:$A$14,0))),0)),"")</f>
        <v>400</v>
      </c>
      <c r="AR169" s="16" t="n">
        <f aca="false">IF(AQ169="","",ROUND(AQ169*Settings!$B$18,0))</f>
        <v>400</v>
      </c>
      <c r="AS169" s="13"/>
      <c r="AT169" s="14" t="s">
        <v>1365</v>
      </c>
      <c r="AU169" s="14" t="s">
        <v>199</v>
      </c>
    </row>
    <row r="170" customFormat="false" ht="64.15" hidden="false" customHeight="false" outlineLevel="0" collapsed="false">
      <c r="A170" s="21" t="s">
        <v>1373</v>
      </c>
      <c r="B170" s="21" t="s">
        <v>1289</v>
      </c>
      <c r="C170" s="21" t="s">
        <v>1374</v>
      </c>
      <c r="D170" s="21" t="s">
        <v>1375</v>
      </c>
      <c r="E170" s="22" t="s">
        <v>1376</v>
      </c>
      <c r="F170" s="13" t="s">
        <v>1377</v>
      </c>
      <c r="G170" s="13" t="n">
        <v>2</v>
      </c>
      <c r="H170" s="13" t="s">
        <v>926</v>
      </c>
      <c r="I170" s="14" t="s">
        <v>1378</v>
      </c>
      <c r="J170" s="15"/>
      <c r="K170" s="13"/>
      <c r="L170" s="13"/>
      <c r="M170" s="13"/>
      <c r="N170" s="13" t="s">
        <v>184</v>
      </c>
      <c r="O170" s="13" t="s">
        <v>1295</v>
      </c>
      <c r="P170" s="13" t="s">
        <v>186</v>
      </c>
      <c r="Q170" s="16"/>
      <c r="R170" s="16"/>
      <c r="S170" s="16"/>
      <c r="T170" s="16"/>
      <c r="U170" s="16"/>
      <c r="V170" s="13" t="s">
        <v>187</v>
      </c>
      <c r="W170" s="17"/>
      <c r="X170" s="13"/>
      <c r="Y170" s="13"/>
      <c r="Z170" s="13"/>
      <c r="AA170" s="13" t="s">
        <v>188</v>
      </c>
      <c r="AB170" s="13" t="s">
        <v>1379</v>
      </c>
      <c r="AC170" s="17"/>
      <c r="AD170" s="13"/>
      <c r="AE170" s="19"/>
      <c r="AF170" s="19"/>
      <c r="AG170" s="19"/>
      <c r="AH170" s="13"/>
      <c r="AI170" s="17"/>
      <c r="AJ170" s="13" t="s">
        <v>188</v>
      </c>
      <c r="AK170" s="13" t="s">
        <v>188</v>
      </c>
      <c r="AL170" s="14" t="s">
        <v>194</v>
      </c>
      <c r="AM170" s="13" t="s">
        <v>195</v>
      </c>
      <c r="AN170" s="15"/>
      <c r="AO170" s="13"/>
      <c r="AP170" s="13" t="s">
        <v>196</v>
      </c>
      <c r="AQ170" s="16" t="n">
        <f aca="false">IFERROR(IF(AND(INDEX(Mob_Demob!$D$6:$D$14,MATCH(AM170,Mob_Demob!$A$6:$A$14,0))="",INDEX(Mob_Demob!$G$6:$G$14,MATCH(AM170,Mob_Demob!$A$6:$A$14,0))=""),"",ROUND(MAX(N(INDEX(Mob_Demob!$G$6:$G$14,MATCH(AM170,Mob_Demob!$A$6:$A$14,0))),N(INDEX(Mob_Demob!$D$6:$D$14,MATCH(AM170,Mob_Demob!$A$6:$A$14,0)))*Settings!$B$6)+IF(AP170="Y",N(INDEX(Mob_Demob!$I$6:$I$14,MATCH(AM170,Mob_Demob!$A$6:$A$14,0)))*Settings!$B$19,0)+N(INDEX(Mob_Demob!$L$6:$L$14,MATCH(AM170,Mob_Demob!$A$6:$A$14,0)))*N(INDEX(Mob_Demob!$K$6:$K$14,MATCH(AM170,Mob_Demob!$A$6:$A$14,0)))*Settings!$B$6+N(INDEX(Mob_Demob!$M$6:$M$14,MATCH(AM170,Mob_Demob!$A$6:$A$14,0)))*N(INDEX(Mob_Demob!$N$6:$N$14,MATCH(AM170,Mob_Demob!$A$6:$A$14,0))),0)),"")</f>
        <v>500</v>
      </c>
      <c r="AR170" s="16" t="n">
        <f aca="false">IF(AQ170="","",ROUND(AQ170*Settings!$B$18,0))</f>
        <v>500</v>
      </c>
      <c r="AS170" s="13" t="s">
        <v>1307</v>
      </c>
      <c r="AT170" s="14" t="s">
        <v>1380</v>
      </c>
      <c r="AU170" s="14" t="s">
        <v>1381</v>
      </c>
    </row>
    <row r="171" customFormat="false" ht="64.15" hidden="false" customHeight="false" outlineLevel="0" collapsed="false">
      <c r="A171" s="21" t="s">
        <v>1382</v>
      </c>
      <c r="B171" s="21" t="s">
        <v>1289</v>
      </c>
      <c r="C171" s="21" t="s">
        <v>1383</v>
      </c>
      <c r="D171" s="21" t="s">
        <v>1368</v>
      </c>
      <c r="E171" s="22" t="s">
        <v>1384</v>
      </c>
      <c r="F171" s="13" t="s">
        <v>1385</v>
      </c>
      <c r="G171" s="13" t="n">
        <v>8</v>
      </c>
      <c r="H171" s="13" t="s">
        <v>462</v>
      </c>
      <c r="I171" s="14" t="s">
        <v>1386</v>
      </c>
      <c r="J171" s="15"/>
      <c r="K171" s="13"/>
      <c r="L171" s="13"/>
      <c r="M171" s="13"/>
      <c r="N171" s="13" t="s">
        <v>851</v>
      </c>
      <c r="O171" s="13" t="s">
        <v>1295</v>
      </c>
      <c r="P171" s="13" t="s">
        <v>186</v>
      </c>
      <c r="Q171" s="16"/>
      <c r="R171" s="16"/>
      <c r="S171" s="16"/>
      <c r="T171" s="16"/>
      <c r="U171" s="16"/>
      <c r="V171" s="13" t="s">
        <v>187</v>
      </c>
      <c r="W171" s="17"/>
      <c r="X171" s="13"/>
      <c r="Y171" s="13"/>
      <c r="Z171" s="13"/>
      <c r="AA171" s="13" t="s">
        <v>188</v>
      </c>
      <c r="AB171" s="13" t="s">
        <v>1387</v>
      </c>
      <c r="AC171" s="17"/>
      <c r="AD171" s="13"/>
      <c r="AE171" s="19" t="n">
        <v>0</v>
      </c>
      <c r="AF171" s="19" t="n">
        <v>0</v>
      </c>
      <c r="AG171" s="19" t="n">
        <v>0</v>
      </c>
      <c r="AH171" s="13" t="s">
        <v>506</v>
      </c>
      <c r="AI171" s="17"/>
      <c r="AJ171" s="13" t="s">
        <v>188</v>
      </c>
      <c r="AK171" s="13" t="s">
        <v>188</v>
      </c>
      <c r="AL171" s="14" t="s">
        <v>194</v>
      </c>
      <c r="AM171" s="13" t="s">
        <v>195</v>
      </c>
      <c r="AN171" s="15"/>
      <c r="AO171" s="13"/>
      <c r="AP171" s="13" t="s">
        <v>196</v>
      </c>
      <c r="AQ171" s="16" t="n">
        <f aca="false">IFERROR(IF(AND(INDEX(Mob_Demob!$D$6:$D$14,MATCH(AM171,Mob_Demob!$A$6:$A$14,0))="",INDEX(Mob_Demob!$G$6:$G$14,MATCH(AM171,Mob_Demob!$A$6:$A$14,0))=""),"",ROUND(MAX(N(INDEX(Mob_Demob!$G$6:$G$14,MATCH(AM171,Mob_Demob!$A$6:$A$14,0))),N(INDEX(Mob_Demob!$D$6:$D$14,MATCH(AM171,Mob_Demob!$A$6:$A$14,0)))*Settings!$B$6)+IF(AP171="Y",N(INDEX(Mob_Demob!$I$6:$I$14,MATCH(AM171,Mob_Demob!$A$6:$A$14,0)))*Settings!$B$19,0)+N(INDEX(Mob_Demob!$L$6:$L$14,MATCH(AM171,Mob_Demob!$A$6:$A$14,0)))*N(INDEX(Mob_Demob!$K$6:$K$14,MATCH(AM171,Mob_Demob!$A$6:$A$14,0)))*Settings!$B$6+N(INDEX(Mob_Demob!$M$6:$M$14,MATCH(AM171,Mob_Demob!$A$6:$A$14,0)))*N(INDEX(Mob_Demob!$N$6:$N$14,MATCH(AM171,Mob_Demob!$A$6:$A$14,0))),0)),"")</f>
        <v>500</v>
      </c>
      <c r="AR171" s="16" t="n">
        <f aca="false">IF(AQ171="","",ROUND(AQ171*Settings!$B$18,0))</f>
        <v>500</v>
      </c>
      <c r="AS171" s="13" t="s">
        <v>1388</v>
      </c>
      <c r="AT171" s="14" t="s">
        <v>1389</v>
      </c>
      <c r="AU171" s="14" t="s">
        <v>509</v>
      </c>
    </row>
    <row r="172" customFormat="false" ht="64.15" hidden="false" customHeight="false" outlineLevel="0" collapsed="false">
      <c r="A172" s="21" t="s">
        <v>1390</v>
      </c>
      <c r="B172" s="21" t="s">
        <v>1289</v>
      </c>
      <c r="C172" s="21" t="s">
        <v>1383</v>
      </c>
      <c r="D172" s="21" t="s">
        <v>1391</v>
      </c>
      <c r="E172" s="22" t="s">
        <v>1392</v>
      </c>
      <c r="F172" s="13" t="s">
        <v>1393</v>
      </c>
      <c r="G172" s="13" t="n">
        <v>7</v>
      </c>
      <c r="H172" s="13" t="s">
        <v>462</v>
      </c>
      <c r="I172" s="14" t="s">
        <v>1394</v>
      </c>
      <c r="J172" s="15" t="n">
        <v>13000</v>
      </c>
      <c r="K172" s="13"/>
      <c r="L172" s="13" t="s">
        <v>1395</v>
      </c>
      <c r="M172" s="13"/>
      <c r="N172" s="13" t="s">
        <v>184</v>
      </c>
      <c r="O172" s="13" t="s">
        <v>1295</v>
      </c>
      <c r="P172" s="13" t="s">
        <v>186</v>
      </c>
      <c r="Q172" s="20" t="n">
        <v>1356</v>
      </c>
      <c r="R172" s="20" t="n">
        <v>3932</v>
      </c>
      <c r="S172" s="20" t="n">
        <v>11403</v>
      </c>
      <c r="T172" s="16"/>
      <c r="U172" s="16"/>
      <c r="V172" s="13" t="s">
        <v>187</v>
      </c>
      <c r="W172" s="17"/>
      <c r="X172" s="13"/>
      <c r="Y172" s="13" t="s">
        <v>259</v>
      </c>
      <c r="Z172" s="13" t="s">
        <v>260</v>
      </c>
      <c r="AA172" s="13" t="s">
        <v>192</v>
      </c>
      <c r="AB172" s="13"/>
      <c r="AC172" s="17"/>
      <c r="AD172" s="13"/>
      <c r="AE172" s="19"/>
      <c r="AF172" s="19"/>
      <c r="AG172" s="19"/>
      <c r="AH172" s="13"/>
      <c r="AI172" s="17"/>
      <c r="AJ172" s="13" t="s">
        <v>188</v>
      </c>
      <c r="AK172" s="13" t="s">
        <v>188</v>
      </c>
      <c r="AL172" s="14" t="s">
        <v>194</v>
      </c>
      <c r="AM172" s="13" t="s">
        <v>195</v>
      </c>
      <c r="AN172" s="15" t="n">
        <v>13000</v>
      </c>
      <c r="AO172" s="13"/>
      <c r="AP172" s="13" t="s">
        <v>196</v>
      </c>
      <c r="AQ172" s="16" t="n">
        <f aca="false">IFERROR(IF(AND(INDEX(Mob_Demob!$D$6:$D$14,MATCH(AM172,Mob_Demob!$A$6:$A$14,0))="",INDEX(Mob_Demob!$G$6:$G$14,MATCH(AM172,Mob_Demob!$A$6:$A$14,0))=""),"",ROUND(MAX(N(INDEX(Mob_Demob!$G$6:$G$14,MATCH(AM172,Mob_Demob!$A$6:$A$14,0))),N(INDEX(Mob_Demob!$D$6:$D$14,MATCH(AM172,Mob_Demob!$A$6:$A$14,0)))*Settings!$B$6)+IF(AP172="Y",N(INDEX(Mob_Demob!$I$6:$I$14,MATCH(AM172,Mob_Demob!$A$6:$A$14,0)))*Settings!$B$19,0)+N(INDEX(Mob_Demob!$L$6:$L$14,MATCH(AM172,Mob_Demob!$A$6:$A$14,0)))*N(INDEX(Mob_Demob!$K$6:$K$14,MATCH(AM172,Mob_Demob!$A$6:$A$14,0)))*Settings!$B$6+N(INDEX(Mob_Demob!$M$6:$M$14,MATCH(AM172,Mob_Demob!$A$6:$A$14,0)))*N(INDEX(Mob_Demob!$N$6:$N$14,MATCH(AM172,Mob_Demob!$A$6:$A$14,0))),0)),"")</f>
        <v>500</v>
      </c>
      <c r="AR172" s="16" t="n">
        <f aca="false">IF(AQ172="","",ROUND(AQ172*Settings!$B$18,0))</f>
        <v>500</v>
      </c>
      <c r="AS172" s="13" t="s">
        <v>1388</v>
      </c>
      <c r="AT172" s="14" t="s">
        <v>585</v>
      </c>
      <c r="AU172" s="14" t="s">
        <v>262</v>
      </c>
    </row>
    <row r="173" customFormat="false" ht="64.15" hidden="false" customHeight="false" outlineLevel="0" collapsed="false">
      <c r="A173" s="21" t="s">
        <v>1396</v>
      </c>
      <c r="B173" s="21" t="s">
        <v>1289</v>
      </c>
      <c r="C173" s="21" t="s">
        <v>1383</v>
      </c>
      <c r="D173" s="21" t="s">
        <v>1397</v>
      </c>
      <c r="E173" s="22" t="s">
        <v>1398</v>
      </c>
      <c r="F173" s="13" t="s">
        <v>1393</v>
      </c>
      <c r="G173" s="13" t="n">
        <v>15.7</v>
      </c>
      <c r="H173" s="13" t="s">
        <v>462</v>
      </c>
      <c r="I173" s="14" t="s">
        <v>1399</v>
      </c>
      <c r="J173" s="15" t="n">
        <v>24000</v>
      </c>
      <c r="K173" s="13"/>
      <c r="L173" s="13" t="s">
        <v>1400</v>
      </c>
      <c r="M173" s="13"/>
      <c r="N173" s="13" t="s">
        <v>184</v>
      </c>
      <c r="O173" s="13" t="s">
        <v>1295</v>
      </c>
      <c r="P173" s="13" t="s">
        <v>186</v>
      </c>
      <c r="Q173" s="20" t="n">
        <v>1662</v>
      </c>
      <c r="R173" s="20" t="n">
        <v>4819</v>
      </c>
      <c r="S173" s="20" t="n">
        <v>13976</v>
      </c>
      <c r="T173" s="16"/>
      <c r="U173" s="16"/>
      <c r="V173" s="13" t="s">
        <v>187</v>
      </c>
      <c r="W173" s="17"/>
      <c r="X173" s="13"/>
      <c r="Y173" s="13" t="s">
        <v>259</v>
      </c>
      <c r="Z173" s="13" t="s">
        <v>260</v>
      </c>
      <c r="AA173" s="13" t="s">
        <v>192</v>
      </c>
      <c r="AB173" s="13"/>
      <c r="AC173" s="17"/>
      <c r="AD173" s="13"/>
      <c r="AE173" s="19"/>
      <c r="AF173" s="19"/>
      <c r="AG173" s="19"/>
      <c r="AH173" s="13"/>
      <c r="AI173" s="17"/>
      <c r="AJ173" s="13" t="s">
        <v>188</v>
      </c>
      <c r="AK173" s="13" t="s">
        <v>188</v>
      </c>
      <c r="AL173" s="14" t="s">
        <v>194</v>
      </c>
      <c r="AM173" s="13" t="s">
        <v>216</v>
      </c>
      <c r="AN173" s="15" t="n">
        <v>24000</v>
      </c>
      <c r="AO173" s="13"/>
      <c r="AP173" s="13" t="s">
        <v>196</v>
      </c>
      <c r="AQ173" s="16" t="n">
        <f aca="false">IFERROR(IF(AND(INDEX(Mob_Demob!$D$6:$D$14,MATCH(AM173,Mob_Demob!$A$6:$A$14,0))="",INDEX(Mob_Demob!$G$6:$G$14,MATCH(AM173,Mob_Demob!$A$6:$A$14,0))=""),"",ROUND(MAX(N(INDEX(Mob_Demob!$G$6:$G$14,MATCH(AM173,Mob_Demob!$A$6:$A$14,0))),N(INDEX(Mob_Demob!$D$6:$D$14,MATCH(AM173,Mob_Demob!$A$6:$A$14,0)))*Settings!$B$6)+IF(AP173="Y",N(INDEX(Mob_Demob!$I$6:$I$14,MATCH(AM173,Mob_Demob!$A$6:$A$14,0)))*Settings!$B$19,0)+N(INDEX(Mob_Demob!$L$6:$L$14,MATCH(AM173,Mob_Demob!$A$6:$A$14,0)))*N(INDEX(Mob_Demob!$K$6:$K$14,MATCH(AM173,Mob_Demob!$A$6:$A$14,0)))*Settings!$B$6+N(INDEX(Mob_Demob!$M$6:$M$14,MATCH(AM173,Mob_Demob!$A$6:$A$14,0)))*N(INDEX(Mob_Demob!$N$6:$N$14,MATCH(AM173,Mob_Demob!$A$6:$A$14,0))),0)),"")</f>
        <v>550</v>
      </c>
      <c r="AR173" s="16" t="n">
        <f aca="false">IF(AQ173="","",ROUND(AQ173*Settings!$B$18,0))</f>
        <v>550</v>
      </c>
      <c r="AS173" s="13" t="s">
        <v>1401</v>
      </c>
      <c r="AT173" s="14" t="s">
        <v>1402</v>
      </c>
      <c r="AU173" s="14" t="s">
        <v>262</v>
      </c>
    </row>
    <row r="174" customFormat="false" ht="64.15" hidden="false" customHeight="false" outlineLevel="0" collapsed="false">
      <c r="A174" s="21" t="s">
        <v>1403</v>
      </c>
      <c r="B174" s="21" t="s">
        <v>1289</v>
      </c>
      <c r="C174" s="21" t="s">
        <v>1383</v>
      </c>
      <c r="D174" s="21" t="s">
        <v>1404</v>
      </c>
      <c r="E174" s="22" t="s">
        <v>1405</v>
      </c>
      <c r="F174" s="13" t="s">
        <v>857</v>
      </c>
      <c r="G174" s="13" t="s">
        <v>1406</v>
      </c>
      <c r="H174" s="13"/>
      <c r="I174" s="14" t="s">
        <v>1405</v>
      </c>
      <c r="J174" s="15"/>
      <c r="K174" s="13"/>
      <c r="L174" s="13"/>
      <c r="M174" s="13"/>
      <c r="N174" s="13" t="s">
        <v>184</v>
      </c>
      <c r="O174" s="13" t="s">
        <v>1295</v>
      </c>
      <c r="P174" s="13" t="s">
        <v>186</v>
      </c>
      <c r="Q174" s="16"/>
      <c r="R174" s="16"/>
      <c r="S174" s="16"/>
      <c r="T174" s="16"/>
      <c r="U174" s="16"/>
      <c r="V174" s="13" t="s">
        <v>187</v>
      </c>
      <c r="W174" s="17"/>
      <c r="X174" s="13"/>
      <c r="Y174" s="13"/>
      <c r="Z174" s="13"/>
      <c r="AA174" s="13" t="s">
        <v>188</v>
      </c>
      <c r="AB174" s="13"/>
      <c r="AC174" s="17"/>
      <c r="AD174" s="13"/>
      <c r="AE174" s="19"/>
      <c r="AF174" s="19" t="n">
        <v>1.19</v>
      </c>
      <c r="AG174" s="19"/>
      <c r="AH174" s="13" t="s">
        <v>1407</v>
      </c>
      <c r="AI174" s="17"/>
      <c r="AJ174" s="13" t="s">
        <v>188</v>
      </c>
      <c r="AK174" s="13" t="s">
        <v>188</v>
      </c>
      <c r="AL174" s="14" t="s">
        <v>194</v>
      </c>
      <c r="AM174" s="13" t="s">
        <v>216</v>
      </c>
      <c r="AN174" s="15"/>
      <c r="AO174" s="13"/>
      <c r="AP174" s="13" t="s">
        <v>241</v>
      </c>
      <c r="AQ174" s="16" t="n">
        <f aca="false">IFERROR(IF(AND(INDEX(Mob_Demob!$D$6:$D$14,MATCH(AM174,Mob_Demob!$A$6:$A$14,0))="",INDEX(Mob_Demob!$G$6:$G$14,MATCH(AM174,Mob_Demob!$A$6:$A$14,0))=""),"",ROUND(MAX(N(INDEX(Mob_Demob!$G$6:$G$14,MATCH(AM174,Mob_Demob!$A$6:$A$14,0))),N(INDEX(Mob_Demob!$D$6:$D$14,MATCH(AM174,Mob_Demob!$A$6:$A$14,0)))*Settings!$B$6)+IF(AP174="Y",N(INDEX(Mob_Demob!$I$6:$I$14,MATCH(AM174,Mob_Demob!$A$6:$A$14,0)))*Settings!$B$19,0)+N(INDEX(Mob_Demob!$L$6:$L$14,MATCH(AM174,Mob_Demob!$A$6:$A$14,0)))*N(INDEX(Mob_Demob!$K$6:$K$14,MATCH(AM174,Mob_Demob!$A$6:$A$14,0)))*Settings!$B$6+N(INDEX(Mob_Demob!$M$6:$M$14,MATCH(AM174,Mob_Demob!$A$6:$A$14,0)))*N(INDEX(Mob_Demob!$N$6:$N$14,MATCH(AM174,Mob_Demob!$A$6:$A$14,0))),0)),"")</f>
        <v>550</v>
      </c>
      <c r="AR174" s="16" t="n">
        <f aca="false">IF(AQ174="","",ROUND(AQ174*Settings!$B$18,0))</f>
        <v>550</v>
      </c>
      <c r="AS174" s="13" t="s">
        <v>1388</v>
      </c>
      <c r="AT174" s="14"/>
      <c r="AU174" s="14" t="s">
        <v>251</v>
      </c>
    </row>
    <row r="175" customFormat="false" ht="64.15" hidden="false" customHeight="false" outlineLevel="0" collapsed="false">
      <c r="A175" s="21" t="s">
        <v>1408</v>
      </c>
      <c r="B175" s="21" t="s">
        <v>1289</v>
      </c>
      <c r="C175" s="21" t="s">
        <v>1383</v>
      </c>
      <c r="D175" s="21" t="s">
        <v>1409</v>
      </c>
      <c r="E175" s="22" t="s">
        <v>1410</v>
      </c>
      <c r="F175" s="13" t="s">
        <v>1393</v>
      </c>
      <c r="G175" s="13" t="n">
        <v>19.5</v>
      </c>
      <c r="H175" s="13" t="s">
        <v>462</v>
      </c>
      <c r="I175" s="14" t="s">
        <v>1411</v>
      </c>
      <c r="J175" s="15" t="n">
        <v>30000</v>
      </c>
      <c r="K175" s="13"/>
      <c r="L175" s="13" t="s">
        <v>1412</v>
      </c>
      <c r="M175" s="13"/>
      <c r="N175" s="13" t="s">
        <v>184</v>
      </c>
      <c r="O175" s="13" t="s">
        <v>1295</v>
      </c>
      <c r="P175" s="13" t="s">
        <v>186</v>
      </c>
      <c r="Q175" s="16"/>
      <c r="R175" s="16"/>
      <c r="S175" s="16"/>
      <c r="T175" s="16"/>
      <c r="U175" s="16"/>
      <c r="V175" s="13" t="s">
        <v>187</v>
      </c>
      <c r="W175" s="17"/>
      <c r="X175" s="13"/>
      <c r="Y175" s="13"/>
      <c r="Z175" s="13"/>
      <c r="AA175" s="13" t="s">
        <v>188</v>
      </c>
      <c r="AB175" s="13"/>
      <c r="AC175" s="17"/>
      <c r="AD175" s="13"/>
      <c r="AE175" s="19"/>
      <c r="AF175" s="19" t="n">
        <v>1.95</v>
      </c>
      <c r="AG175" s="19"/>
      <c r="AH175" s="13" t="s">
        <v>1413</v>
      </c>
      <c r="AI175" s="17"/>
      <c r="AJ175" s="13" t="s">
        <v>188</v>
      </c>
      <c r="AK175" s="13" t="s">
        <v>188</v>
      </c>
      <c r="AL175" s="14" t="s">
        <v>194</v>
      </c>
      <c r="AM175" s="13" t="s">
        <v>216</v>
      </c>
      <c r="AN175" s="15" t="n">
        <v>30000</v>
      </c>
      <c r="AO175" s="13"/>
      <c r="AP175" s="13" t="s">
        <v>196</v>
      </c>
      <c r="AQ175" s="16" t="n">
        <f aca="false">IFERROR(IF(AND(INDEX(Mob_Demob!$D$6:$D$14,MATCH(AM175,Mob_Demob!$A$6:$A$14,0))="",INDEX(Mob_Demob!$G$6:$G$14,MATCH(AM175,Mob_Demob!$A$6:$A$14,0))=""),"",ROUND(MAX(N(INDEX(Mob_Demob!$G$6:$G$14,MATCH(AM175,Mob_Demob!$A$6:$A$14,0))),N(INDEX(Mob_Demob!$D$6:$D$14,MATCH(AM175,Mob_Demob!$A$6:$A$14,0)))*Settings!$B$6)+IF(AP175="Y",N(INDEX(Mob_Demob!$I$6:$I$14,MATCH(AM175,Mob_Demob!$A$6:$A$14,0)))*Settings!$B$19,0)+N(INDEX(Mob_Demob!$L$6:$L$14,MATCH(AM175,Mob_Demob!$A$6:$A$14,0)))*N(INDEX(Mob_Demob!$K$6:$K$14,MATCH(AM175,Mob_Demob!$A$6:$A$14,0)))*Settings!$B$6+N(INDEX(Mob_Demob!$M$6:$M$14,MATCH(AM175,Mob_Demob!$A$6:$A$14,0)))*N(INDEX(Mob_Demob!$N$6:$N$14,MATCH(AM175,Mob_Demob!$A$6:$A$14,0))),0)),"")</f>
        <v>550</v>
      </c>
      <c r="AR175" s="16" t="n">
        <f aca="false">IF(AQ175="","",ROUND(AQ175*Settings!$B$18,0))</f>
        <v>550</v>
      </c>
      <c r="AS175" s="13" t="s">
        <v>1414</v>
      </c>
      <c r="AT175" s="14" t="s">
        <v>1415</v>
      </c>
      <c r="AU175" s="14" t="s">
        <v>251</v>
      </c>
    </row>
    <row r="176" customFormat="false" ht="64.15" hidden="false" customHeight="false" outlineLevel="0" collapsed="false">
      <c r="A176" s="21" t="s">
        <v>1416</v>
      </c>
      <c r="B176" s="21" t="s">
        <v>1289</v>
      </c>
      <c r="C176" s="21" t="s">
        <v>1383</v>
      </c>
      <c r="D176" s="21" t="s">
        <v>1417</v>
      </c>
      <c r="E176" s="22" t="s">
        <v>1418</v>
      </c>
      <c r="F176" s="13" t="s">
        <v>1393</v>
      </c>
      <c r="G176" s="13" t="n">
        <v>19.5</v>
      </c>
      <c r="H176" s="13" t="s">
        <v>462</v>
      </c>
      <c r="I176" s="14" t="s">
        <v>1419</v>
      </c>
      <c r="J176" s="15" t="n">
        <v>31533</v>
      </c>
      <c r="K176" s="13" t="n">
        <v>120</v>
      </c>
      <c r="L176" s="13" t="s">
        <v>1412</v>
      </c>
      <c r="M176" s="13"/>
      <c r="N176" s="13" t="s">
        <v>184</v>
      </c>
      <c r="O176" s="13" t="s">
        <v>1295</v>
      </c>
      <c r="P176" s="13" t="s">
        <v>186</v>
      </c>
      <c r="Q176" s="16"/>
      <c r="R176" s="16"/>
      <c r="S176" s="16"/>
      <c r="T176" s="16"/>
      <c r="U176" s="16"/>
      <c r="V176" s="13" t="s">
        <v>187</v>
      </c>
      <c r="W176" s="17"/>
      <c r="X176" s="13"/>
      <c r="Y176" s="13"/>
      <c r="Z176" s="13"/>
      <c r="AA176" s="13" t="s">
        <v>188</v>
      </c>
      <c r="AB176" s="13" t="s">
        <v>1420</v>
      </c>
      <c r="AC176" s="18" t="n">
        <v>262.71</v>
      </c>
      <c r="AD176" s="13" t="s">
        <v>190</v>
      </c>
      <c r="AE176" s="19"/>
      <c r="AF176" s="19" t="n">
        <v>2.03</v>
      </c>
      <c r="AG176" s="19"/>
      <c r="AH176" s="13" t="s">
        <v>1421</v>
      </c>
      <c r="AI176" s="17" t="n">
        <f aca="false">IF(OR(AC176="",AF176="",Settings!$B$5=""),"",ROUND(AC176-AF176*Settings!$B$5,2))</f>
        <v>255.28</v>
      </c>
      <c r="AJ176" s="13" t="s">
        <v>192</v>
      </c>
      <c r="AK176" s="13" t="s">
        <v>193</v>
      </c>
      <c r="AL176" s="14" t="s">
        <v>194</v>
      </c>
      <c r="AM176" s="13" t="s">
        <v>216</v>
      </c>
      <c r="AN176" s="15" t="n">
        <v>31533</v>
      </c>
      <c r="AO176" s="13"/>
      <c r="AP176" s="13" t="s">
        <v>196</v>
      </c>
      <c r="AQ176" s="16" t="n">
        <f aca="false">IFERROR(IF(AND(INDEX(Mob_Demob!$D$6:$D$14,MATCH(AM176,Mob_Demob!$A$6:$A$14,0))="",INDEX(Mob_Demob!$G$6:$G$14,MATCH(AM176,Mob_Demob!$A$6:$A$14,0))=""),"",ROUND(MAX(N(INDEX(Mob_Demob!$G$6:$G$14,MATCH(AM176,Mob_Demob!$A$6:$A$14,0))),N(INDEX(Mob_Demob!$D$6:$D$14,MATCH(AM176,Mob_Demob!$A$6:$A$14,0)))*Settings!$B$6)+IF(AP176="Y",N(INDEX(Mob_Demob!$I$6:$I$14,MATCH(AM176,Mob_Demob!$A$6:$A$14,0)))*Settings!$B$19,0)+N(INDEX(Mob_Demob!$L$6:$L$14,MATCH(AM176,Mob_Demob!$A$6:$A$14,0)))*N(INDEX(Mob_Demob!$K$6:$K$14,MATCH(AM176,Mob_Demob!$A$6:$A$14,0)))*Settings!$B$6+N(INDEX(Mob_Demob!$M$6:$M$14,MATCH(AM176,Mob_Demob!$A$6:$A$14,0)))*N(INDEX(Mob_Demob!$N$6:$N$14,MATCH(AM176,Mob_Demob!$A$6:$A$14,0))),0)),"")</f>
        <v>550</v>
      </c>
      <c r="AR176" s="16" t="n">
        <f aca="false">IF(AQ176="","",ROUND(AQ176*Settings!$B$18,0))</f>
        <v>550</v>
      </c>
      <c r="AS176" s="13" t="s">
        <v>1414</v>
      </c>
      <c r="AT176" s="14" t="s">
        <v>1422</v>
      </c>
      <c r="AU176" s="14" t="s">
        <v>199</v>
      </c>
    </row>
    <row r="177" customFormat="false" ht="64.15" hidden="false" customHeight="false" outlineLevel="0" collapsed="false">
      <c r="A177" s="21" t="s">
        <v>1423</v>
      </c>
      <c r="B177" s="21" t="s">
        <v>1289</v>
      </c>
      <c r="C177" s="21" t="s">
        <v>1383</v>
      </c>
      <c r="D177" s="21" t="s">
        <v>1409</v>
      </c>
      <c r="E177" s="22" t="s">
        <v>1424</v>
      </c>
      <c r="F177" s="13" t="s">
        <v>1393</v>
      </c>
      <c r="G177" s="13" t="n">
        <v>19.5</v>
      </c>
      <c r="H177" s="13" t="s">
        <v>462</v>
      </c>
      <c r="I177" s="14" t="s">
        <v>1425</v>
      </c>
      <c r="J177" s="15"/>
      <c r="K177" s="13"/>
      <c r="L177" s="13" t="s">
        <v>1412</v>
      </c>
      <c r="M177" s="13"/>
      <c r="N177" s="13" t="s">
        <v>184</v>
      </c>
      <c r="O177" s="13" t="s">
        <v>1295</v>
      </c>
      <c r="P177" s="13" t="s">
        <v>186</v>
      </c>
      <c r="Q177" s="16"/>
      <c r="R177" s="16"/>
      <c r="S177" s="16"/>
      <c r="T177" s="16"/>
      <c r="U177" s="16"/>
      <c r="V177" s="13" t="s">
        <v>187</v>
      </c>
      <c r="W177" s="17"/>
      <c r="X177" s="13"/>
      <c r="Y177" s="13"/>
      <c r="Z177" s="13"/>
      <c r="AA177" s="13" t="s">
        <v>188</v>
      </c>
      <c r="AB177" s="13" t="s">
        <v>1426</v>
      </c>
      <c r="AC177" s="18" t="n">
        <v>274.31</v>
      </c>
      <c r="AD177" s="13" t="s">
        <v>190</v>
      </c>
      <c r="AE177" s="19"/>
      <c r="AF177" s="19" t="n">
        <v>2.51</v>
      </c>
      <c r="AG177" s="19"/>
      <c r="AH177" s="13" t="s">
        <v>1427</v>
      </c>
      <c r="AI177" s="17" t="n">
        <f aca="false">IF(OR(AC177="",AF177="",Settings!$B$5=""),"",ROUND(AC177-AF177*Settings!$B$5,2))</f>
        <v>265.12</v>
      </c>
      <c r="AJ177" s="13" t="s">
        <v>192</v>
      </c>
      <c r="AK177" s="13" t="s">
        <v>193</v>
      </c>
      <c r="AL177" s="14" t="s">
        <v>194</v>
      </c>
      <c r="AM177" s="13" t="s">
        <v>216</v>
      </c>
      <c r="AN177" s="15"/>
      <c r="AO177" s="13"/>
      <c r="AP177" s="13" t="s">
        <v>241</v>
      </c>
      <c r="AQ177" s="16" t="n">
        <f aca="false">IFERROR(IF(AND(INDEX(Mob_Demob!$D$6:$D$14,MATCH(AM177,Mob_Demob!$A$6:$A$14,0))="",INDEX(Mob_Demob!$G$6:$G$14,MATCH(AM177,Mob_Demob!$A$6:$A$14,0))=""),"",ROUND(MAX(N(INDEX(Mob_Demob!$G$6:$G$14,MATCH(AM177,Mob_Demob!$A$6:$A$14,0))),N(INDEX(Mob_Demob!$D$6:$D$14,MATCH(AM177,Mob_Demob!$A$6:$A$14,0)))*Settings!$B$6)+IF(AP177="Y",N(INDEX(Mob_Demob!$I$6:$I$14,MATCH(AM177,Mob_Demob!$A$6:$A$14,0)))*Settings!$B$19,0)+N(INDEX(Mob_Demob!$L$6:$L$14,MATCH(AM177,Mob_Demob!$A$6:$A$14,0)))*N(INDEX(Mob_Demob!$K$6:$K$14,MATCH(AM177,Mob_Demob!$A$6:$A$14,0)))*Settings!$B$6+N(INDEX(Mob_Demob!$M$6:$M$14,MATCH(AM177,Mob_Demob!$A$6:$A$14,0)))*N(INDEX(Mob_Demob!$N$6:$N$14,MATCH(AM177,Mob_Demob!$A$6:$A$14,0))),0)),"")</f>
        <v>550</v>
      </c>
      <c r="AR177" s="16" t="n">
        <f aca="false">IF(AQ177="","",ROUND(AQ177*Settings!$B$18,0))</f>
        <v>550</v>
      </c>
      <c r="AS177" s="13" t="s">
        <v>1414</v>
      </c>
      <c r="AT177" s="14" t="s">
        <v>1422</v>
      </c>
      <c r="AU177" s="14" t="s">
        <v>199</v>
      </c>
    </row>
    <row r="178" customFormat="false" ht="64.15" hidden="false" customHeight="false" outlineLevel="0" collapsed="false">
      <c r="A178" s="21" t="s">
        <v>1428</v>
      </c>
      <c r="B178" s="21" t="s">
        <v>1289</v>
      </c>
      <c r="C178" s="21" t="s">
        <v>1383</v>
      </c>
      <c r="D178" s="21" t="s">
        <v>1417</v>
      </c>
      <c r="E178" s="22" t="s">
        <v>1429</v>
      </c>
      <c r="F178" s="13" t="s">
        <v>1393</v>
      </c>
      <c r="G178" s="13" t="n">
        <v>20</v>
      </c>
      <c r="H178" s="13" t="s">
        <v>462</v>
      </c>
      <c r="I178" s="14" t="s">
        <v>1430</v>
      </c>
      <c r="J178" s="15" t="n">
        <v>33689</v>
      </c>
      <c r="K178" s="13" t="n">
        <v>148</v>
      </c>
      <c r="L178" s="13" t="s">
        <v>1431</v>
      </c>
      <c r="M178" s="13"/>
      <c r="N178" s="13" t="s">
        <v>184</v>
      </c>
      <c r="O178" s="13" t="s">
        <v>1295</v>
      </c>
      <c r="P178" s="13" t="s">
        <v>186</v>
      </c>
      <c r="Q178" s="20" t="n">
        <v>3339</v>
      </c>
      <c r="R178" s="20" t="n">
        <v>9682</v>
      </c>
      <c r="S178" s="20" t="n">
        <v>28078</v>
      </c>
      <c r="T178" s="16"/>
      <c r="U178" s="16"/>
      <c r="V178" s="13" t="s">
        <v>187</v>
      </c>
      <c r="W178" s="17"/>
      <c r="X178" s="13"/>
      <c r="Y178" s="13" t="s">
        <v>259</v>
      </c>
      <c r="Z178" s="13" t="s">
        <v>260</v>
      </c>
      <c r="AA178" s="13" t="s">
        <v>192</v>
      </c>
      <c r="AB178" s="13" t="s">
        <v>1432</v>
      </c>
      <c r="AC178" s="18" t="n">
        <v>271.01</v>
      </c>
      <c r="AD178" s="13" t="s">
        <v>190</v>
      </c>
      <c r="AE178" s="19"/>
      <c r="AF178" s="19" t="n">
        <v>2.62</v>
      </c>
      <c r="AG178" s="19"/>
      <c r="AH178" s="13" t="s">
        <v>1433</v>
      </c>
      <c r="AI178" s="17" t="n">
        <f aca="false">IF(OR(AC178="",AF178="",Settings!$B$5=""),"",ROUND(AC178-AF178*Settings!$B$5,2))</f>
        <v>261.42</v>
      </c>
      <c r="AJ178" s="13" t="s">
        <v>192</v>
      </c>
      <c r="AK178" s="13" t="s">
        <v>193</v>
      </c>
      <c r="AL178" s="14" t="s">
        <v>194</v>
      </c>
      <c r="AM178" s="13" t="s">
        <v>216</v>
      </c>
      <c r="AN178" s="15" t="n">
        <v>33689</v>
      </c>
      <c r="AO178" s="13"/>
      <c r="AP178" s="13" t="s">
        <v>196</v>
      </c>
      <c r="AQ178" s="16" t="n">
        <f aca="false">IFERROR(IF(AND(INDEX(Mob_Demob!$D$6:$D$14,MATCH(AM178,Mob_Demob!$A$6:$A$14,0))="",INDEX(Mob_Demob!$G$6:$G$14,MATCH(AM178,Mob_Demob!$A$6:$A$14,0))=""),"",ROUND(MAX(N(INDEX(Mob_Demob!$G$6:$G$14,MATCH(AM178,Mob_Demob!$A$6:$A$14,0))),N(INDEX(Mob_Demob!$D$6:$D$14,MATCH(AM178,Mob_Demob!$A$6:$A$14,0)))*Settings!$B$6)+IF(AP178="Y",N(INDEX(Mob_Demob!$I$6:$I$14,MATCH(AM178,Mob_Demob!$A$6:$A$14,0)))*Settings!$B$19,0)+N(INDEX(Mob_Demob!$L$6:$L$14,MATCH(AM178,Mob_Demob!$A$6:$A$14,0)))*N(INDEX(Mob_Demob!$K$6:$K$14,MATCH(AM178,Mob_Demob!$A$6:$A$14,0)))*Settings!$B$6+N(INDEX(Mob_Demob!$M$6:$M$14,MATCH(AM178,Mob_Demob!$A$6:$A$14,0)))*N(INDEX(Mob_Demob!$N$6:$N$14,MATCH(AM178,Mob_Demob!$A$6:$A$14,0))),0)),"")</f>
        <v>550</v>
      </c>
      <c r="AR178" s="16" t="n">
        <f aca="false">IF(AQ178="","",ROUND(AQ178*Settings!$B$18,0))</f>
        <v>550</v>
      </c>
      <c r="AS178" s="13" t="s">
        <v>1414</v>
      </c>
      <c r="AT178" s="14" t="s">
        <v>1434</v>
      </c>
      <c r="AU178" s="14"/>
    </row>
    <row r="179" customFormat="false" ht="64.15" hidden="false" customHeight="false" outlineLevel="0" collapsed="false">
      <c r="A179" s="21" t="s">
        <v>1435</v>
      </c>
      <c r="B179" s="21" t="s">
        <v>1289</v>
      </c>
      <c r="C179" s="21" t="s">
        <v>1383</v>
      </c>
      <c r="D179" s="21" t="s">
        <v>1409</v>
      </c>
      <c r="E179" s="22" t="s">
        <v>1436</v>
      </c>
      <c r="F179" s="13" t="s">
        <v>1393</v>
      </c>
      <c r="G179" s="13" t="n">
        <v>20.5</v>
      </c>
      <c r="H179" s="13" t="s">
        <v>462</v>
      </c>
      <c r="I179" s="14" t="s">
        <v>1437</v>
      </c>
      <c r="J179" s="15"/>
      <c r="K179" s="13"/>
      <c r="L179" s="13" t="s">
        <v>1438</v>
      </c>
      <c r="M179" s="13"/>
      <c r="N179" s="13" t="s">
        <v>184</v>
      </c>
      <c r="O179" s="13" t="s">
        <v>1295</v>
      </c>
      <c r="P179" s="13" t="s">
        <v>186</v>
      </c>
      <c r="Q179" s="16"/>
      <c r="R179" s="16"/>
      <c r="S179" s="16"/>
      <c r="T179" s="16"/>
      <c r="U179" s="16"/>
      <c r="V179" s="13" t="s">
        <v>187</v>
      </c>
      <c r="W179" s="17"/>
      <c r="X179" s="13"/>
      <c r="Y179" s="13"/>
      <c r="Z179" s="13"/>
      <c r="AA179" s="13" t="s">
        <v>188</v>
      </c>
      <c r="AB179" s="13"/>
      <c r="AC179" s="17"/>
      <c r="AD179" s="13"/>
      <c r="AE179" s="19"/>
      <c r="AF179" s="19" t="n">
        <v>2.91</v>
      </c>
      <c r="AG179" s="19"/>
      <c r="AH179" s="13" t="s">
        <v>1439</v>
      </c>
      <c r="AI179" s="17"/>
      <c r="AJ179" s="13" t="s">
        <v>188</v>
      </c>
      <c r="AK179" s="13" t="s">
        <v>188</v>
      </c>
      <c r="AL179" s="14" t="s">
        <v>194</v>
      </c>
      <c r="AM179" s="13" t="s">
        <v>216</v>
      </c>
      <c r="AN179" s="15"/>
      <c r="AO179" s="13"/>
      <c r="AP179" s="13" t="s">
        <v>241</v>
      </c>
      <c r="AQ179" s="16" t="n">
        <f aca="false">IFERROR(IF(AND(INDEX(Mob_Demob!$D$6:$D$14,MATCH(AM179,Mob_Demob!$A$6:$A$14,0))="",INDEX(Mob_Demob!$G$6:$G$14,MATCH(AM179,Mob_Demob!$A$6:$A$14,0))=""),"",ROUND(MAX(N(INDEX(Mob_Demob!$G$6:$G$14,MATCH(AM179,Mob_Demob!$A$6:$A$14,0))),N(INDEX(Mob_Demob!$D$6:$D$14,MATCH(AM179,Mob_Demob!$A$6:$A$14,0)))*Settings!$B$6)+IF(AP179="Y",N(INDEX(Mob_Demob!$I$6:$I$14,MATCH(AM179,Mob_Demob!$A$6:$A$14,0)))*Settings!$B$19,0)+N(INDEX(Mob_Demob!$L$6:$L$14,MATCH(AM179,Mob_Demob!$A$6:$A$14,0)))*N(INDEX(Mob_Demob!$K$6:$K$14,MATCH(AM179,Mob_Demob!$A$6:$A$14,0)))*Settings!$B$6+N(INDEX(Mob_Demob!$M$6:$M$14,MATCH(AM179,Mob_Demob!$A$6:$A$14,0)))*N(INDEX(Mob_Demob!$N$6:$N$14,MATCH(AM179,Mob_Demob!$A$6:$A$14,0))),0)),"")</f>
        <v>550</v>
      </c>
      <c r="AR179" s="16" t="n">
        <f aca="false">IF(AQ179="","",ROUND(AQ179*Settings!$B$18,0))</f>
        <v>550</v>
      </c>
      <c r="AS179" s="13" t="s">
        <v>1414</v>
      </c>
      <c r="AT179" s="14" t="s">
        <v>1415</v>
      </c>
      <c r="AU179" s="14" t="s">
        <v>251</v>
      </c>
    </row>
    <row r="180" customFormat="false" ht="64.15" hidden="false" customHeight="false" outlineLevel="0" collapsed="false">
      <c r="A180" s="21" t="s">
        <v>1440</v>
      </c>
      <c r="B180" s="21" t="s">
        <v>1289</v>
      </c>
      <c r="C180" s="21" t="s">
        <v>1383</v>
      </c>
      <c r="D180" s="21" t="s">
        <v>1417</v>
      </c>
      <c r="E180" s="22" t="s">
        <v>1441</v>
      </c>
      <c r="F180" s="13" t="s">
        <v>1393</v>
      </c>
      <c r="G180" s="13" t="n">
        <v>20.5</v>
      </c>
      <c r="H180" s="13" t="s">
        <v>462</v>
      </c>
      <c r="I180" s="14" t="s">
        <v>1442</v>
      </c>
      <c r="J180" s="15" t="n">
        <v>40560</v>
      </c>
      <c r="K180" s="13" t="n">
        <v>173</v>
      </c>
      <c r="L180" s="13" t="s">
        <v>1438</v>
      </c>
      <c r="M180" s="13"/>
      <c r="N180" s="13" t="s">
        <v>184</v>
      </c>
      <c r="O180" s="13" t="s">
        <v>1295</v>
      </c>
      <c r="P180" s="13" t="s">
        <v>186</v>
      </c>
      <c r="Q180" s="20" t="n">
        <v>3731</v>
      </c>
      <c r="R180" s="20" t="n">
        <v>10821</v>
      </c>
      <c r="S180" s="20" t="n">
        <v>31381</v>
      </c>
      <c r="T180" s="16"/>
      <c r="U180" s="16"/>
      <c r="V180" s="13" t="s">
        <v>187</v>
      </c>
      <c r="W180" s="17"/>
      <c r="X180" s="13"/>
      <c r="Y180" s="13" t="s">
        <v>259</v>
      </c>
      <c r="Z180" s="13" t="s">
        <v>260</v>
      </c>
      <c r="AA180" s="13" t="s">
        <v>192</v>
      </c>
      <c r="AB180" s="13" t="s">
        <v>1443</v>
      </c>
      <c r="AC180" s="18" t="n">
        <v>308.47</v>
      </c>
      <c r="AD180" s="13" t="s">
        <v>190</v>
      </c>
      <c r="AE180" s="19"/>
      <c r="AF180" s="19" t="n">
        <v>3.04</v>
      </c>
      <c r="AG180" s="19"/>
      <c r="AH180" s="13" t="s">
        <v>1444</v>
      </c>
      <c r="AI180" s="17" t="n">
        <f aca="false">IF(OR(AC180="",AF180="",Settings!$B$5=""),"",ROUND(AC180-AF180*Settings!$B$5,2))</f>
        <v>297.34</v>
      </c>
      <c r="AJ180" s="13" t="s">
        <v>192</v>
      </c>
      <c r="AK180" s="13" t="s">
        <v>193</v>
      </c>
      <c r="AL180" s="14" t="s">
        <v>194</v>
      </c>
      <c r="AM180" s="13" t="s">
        <v>216</v>
      </c>
      <c r="AN180" s="15" t="n">
        <v>40560</v>
      </c>
      <c r="AO180" s="13"/>
      <c r="AP180" s="13" t="s">
        <v>196</v>
      </c>
      <c r="AQ180" s="16" t="n">
        <f aca="false">IFERROR(IF(AND(INDEX(Mob_Demob!$D$6:$D$14,MATCH(AM180,Mob_Demob!$A$6:$A$14,0))="",INDEX(Mob_Demob!$G$6:$G$14,MATCH(AM180,Mob_Demob!$A$6:$A$14,0))=""),"",ROUND(MAX(N(INDEX(Mob_Demob!$G$6:$G$14,MATCH(AM180,Mob_Demob!$A$6:$A$14,0))),N(INDEX(Mob_Demob!$D$6:$D$14,MATCH(AM180,Mob_Demob!$A$6:$A$14,0)))*Settings!$B$6)+IF(AP180="Y",N(INDEX(Mob_Demob!$I$6:$I$14,MATCH(AM180,Mob_Demob!$A$6:$A$14,0)))*Settings!$B$19,0)+N(INDEX(Mob_Demob!$L$6:$L$14,MATCH(AM180,Mob_Demob!$A$6:$A$14,0)))*N(INDEX(Mob_Demob!$K$6:$K$14,MATCH(AM180,Mob_Demob!$A$6:$A$14,0)))*Settings!$B$6+N(INDEX(Mob_Demob!$M$6:$M$14,MATCH(AM180,Mob_Demob!$A$6:$A$14,0)))*N(INDEX(Mob_Demob!$N$6:$N$14,MATCH(AM180,Mob_Demob!$A$6:$A$14,0))),0)),"")</f>
        <v>550</v>
      </c>
      <c r="AR180" s="16" t="n">
        <f aca="false">IF(AQ180="","",ROUND(AQ180*Settings!$B$18,0))</f>
        <v>550</v>
      </c>
      <c r="AS180" s="13" t="s">
        <v>1414</v>
      </c>
      <c r="AT180" s="14" t="s">
        <v>1434</v>
      </c>
      <c r="AU180" s="14"/>
    </row>
    <row r="181" customFormat="false" ht="64.15" hidden="false" customHeight="false" outlineLevel="0" collapsed="false">
      <c r="A181" s="21" t="s">
        <v>1445</v>
      </c>
      <c r="B181" s="21" t="s">
        <v>1289</v>
      </c>
      <c r="C181" s="21" t="s">
        <v>1383</v>
      </c>
      <c r="D181" s="21" t="s">
        <v>1409</v>
      </c>
      <c r="E181" s="22" t="s">
        <v>1446</v>
      </c>
      <c r="F181" s="13" t="s">
        <v>1393</v>
      </c>
      <c r="G181" s="13" t="n">
        <v>25.5</v>
      </c>
      <c r="H181" s="13" t="s">
        <v>462</v>
      </c>
      <c r="I181" s="14" t="s">
        <v>1447</v>
      </c>
      <c r="J181" s="15" t="n">
        <v>42620</v>
      </c>
      <c r="K181" s="13"/>
      <c r="L181" s="13" t="s">
        <v>1448</v>
      </c>
      <c r="M181" s="13"/>
      <c r="N181" s="13" t="s">
        <v>184</v>
      </c>
      <c r="O181" s="13" t="s">
        <v>1295</v>
      </c>
      <c r="P181" s="13" t="s">
        <v>186</v>
      </c>
      <c r="Q181" s="16"/>
      <c r="R181" s="16"/>
      <c r="S181" s="16"/>
      <c r="T181" s="16"/>
      <c r="U181" s="16"/>
      <c r="V181" s="13" t="s">
        <v>187</v>
      </c>
      <c r="W181" s="17"/>
      <c r="X181" s="13"/>
      <c r="Y181" s="13"/>
      <c r="Z181" s="13"/>
      <c r="AA181" s="13" t="s">
        <v>188</v>
      </c>
      <c r="AB181" s="13" t="s">
        <v>1449</v>
      </c>
      <c r="AC181" s="18" t="n">
        <v>295.49</v>
      </c>
      <c r="AD181" s="13" t="s">
        <v>190</v>
      </c>
      <c r="AE181" s="19"/>
      <c r="AF181" s="19" t="n">
        <v>3.43</v>
      </c>
      <c r="AG181" s="19"/>
      <c r="AH181" s="13" t="s">
        <v>1450</v>
      </c>
      <c r="AI181" s="17" t="n">
        <f aca="false">IF(OR(AC181="",AF181="",Settings!$B$5=""),"",ROUND(AC181-AF181*Settings!$B$5,2))</f>
        <v>282.94</v>
      </c>
      <c r="AJ181" s="13" t="s">
        <v>192</v>
      </c>
      <c r="AK181" s="13" t="s">
        <v>193</v>
      </c>
      <c r="AL181" s="14" t="s">
        <v>194</v>
      </c>
      <c r="AM181" s="13" t="s">
        <v>216</v>
      </c>
      <c r="AN181" s="15" t="n">
        <v>42620</v>
      </c>
      <c r="AO181" s="13"/>
      <c r="AP181" s="13" t="s">
        <v>196</v>
      </c>
      <c r="AQ181" s="16" t="n">
        <f aca="false">IFERROR(IF(AND(INDEX(Mob_Demob!$D$6:$D$14,MATCH(AM181,Mob_Demob!$A$6:$A$14,0))="",INDEX(Mob_Demob!$G$6:$G$14,MATCH(AM181,Mob_Demob!$A$6:$A$14,0))=""),"",ROUND(MAX(N(INDEX(Mob_Demob!$G$6:$G$14,MATCH(AM181,Mob_Demob!$A$6:$A$14,0))),N(INDEX(Mob_Demob!$D$6:$D$14,MATCH(AM181,Mob_Demob!$A$6:$A$14,0)))*Settings!$B$6)+IF(AP181="Y",N(INDEX(Mob_Demob!$I$6:$I$14,MATCH(AM181,Mob_Demob!$A$6:$A$14,0)))*Settings!$B$19,0)+N(INDEX(Mob_Demob!$L$6:$L$14,MATCH(AM181,Mob_Demob!$A$6:$A$14,0)))*N(INDEX(Mob_Demob!$K$6:$K$14,MATCH(AM181,Mob_Demob!$A$6:$A$14,0)))*Settings!$B$6+N(INDEX(Mob_Demob!$M$6:$M$14,MATCH(AM181,Mob_Demob!$A$6:$A$14,0)))*N(INDEX(Mob_Demob!$N$6:$N$14,MATCH(AM181,Mob_Demob!$A$6:$A$14,0))),0)),"")</f>
        <v>550</v>
      </c>
      <c r="AR181" s="16" t="n">
        <f aca="false">IF(AQ181="","",ROUND(AQ181*Settings!$B$18,0))</f>
        <v>550</v>
      </c>
      <c r="AS181" s="13" t="s">
        <v>1414</v>
      </c>
      <c r="AT181" s="14" t="s">
        <v>1422</v>
      </c>
      <c r="AU181" s="14" t="s">
        <v>199</v>
      </c>
    </row>
    <row r="182" customFormat="false" ht="64.15" hidden="false" customHeight="false" outlineLevel="0" collapsed="false">
      <c r="A182" s="21" t="s">
        <v>1451</v>
      </c>
      <c r="B182" s="21" t="s">
        <v>1289</v>
      </c>
      <c r="C182" s="21" t="s">
        <v>1383</v>
      </c>
      <c r="D182" s="21" t="s">
        <v>1417</v>
      </c>
      <c r="E182" s="22" t="s">
        <v>1452</v>
      </c>
      <c r="F182" s="13" t="s">
        <v>1393</v>
      </c>
      <c r="G182" s="13" t="n">
        <v>25</v>
      </c>
      <c r="H182" s="13" t="s">
        <v>462</v>
      </c>
      <c r="I182" s="14" t="s">
        <v>1453</v>
      </c>
      <c r="J182" s="15" t="n">
        <v>45087</v>
      </c>
      <c r="K182" s="13"/>
      <c r="L182" s="13" t="s">
        <v>1454</v>
      </c>
      <c r="M182" s="13"/>
      <c r="N182" s="13" t="s">
        <v>184</v>
      </c>
      <c r="O182" s="13" t="s">
        <v>1295</v>
      </c>
      <c r="P182" s="13" t="s">
        <v>186</v>
      </c>
      <c r="Q182" s="20" t="n">
        <v>4230</v>
      </c>
      <c r="R182" s="20" t="n">
        <v>12267</v>
      </c>
      <c r="S182" s="20" t="n">
        <v>35574</v>
      </c>
      <c r="T182" s="16"/>
      <c r="U182" s="16"/>
      <c r="V182" s="13" t="s">
        <v>187</v>
      </c>
      <c r="W182" s="17"/>
      <c r="X182" s="13"/>
      <c r="Y182" s="13" t="s">
        <v>259</v>
      </c>
      <c r="Z182" s="13" t="s">
        <v>260</v>
      </c>
      <c r="AA182" s="13" t="s">
        <v>192</v>
      </c>
      <c r="AB182" s="13"/>
      <c r="AC182" s="17"/>
      <c r="AD182" s="13"/>
      <c r="AE182" s="19"/>
      <c r="AF182" s="19" t="n">
        <v>3.65</v>
      </c>
      <c r="AG182" s="19"/>
      <c r="AH182" s="13" t="s">
        <v>1455</v>
      </c>
      <c r="AI182" s="17"/>
      <c r="AJ182" s="13" t="s">
        <v>188</v>
      </c>
      <c r="AK182" s="13" t="s">
        <v>188</v>
      </c>
      <c r="AL182" s="14" t="s">
        <v>194</v>
      </c>
      <c r="AM182" s="13" t="s">
        <v>216</v>
      </c>
      <c r="AN182" s="15" t="n">
        <v>45087</v>
      </c>
      <c r="AO182" s="13"/>
      <c r="AP182" s="13" t="s">
        <v>241</v>
      </c>
      <c r="AQ182" s="16" t="n">
        <f aca="false">IFERROR(IF(AND(INDEX(Mob_Demob!$D$6:$D$14,MATCH(AM182,Mob_Demob!$A$6:$A$14,0))="",INDEX(Mob_Demob!$G$6:$G$14,MATCH(AM182,Mob_Demob!$A$6:$A$14,0))=""),"",ROUND(MAX(N(INDEX(Mob_Demob!$G$6:$G$14,MATCH(AM182,Mob_Demob!$A$6:$A$14,0))),N(INDEX(Mob_Demob!$D$6:$D$14,MATCH(AM182,Mob_Demob!$A$6:$A$14,0)))*Settings!$B$6)+IF(AP182="Y",N(INDEX(Mob_Demob!$I$6:$I$14,MATCH(AM182,Mob_Demob!$A$6:$A$14,0)))*Settings!$B$19,0)+N(INDEX(Mob_Demob!$L$6:$L$14,MATCH(AM182,Mob_Demob!$A$6:$A$14,0)))*N(INDEX(Mob_Demob!$K$6:$K$14,MATCH(AM182,Mob_Demob!$A$6:$A$14,0)))*Settings!$B$6+N(INDEX(Mob_Demob!$M$6:$M$14,MATCH(AM182,Mob_Demob!$A$6:$A$14,0)))*N(INDEX(Mob_Demob!$N$6:$N$14,MATCH(AM182,Mob_Demob!$A$6:$A$14,0))),0)),"")</f>
        <v>550</v>
      </c>
      <c r="AR182" s="16" t="n">
        <f aca="false">IF(AQ182="","",ROUND(AQ182*Settings!$B$18,0))</f>
        <v>550</v>
      </c>
      <c r="AS182" s="13" t="s">
        <v>1414</v>
      </c>
      <c r="AT182" s="14" t="s">
        <v>1456</v>
      </c>
      <c r="AU182" s="14" t="s">
        <v>341</v>
      </c>
    </row>
    <row r="183" customFormat="false" ht="64.15" hidden="false" customHeight="false" outlineLevel="0" collapsed="false">
      <c r="A183" s="21" t="s">
        <v>1457</v>
      </c>
      <c r="B183" s="21" t="s">
        <v>1289</v>
      </c>
      <c r="C183" s="21" t="s">
        <v>1458</v>
      </c>
      <c r="D183" s="21" t="s">
        <v>1459</v>
      </c>
      <c r="E183" s="22" t="s">
        <v>1460</v>
      </c>
      <c r="F183" s="13" t="s">
        <v>1461</v>
      </c>
      <c r="G183" s="13" t="s">
        <v>1462</v>
      </c>
      <c r="H183" s="13"/>
      <c r="I183" s="14" t="s">
        <v>1463</v>
      </c>
      <c r="J183" s="15"/>
      <c r="K183" s="13"/>
      <c r="L183" s="13"/>
      <c r="M183" s="13"/>
      <c r="N183" s="13" t="s">
        <v>184</v>
      </c>
      <c r="O183" s="13" t="s">
        <v>1295</v>
      </c>
      <c r="P183" s="13" t="s">
        <v>186</v>
      </c>
      <c r="Q183" s="16"/>
      <c r="R183" s="16"/>
      <c r="S183" s="16"/>
      <c r="T183" s="16"/>
      <c r="U183" s="16"/>
      <c r="V183" s="13" t="s">
        <v>187</v>
      </c>
      <c r="W183" s="17"/>
      <c r="X183" s="13"/>
      <c r="Y183" s="13"/>
      <c r="Z183" s="13"/>
      <c r="AA183" s="13" t="s">
        <v>188</v>
      </c>
      <c r="AB183" s="13" t="s">
        <v>1462</v>
      </c>
      <c r="AC183" s="17"/>
      <c r="AD183" s="13"/>
      <c r="AE183" s="19"/>
      <c r="AF183" s="19"/>
      <c r="AG183" s="19"/>
      <c r="AH183" s="13"/>
      <c r="AI183" s="17"/>
      <c r="AJ183" s="13" t="s">
        <v>188</v>
      </c>
      <c r="AK183" s="13" t="s">
        <v>188</v>
      </c>
      <c r="AL183" s="14" t="s">
        <v>194</v>
      </c>
      <c r="AM183" s="13" t="s">
        <v>268</v>
      </c>
      <c r="AN183" s="15"/>
      <c r="AO183" s="13"/>
      <c r="AP183" s="13" t="s">
        <v>269</v>
      </c>
      <c r="AQ183" s="16" t="n">
        <f aca="false">IFERROR(IF(AND(INDEX(Mob_Demob!$D$6:$D$14,MATCH(AM183,Mob_Demob!$A$6:$A$14,0))="",INDEX(Mob_Demob!$G$6:$G$14,MATCH(AM183,Mob_Demob!$A$6:$A$14,0))=""),"",ROUND(MAX(N(INDEX(Mob_Demob!$G$6:$G$14,MATCH(AM183,Mob_Demob!$A$6:$A$14,0))),N(INDEX(Mob_Demob!$D$6:$D$14,MATCH(AM183,Mob_Demob!$A$6:$A$14,0)))*Settings!$B$6)+IF(AP183="Y",N(INDEX(Mob_Demob!$I$6:$I$14,MATCH(AM183,Mob_Demob!$A$6:$A$14,0)))*Settings!$B$19,0)+N(INDEX(Mob_Demob!$L$6:$L$14,MATCH(AM183,Mob_Demob!$A$6:$A$14,0)))*N(INDEX(Mob_Demob!$K$6:$K$14,MATCH(AM183,Mob_Demob!$A$6:$A$14,0)))*Settings!$B$6+N(INDEX(Mob_Demob!$M$6:$M$14,MATCH(AM183,Mob_Demob!$A$6:$A$14,0)))*N(INDEX(Mob_Demob!$N$6:$N$14,MATCH(AM183,Mob_Demob!$A$6:$A$14,0))),0)),"")</f>
        <v>1800</v>
      </c>
      <c r="AR183" s="16" t="n">
        <f aca="false">IF(AQ183="","",ROUND(AQ183*Settings!$B$18,0))</f>
        <v>1800</v>
      </c>
      <c r="AS183" s="13" t="s">
        <v>1464</v>
      </c>
      <c r="AT183" s="14" t="s">
        <v>1465</v>
      </c>
      <c r="AU183" s="14" t="s">
        <v>1381</v>
      </c>
    </row>
    <row r="184" customFormat="false" ht="64.15" hidden="false" customHeight="false" outlineLevel="0" collapsed="false">
      <c r="A184" s="21" t="s">
        <v>1466</v>
      </c>
      <c r="B184" s="21" t="s">
        <v>1289</v>
      </c>
      <c r="C184" s="21" t="s">
        <v>1458</v>
      </c>
      <c r="D184" s="21" t="s">
        <v>1459</v>
      </c>
      <c r="E184" s="22" t="s">
        <v>1467</v>
      </c>
      <c r="F184" s="13" t="s">
        <v>1461</v>
      </c>
      <c r="G184" s="13" t="s">
        <v>1468</v>
      </c>
      <c r="H184" s="13"/>
      <c r="I184" s="14" t="s">
        <v>1463</v>
      </c>
      <c r="J184" s="15"/>
      <c r="K184" s="13"/>
      <c r="L184" s="13"/>
      <c r="M184" s="13"/>
      <c r="N184" s="13" t="s">
        <v>184</v>
      </c>
      <c r="O184" s="13" t="s">
        <v>1295</v>
      </c>
      <c r="P184" s="13" t="s">
        <v>186</v>
      </c>
      <c r="Q184" s="16"/>
      <c r="R184" s="16"/>
      <c r="S184" s="16"/>
      <c r="T184" s="16"/>
      <c r="U184" s="16"/>
      <c r="V184" s="13" t="s">
        <v>187</v>
      </c>
      <c r="W184" s="17"/>
      <c r="X184" s="13"/>
      <c r="Y184" s="13"/>
      <c r="Z184" s="13"/>
      <c r="AA184" s="13" t="s">
        <v>188</v>
      </c>
      <c r="AB184" s="13" t="s">
        <v>1468</v>
      </c>
      <c r="AC184" s="17"/>
      <c r="AD184" s="13"/>
      <c r="AE184" s="19"/>
      <c r="AF184" s="19"/>
      <c r="AG184" s="19"/>
      <c r="AH184" s="13"/>
      <c r="AI184" s="17"/>
      <c r="AJ184" s="13" t="s">
        <v>188</v>
      </c>
      <c r="AK184" s="13" t="s">
        <v>188</v>
      </c>
      <c r="AL184" s="14" t="s">
        <v>194</v>
      </c>
      <c r="AM184" s="13" t="s">
        <v>268</v>
      </c>
      <c r="AN184" s="15"/>
      <c r="AO184" s="13"/>
      <c r="AP184" s="13" t="s">
        <v>269</v>
      </c>
      <c r="AQ184" s="16" t="n">
        <f aca="false">IFERROR(IF(AND(INDEX(Mob_Demob!$D$6:$D$14,MATCH(AM184,Mob_Demob!$A$6:$A$14,0))="",INDEX(Mob_Demob!$G$6:$G$14,MATCH(AM184,Mob_Demob!$A$6:$A$14,0))=""),"",ROUND(MAX(N(INDEX(Mob_Demob!$G$6:$G$14,MATCH(AM184,Mob_Demob!$A$6:$A$14,0))),N(INDEX(Mob_Demob!$D$6:$D$14,MATCH(AM184,Mob_Demob!$A$6:$A$14,0)))*Settings!$B$6)+IF(AP184="Y",N(INDEX(Mob_Demob!$I$6:$I$14,MATCH(AM184,Mob_Demob!$A$6:$A$14,0)))*Settings!$B$19,0)+N(INDEX(Mob_Demob!$L$6:$L$14,MATCH(AM184,Mob_Demob!$A$6:$A$14,0)))*N(INDEX(Mob_Demob!$K$6:$K$14,MATCH(AM184,Mob_Demob!$A$6:$A$14,0)))*Settings!$B$6+N(INDEX(Mob_Demob!$M$6:$M$14,MATCH(AM184,Mob_Demob!$A$6:$A$14,0)))*N(INDEX(Mob_Demob!$N$6:$N$14,MATCH(AM184,Mob_Demob!$A$6:$A$14,0))),0)),"")</f>
        <v>1800</v>
      </c>
      <c r="AR184" s="16" t="n">
        <f aca="false">IF(AQ184="","",ROUND(AQ184*Settings!$B$18,0))</f>
        <v>1800</v>
      </c>
      <c r="AS184" s="13" t="s">
        <v>1464</v>
      </c>
      <c r="AT184" s="14" t="s">
        <v>1469</v>
      </c>
      <c r="AU184" s="14" t="s">
        <v>1381</v>
      </c>
    </row>
    <row r="185" customFormat="false" ht="64.15" hidden="false" customHeight="false" outlineLevel="0" collapsed="false">
      <c r="A185" s="21" t="s">
        <v>1470</v>
      </c>
      <c r="B185" s="21" t="s">
        <v>1289</v>
      </c>
      <c r="C185" s="21" t="s">
        <v>1458</v>
      </c>
      <c r="D185" s="21" t="s">
        <v>1459</v>
      </c>
      <c r="E185" s="22" t="s">
        <v>1471</v>
      </c>
      <c r="F185" s="13" t="s">
        <v>1461</v>
      </c>
      <c r="G185" s="13" t="s">
        <v>1472</v>
      </c>
      <c r="H185" s="13"/>
      <c r="I185" s="14" t="s">
        <v>1463</v>
      </c>
      <c r="J185" s="15"/>
      <c r="K185" s="13"/>
      <c r="L185" s="13"/>
      <c r="M185" s="13"/>
      <c r="N185" s="13" t="s">
        <v>184</v>
      </c>
      <c r="O185" s="13" t="s">
        <v>1295</v>
      </c>
      <c r="P185" s="13" t="s">
        <v>186</v>
      </c>
      <c r="Q185" s="16"/>
      <c r="R185" s="16"/>
      <c r="S185" s="16"/>
      <c r="T185" s="16"/>
      <c r="U185" s="16"/>
      <c r="V185" s="13" t="s">
        <v>187</v>
      </c>
      <c r="W185" s="17"/>
      <c r="X185" s="13"/>
      <c r="Y185" s="13"/>
      <c r="Z185" s="13"/>
      <c r="AA185" s="13" t="s">
        <v>188</v>
      </c>
      <c r="AB185" s="13" t="s">
        <v>1472</v>
      </c>
      <c r="AC185" s="17"/>
      <c r="AD185" s="13"/>
      <c r="AE185" s="19"/>
      <c r="AF185" s="19"/>
      <c r="AG185" s="19"/>
      <c r="AH185" s="13"/>
      <c r="AI185" s="17"/>
      <c r="AJ185" s="13" t="s">
        <v>188</v>
      </c>
      <c r="AK185" s="13" t="s">
        <v>188</v>
      </c>
      <c r="AL185" s="14" t="s">
        <v>194</v>
      </c>
      <c r="AM185" s="13" t="s">
        <v>268</v>
      </c>
      <c r="AN185" s="15"/>
      <c r="AO185" s="13"/>
      <c r="AP185" s="13" t="s">
        <v>269</v>
      </c>
      <c r="AQ185" s="16" t="n">
        <f aca="false">IFERROR(IF(AND(INDEX(Mob_Demob!$D$6:$D$14,MATCH(AM185,Mob_Demob!$A$6:$A$14,0))="",INDEX(Mob_Demob!$G$6:$G$14,MATCH(AM185,Mob_Demob!$A$6:$A$14,0))=""),"",ROUND(MAX(N(INDEX(Mob_Demob!$G$6:$G$14,MATCH(AM185,Mob_Demob!$A$6:$A$14,0))),N(INDEX(Mob_Demob!$D$6:$D$14,MATCH(AM185,Mob_Demob!$A$6:$A$14,0)))*Settings!$B$6)+IF(AP185="Y",N(INDEX(Mob_Demob!$I$6:$I$14,MATCH(AM185,Mob_Demob!$A$6:$A$14,0)))*Settings!$B$19,0)+N(INDEX(Mob_Demob!$L$6:$L$14,MATCH(AM185,Mob_Demob!$A$6:$A$14,0)))*N(INDEX(Mob_Demob!$K$6:$K$14,MATCH(AM185,Mob_Demob!$A$6:$A$14,0)))*Settings!$B$6+N(INDEX(Mob_Demob!$M$6:$M$14,MATCH(AM185,Mob_Demob!$A$6:$A$14,0)))*N(INDEX(Mob_Demob!$N$6:$N$14,MATCH(AM185,Mob_Demob!$A$6:$A$14,0))),0)),"")</f>
        <v>1800</v>
      </c>
      <c r="AR185" s="16" t="n">
        <f aca="false">IF(AQ185="","",ROUND(AQ185*Settings!$B$18,0))</f>
        <v>1800</v>
      </c>
      <c r="AS185" s="13" t="s">
        <v>1464</v>
      </c>
      <c r="AT185" s="14" t="s">
        <v>1473</v>
      </c>
      <c r="AU185" s="14" t="s">
        <v>1381</v>
      </c>
    </row>
    <row r="186" customFormat="false" ht="64.15" hidden="false" customHeight="false" outlineLevel="0" collapsed="false">
      <c r="A186" s="21" t="s">
        <v>1474</v>
      </c>
      <c r="B186" s="21" t="s">
        <v>1289</v>
      </c>
      <c r="C186" s="21" t="s">
        <v>1458</v>
      </c>
      <c r="D186" s="21" t="s">
        <v>1459</v>
      </c>
      <c r="E186" s="22" t="s">
        <v>1475</v>
      </c>
      <c r="F186" s="13" t="s">
        <v>1461</v>
      </c>
      <c r="G186" s="13" t="s">
        <v>1476</v>
      </c>
      <c r="H186" s="13"/>
      <c r="I186" s="14" t="s">
        <v>1477</v>
      </c>
      <c r="J186" s="15"/>
      <c r="K186" s="13"/>
      <c r="L186" s="13"/>
      <c r="M186" s="13"/>
      <c r="N186" s="13" t="s">
        <v>184</v>
      </c>
      <c r="O186" s="13" t="s">
        <v>1295</v>
      </c>
      <c r="P186" s="13" t="s">
        <v>186</v>
      </c>
      <c r="Q186" s="16"/>
      <c r="R186" s="16"/>
      <c r="S186" s="16"/>
      <c r="T186" s="16"/>
      <c r="U186" s="16"/>
      <c r="V186" s="13" t="s">
        <v>187</v>
      </c>
      <c r="W186" s="17"/>
      <c r="X186" s="13"/>
      <c r="Y186" s="13"/>
      <c r="Z186" s="13"/>
      <c r="AA186" s="13" t="s">
        <v>188</v>
      </c>
      <c r="AB186" s="13" t="s">
        <v>1476</v>
      </c>
      <c r="AC186" s="17"/>
      <c r="AD186" s="13"/>
      <c r="AE186" s="19"/>
      <c r="AF186" s="19"/>
      <c r="AG186" s="19"/>
      <c r="AH186" s="13"/>
      <c r="AI186" s="17"/>
      <c r="AJ186" s="13" t="s">
        <v>188</v>
      </c>
      <c r="AK186" s="13" t="s">
        <v>188</v>
      </c>
      <c r="AL186" s="14" t="s">
        <v>194</v>
      </c>
      <c r="AM186" s="13" t="s">
        <v>268</v>
      </c>
      <c r="AN186" s="15"/>
      <c r="AO186" s="13"/>
      <c r="AP186" s="13" t="s">
        <v>269</v>
      </c>
      <c r="AQ186" s="16" t="n">
        <f aca="false">IFERROR(IF(AND(INDEX(Mob_Demob!$D$6:$D$14,MATCH(AM186,Mob_Demob!$A$6:$A$14,0))="",INDEX(Mob_Demob!$G$6:$G$14,MATCH(AM186,Mob_Demob!$A$6:$A$14,0))=""),"",ROUND(MAX(N(INDEX(Mob_Demob!$G$6:$G$14,MATCH(AM186,Mob_Demob!$A$6:$A$14,0))),N(INDEX(Mob_Demob!$D$6:$D$14,MATCH(AM186,Mob_Demob!$A$6:$A$14,0)))*Settings!$B$6)+IF(AP186="Y",N(INDEX(Mob_Demob!$I$6:$I$14,MATCH(AM186,Mob_Demob!$A$6:$A$14,0)))*Settings!$B$19,0)+N(INDEX(Mob_Demob!$L$6:$L$14,MATCH(AM186,Mob_Demob!$A$6:$A$14,0)))*N(INDEX(Mob_Demob!$K$6:$K$14,MATCH(AM186,Mob_Demob!$A$6:$A$14,0)))*Settings!$B$6+N(INDEX(Mob_Demob!$M$6:$M$14,MATCH(AM186,Mob_Demob!$A$6:$A$14,0)))*N(INDEX(Mob_Demob!$N$6:$N$14,MATCH(AM186,Mob_Demob!$A$6:$A$14,0))),0)),"")</f>
        <v>1800</v>
      </c>
      <c r="AR186" s="16" t="n">
        <f aca="false">IF(AQ186="","",ROUND(AQ186*Settings!$B$18,0))</f>
        <v>1800</v>
      </c>
      <c r="AS186" s="13" t="s">
        <v>1464</v>
      </c>
      <c r="AT186" s="14" t="s">
        <v>1478</v>
      </c>
      <c r="AU186" s="14" t="s">
        <v>1381</v>
      </c>
    </row>
    <row r="187" customFormat="false" ht="64.15" hidden="false" customHeight="false" outlineLevel="0" collapsed="false">
      <c r="A187" s="21" t="s">
        <v>1479</v>
      </c>
      <c r="B187" s="21" t="s">
        <v>1289</v>
      </c>
      <c r="C187" s="21" t="s">
        <v>1383</v>
      </c>
      <c r="D187" s="21" t="s">
        <v>1480</v>
      </c>
      <c r="E187" s="22" t="s">
        <v>1481</v>
      </c>
      <c r="F187" s="13" t="s">
        <v>141</v>
      </c>
      <c r="G187" s="13" t="s">
        <v>1482</v>
      </c>
      <c r="H187" s="13"/>
      <c r="I187" s="14" t="s">
        <v>1483</v>
      </c>
      <c r="J187" s="15"/>
      <c r="K187" s="13"/>
      <c r="L187" s="13"/>
      <c r="M187" s="13"/>
      <c r="N187" s="13" t="s">
        <v>503</v>
      </c>
      <c r="O187" s="13" t="s">
        <v>504</v>
      </c>
      <c r="P187" s="13" t="s">
        <v>186</v>
      </c>
      <c r="Q187" s="16"/>
      <c r="R187" s="16"/>
      <c r="S187" s="16"/>
      <c r="T187" s="16"/>
      <c r="U187" s="16"/>
      <c r="V187" s="13" t="s">
        <v>187</v>
      </c>
      <c r="W187" s="17"/>
      <c r="X187" s="13"/>
      <c r="Y187" s="13"/>
      <c r="Z187" s="13"/>
      <c r="AA187" s="13" t="s">
        <v>188</v>
      </c>
      <c r="AB187" s="13" t="s">
        <v>1484</v>
      </c>
      <c r="AC187" s="17"/>
      <c r="AD187" s="13"/>
      <c r="AE187" s="19" t="n">
        <v>0</v>
      </c>
      <c r="AF187" s="19" t="n">
        <v>0</v>
      </c>
      <c r="AG187" s="19" t="n">
        <v>0</v>
      </c>
      <c r="AH187" s="13" t="s">
        <v>506</v>
      </c>
      <c r="AI187" s="17"/>
      <c r="AJ187" s="13" t="s">
        <v>188</v>
      </c>
      <c r="AK187" s="13" t="s">
        <v>188</v>
      </c>
      <c r="AL187" s="14" t="s">
        <v>194</v>
      </c>
      <c r="AM187" s="13" t="s">
        <v>507</v>
      </c>
      <c r="AN187" s="15"/>
      <c r="AO187" s="13"/>
      <c r="AP187" s="13" t="s">
        <v>196</v>
      </c>
      <c r="AQ187" s="16" t="n">
        <f aca="false">IFERROR(IF(AND(INDEX(Mob_Demob!$D$6:$D$14,MATCH(AM187,Mob_Demob!$A$6:$A$14,0))="",INDEX(Mob_Demob!$G$6:$G$14,MATCH(AM187,Mob_Demob!$A$6:$A$14,0))=""),"",ROUND(MAX(N(INDEX(Mob_Demob!$G$6:$G$14,MATCH(AM187,Mob_Demob!$A$6:$A$14,0))),N(INDEX(Mob_Demob!$D$6:$D$14,MATCH(AM187,Mob_Demob!$A$6:$A$14,0)))*Settings!$B$6)+IF(AP187="Y",N(INDEX(Mob_Demob!$I$6:$I$14,MATCH(AM187,Mob_Demob!$A$6:$A$14,0)))*Settings!$B$19,0)+N(INDEX(Mob_Demob!$L$6:$L$14,MATCH(AM187,Mob_Demob!$A$6:$A$14,0)))*N(INDEX(Mob_Demob!$K$6:$K$14,MATCH(AM187,Mob_Demob!$A$6:$A$14,0)))*Settings!$B$6+N(INDEX(Mob_Demob!$M$6:$M$14,MATCH(AM187,Mob_Demob!$A$6:$A$14,0)))*N(INDEX(Mob_Demob!$N$6:$N$14,MATCH(AM187,Mob_Demob!$A$6:$A$14,0))),0)),"")</f>
        <v>400</v>
      </c>
      <c r="AR187" s="16" t="n">
        <f aca="false">IF(AQ187="","",ROUND(AQ187*Settings!$B$18,0))</f>
        <v>400</v>
      </c>
      <c r="AS187" s="13"/>
      <c r="AT187" s="14" t="s">
        <v>1485</v>
      </c>
      <c r="AU187" s="14" t="s">
        <v>509</v>
      </c>
    </row>
    <row r="188" customFormat="false" ht="64.15" hidden="false" customHeight="false" outlineLevel="0" collapsed="false">
      <c r="A188" s="21" t="s">
        <v>1486</v>
      </c>
      <c r="B188" s="21" t="s">
        <v>1289</v>
      </c>
      <c r="C188" s="21" t="s">
        <v>1487</v>
      </c>
      <c r="D188" s="21" t="s">
        <v>1488</v>
      </c>
      <c r="E188" s="22" t="s">
        <v>1489</v>
      </c>
      <c r="F188" s="13" t="s">
        <v>1490</v>
      </c>
      <c r="G188" s="13" t="n">
        <v>10</v>
      </c>
      <c r="H188" s="13" t="s">
        <v>462</v>
      </c>
      <c r="I188" s="14" t="s">
        <v>1491</v>
      </c>
      <c r="J188" s="15"/>
      <c r="K188" s="13"/>
      <c r="L188" s="13"/>
      <c r="M188" s="13"/>
      <c r="N188" s="13" t="s">
        <v>503</v>
      </c>
      <c r="O188" s="13" t="s">
        <v>504</v>
      </c>
      <c r="P188" s="13" t="s">
        <v>186</v>
      </c>
      <c r="Q188" s="16"/>
      <c r="R188" s="16"/>
      <c r="S188" s="16"/>
      <c r="T188" s="16"/>
      <c r="U188" s="16"/>
      <c r="V188" s="13" t="s">
        <v>187</v>
      </c>
      <c r="W188" s="17"/>
      <c r="X188" s="13"/>
      <c r="Y188" s="13"/>
      <c r="Z188" s="13"/>
      <c r="AA188" s="13" t="s">
        <v>188</v>
      </c>
      <c r="AB188" s="13" t="s">
        <v>1492</v>
      </c>
      <c r="AC188" s="17"/>
      <c r="AD188" s="13"/>
      <c r="AE188" s="19" t="n">
        <v>0</v>
      </c>
      <c r="AF188" s="19" t="n">
        <v>0</v>
      </c>
      <c r="AG188" s="19" t="n">
        <v>0</v>
      </c>
      <c r="AH188" s="13" t="s">
        <v>506</v>
      </c>
      <c r="AI188" s="17"/>
      <c r="AJ188" s="13" t="s">
        <v>188</v>
      </c>
      <c r="AK188" s="13" t="s">
        <v>188</v>
      </c>
      <c r="AL188" s="14" t="s">
        <v>194</v>
      </c>
      <c r="AM188" s="13" t="s">
        <v>507</v>
      </c>
      <c r="AN188" s="15"/>
      <c r="AO188" s="13"/>
      <c r="AP188" s="13" t="s">
        <v>196</v>
      </c>
      <c r="AQ188" s="16" t="n">
        <f aca="false">IFERROR(IF(AND(INDEX(Mob_Demob!$D$6:$D$14,MATCH(AM188,Mob_Demob!$A$6:$A$14,0))="",INDEX(Mob_Demob!$G$6:$G$14,MATCH(AM188,Mob_Demob!$A$6:$A$14,0))=""),"",ROUND(MAX(N(INDEX(Mob_Demob!$G$6:$G$14,MATCH(AM188,Mob_Demob!$A$6:$A$14,0))),N(INDEX(Mob_Demob!$D$6:$D$14,MATCH(AM188,Mob_Demob!$A$6:$A$14,0)))*Settings!$B$6)+IF(AP188="Y",N(INDEX(Mob_Demob!$I$6:$I$14,MATCH(AM188,Mob_Demob!$A$6:$A$14,0)))*Settings!$B$19,0)+N(INDEX(Mob_Demob!$L$6:$L$14,MATCH(AM188,Mob_Demob!$A$6:$A$14,0)))*N(INDEX(Mob_Demob!$K$6:$K$14,MATCH(AM188,Mob_Demob!$A$6:$A$14,0)))*Settings!$B$6+N(INDEX(Mob_Demob!$M$6:$M$14,MATCH(AM188,Mob_Demob!$A$6:$A$14,0)))*N(INDEX(Mob_Demob!$N$6:$N$14,MATCH(AM188,Mob_Demob!$A$6:$A$14,0))),0)),"")</f>
        <v>400</v>
      </c>
      <c r="AR188" s="16" t="n">
        <f aca="false">IF(AQ188="","",ROUND(AQ188*Settings!$B$18,0))</f>
        <v>400</v>
      </c>
      <c r="AS188" s="13"/>
      <c r="AT188" s="14" t="s">
        <v>1493</v>
      </c>
      <c r="AU188" s="14" t="s">
        <v>509</v>
      </c>
    </row>
    <row r="189" customFormat="false" ht="64.15" hidden="false" customHeight="false" outlineLevel="0" collapsed="false">
      <c r="A189" s="21" t="s">
        <v>1494</v>
      </c>
      <c r="B189" s="21" t="s">
        <v>1289</v>
      </c>
      <c r="C189" s="21" t="s">
        <v>1495</v>
      </c>
      <c r="D189" s="21" t="s">
        <v>1203</v>
      </c>
      <c r="E189" s="22" t="s">
        <v>1496</v>
      </c>
      <c r="F189" s="13" t="s">
        <v>1195</v>
      </c>
      <c r="G189" s="13"/>
      <c r="H189" s="13" t="s">
        <v>1196</v>
      </c>
      <c r="I189" s="14" t="s">
        <v>1497</v>
      </c>
      <c r="J189" s="15"/>
      <c r="K189" s="13"/>
      <c r="L189" s="13"/>
      <c r="M189" s="13"/>
      <c r="N189" s="13" t="s">
        <v>503</v>
      </c>
      <c r="O189" s="13" t="s">
        <v>504</v>
      </c>
      <c r="P189" s="13" t="s">
        <v>186</v>
      </c>
      <c r="Q189" s="20" t="n">
        <v>295</v>
      </c>
      <c r="R189" s="20" t="n">
        <v>854</v>
      </c>
      <c r="S189" s="20" t="n">
        <v>2477</v>
      </c>
      <c r="T189" s="16"/>
      <c r="U189" s="16"/>
      <c r="V189" s="13" t="s">
        <v>187</v>
      </c>
      <c r="W189" s="17"/>
      <c r="X189" s="13"/>
      <c r="Y189" s="13" t="s">
        <v>259</v>
      </c>
      <c r="Z189" s="13" t="s">
        <v>260</v>
      </c>
      <c r="AA189" s="13" t="s">
        <v>192</v>
      </c>
      <c r="AB189" s="13"/>
      <c r="AC189" s="17"/>
      <c r="AD189" s="13"/>
      <c r="AE189" s="19" t="n">
        <v>0</v>
      </c>
      <c r="AF189" s="19" t="n">
        <v>0</v>
      </c>
      <c r="AG189" s="19" t="n">
        <v>0</v>
      </c>
      <c r="AH189" s="13" t="s">
        <v>506</v>
      </c>
      <c r="AI189" s="17"/>
      <c r="AJ189" s="13" t="s">
        <v>188</v>
      </c>
      <c r="AK189" s="13" t="s">
        <v>188</v>
      </c>
      <c r="AL189" s="14" t="s">
        <v>194</v>
      </c>
      <c r="AM189" s="13" t="s">
        <v>195</v>
      </c>
      <c r="AN189" s="15"/>
      <c r="AO189" s="13"/>
      <c r="AP189" s="13" t="s">
        <v>196</v>
      </c>
      <c r="AQ189" s="16" t="n">
        <f aca="false">IFERROR(IF(AND(INDEX(Mob_Demob!$D$6:$D$14,MATCH(AM189,Mob_Demob!$A$6:$A$14,0))="",INDEX(Mob_Demob!$G$6:$G$14,MATCH(AM189,Mob_Demob!$A$6:$A$14,0))=""),"",ROUND(MAX(N(INDEX(Mob_Demob!$G$6:$G$14,MATCH(AM189,Mob_Demob!$A$6:$A$14,0))),N(INDEX(Mob_Demob!$D$6:$D$14,MATCH(AM189,Mob_Demob!$A$6:$A$14,0)))*Settings!$B$6)+IF(AP189="Y",N(INDEX(Mob_Demob!$I$6:$I$14,MATCH(AM189,Mob_Demob!$A$6:$A$14,0)))*Settings!$B$19,0)+N(INDEX(Mob_Demob!$L$6:$L$14,MATCH(AM189,Mob_Demob!$A$6:$A$14,0)))*N(INDEX(Mob_Demob!$K$6:$K$14,MATCH(AM189,Mob_Demob!$A$6:$A$14,0)))*Settings!$B$6+N(INDEX(Mob_Demob!$M$6:$M$14,MATCH(AM189,Mob_Demob!$A$6:$A$14,0)))*N(INDEX(Mob_Demob!$N$6:$N$14,MATCH(AM189,Mob_Demob!$A$6:$A$14,0))),0)),"")</f>
        <v>500</v>
      </c>
      <c r="AR189" s="16" t="n">
        <f aca="false">IF(AQ189="","",ROUND(AQ189*Settings!$B$18,0))</f>
        <v>500</v>
      </c>
      <c r="AS189" s="13" t="s">
        <v>1498</v>
      </c>
      <c r="AT189" s="14" t="s">
        <v>1499</v>
      </c>
      <c r="AU189" s="14" t="s">
        <v>341</v>
      </c>
    </row>
    <row r="190" customFormat="false" ht="64.15" hidden="false" customHeight="false" outlineLevel="0" collapsed="false">
      <c r="A190" s="21" t="s">
        <v>1498</v>
      </c>
      <c r="B190" s="21" t="s">
        <v>1289</v>
      </c>
      <c r="C190" s="21" t="s">
        <v>1495</v>
      </c>
      <c r="D190" s="21" t="s">
        <v>1500</v>
      </c>
      <c r="E190" s="22" t="s">
        <v>1501</v>
      </c>
      <c r="F190" s="13" t="s">
        <v>1195</v>
      </c>
      <c r="G190" s="13" t="n">
        <v>24</v>
      </c>
      <c r="H190" s="13" t="s">
        <v>1196</v>
      </c>
      <c r="I190" s="14" t="s">
        <v>1502</v>
      </c>
      <c r="J190" s="15" t="n">
        <v>20000</v>
      </c>
      <c r="K190" s="13" t="n">
        <v>155</v>
      </c>
      <c r="L190" s="13" t="s">
        <v>1503</v>
      </c>
      <c r="M190" s="13"/>
      <c r="N190" s="13" t="s">
        <v>184</v>
      </c>
      <c r="O190" s="13" t="s">
        <v>1295</v>
      </c>
      <c r="P190" s="13" t="s">
        <v>186</v>
      </c>
      <c r="Q190" s="16"/>
      <c r="R190" s="16"/>
      <c r="S190" s="16"/>
      <c r="T190" s="16"/>
      <c r="U190" s="16"/>
      <c r="V190" s="13" t="s">
        <v>187</v>
      </c>
      <c r="W190" s="17"/>
      <c r="X190" s="13"/>
      <c r="Y190" s="13"/>
      <c r="Z190" s="13"/>
      <c r="AA190" s="13" t="s">
        <v>188</v>
      </c>
      <c r="AB190" s="13"/>
      <c r="AC190" s="17"/>
      <c r="AD190" s="13"/>
      <c r="AE190" s="19" t="n">
        <f aca="false">ROUND(K190*Settings!$B$11*Settings!$B$13,2)</f>
        <v>2.64</v>
      </c>
      <c r="AF190" s="19" t="n">
        <f aca="false">ROUND(K190*Settings!$B$11*Settings!$B$14,2)</f>
        <v>3.47</v>
      </c>
      <c r="AG190" s="19" t="n">
        <f aca="false">ROUND(K190*Settings!$B$11*Settings!$B$15,2)</f>
        <v>4.52</v>
      </c>
      <c r="AH190" s="13" t="s">
        <v>191</v>
      </c>
      <c r="AI190" s="17"/>
      <c r="AJ190" s="13" t="s">
        <v>188</v>
      </c>
      <c r="AK190" s="13" t="s">
        <v>188</v>
      </c>
      <c r="AL190" s="14" t="s">
        <v>194</v>
      </c>
      <c r="AM190" s="13" t="s">
        <v>195</v>
      </c>
      <c r="AN190" s="15" t="n">
        <v>20000</v>
      </c>
      <c r="AO190" s="13"/>
      <c r="AP190" s="13" t="s">
        <v>196</v>
      </c>
      <c r="AQ190" s="16" t="n">
        <f aca="false">IFERROR(IF(AND(INDEX(Mob_Demob!$D$6:$D$14,MATCH(AM190,Mob_Demob!$A$6:$A$14,0))="",INDEX(Mob_Demob!$G$6:$G$14,MATCH(AM190,Mob_Demob!$A$6:$A$14,0))=""),"",ROUND(MAX(N(INDEX(Mob_Demob!$G$6:$G$14,MATCH(AM190,Mob_Demob!$A$6:$A$14,0))),N(INDEX(Mob_Demob!$D$6:$D$14,MATCH(AM190,Mob_Demob!$A$6:$A$14,0)))*Settings!$B$6)+IF(AP190="Y",N(INDEX(Mob_Demob!$I$6:$I$14,MATCH(AM190,Mob_Demob!$A$6:$A$14,0)))*Settings!$B$19,0)+N(INDEX(Mob_Demob!$L$6:$L$14,MATCH(AM190,Mob_Demob!$A$6:$A$14,0)))*N(INDEX(Mob_Demob!$K$6:$K$14,MATCH(AM190,Mob_Demob!$A$6:$A$14,0)))*Settings!$B$6+N(INDEX(Mob_Demob!$M$6:$M$14,MATCH(AM190,Mob_Demob!$A$6:$A$14,0)))*N(INDEX(Mob_Demob!$N$6:$N$14,MATCH(AM190,Mob_Demob!$A$6:$A$14,0))),0)),"")</f>
        <v>500</v>
      </c>
      <c r="AR190" s="16" t="n">
        <f aca="false">IF(AQ190="","",ROUND(AQ190*Settings!$B$18,0))</f>
        <v>500</v>
      </c>
      <c r="AS190" s="13" t="s">
        <v>1498</v>
      </c>
      <c r="AT190" s="14" t="s">
        <v>1504</v>
      </c>
      <c r="AU190" s="14" t="s">
        <v>251</v>
      </c>
    </row>
    <row r="191" customFormat="false" ht="64.15" hidden="false" customHeight="false" outlineLevel="0" collapsed="false">
      <c r="A191" s="21" t="s">
        <v>1505</v>
      </c>
      <c r="B191" s="21" t="s">
        <v>1289</v>
      </c>
      <c r="C191" s="21" t="s">
        <v>1495</v>
      </c>
      <c r="D191" s="21" t="s">
        <v>1506</v>
      </c>
      <c r="E191" s="22" t="s">
        <v>1507</v>
      </c>
      <c r="F191" s="13" t="s">
        <v>1195</v>
      </c>
      <c r="G191" s="13" t="n">
        <v>39.4</v>
      </c>
      <c r="H191" s="13" t="s">
        <v>1196</v>
      </c>
      <c r="I191" s="14" t="s">
        <v>1508</v>
      </c>
      <c r="J191" s="15"/>
      <c r="K191" s="13"/>
      <c r="L191" s="13" t="s">
        <v>1509</v>
      </c>
      <c r="M191" s="13"/>
      <c r="N191" s="13" t="s">
        <v>184</v>
      </c>
      <c r="O191" s="13" t="s">
        <v>1295</v>
      </c>
      <c r="P191" s="13" t="s">
        <v>186</v>
      </c>
      <c r="Q191" s="16"/>
      <c r="R191" s="16"/>
      <c r="S191" s="16"/>
      <c r="T191" s="16"/>
      <c r="U191" s="16"/>
      <c r="V191" s="13" t="s">
        <v>187</v>
      </c>
      <c r="W191" s="17"/>
      <c r="X191" s="13"/>
      <c r="Y191" s="13"/>
      <c r="Z191" s="13"/>
      <c r="AA191" s="13" t="s">
        <v>188</v>
      </c>
      <c r="AB191" s="13"/>
      <c r="AC191" s="17"/>
      <c r="AD191" s="13"/>
      <c r="AE191" s="19"/>
      <c r="AF191" s="19"/>
      <c r="AG191" s="19"/>
      <c r="AH191" s="13"/>
      <c r="AI191" s="17"/>
      <c r="AJ191" s="13" t="s">
        <v>188</v>
      </c>
      <c r="AK191" s="13" t="s">
        <v>188</v>
      </c>
      <c r="AL191" s="14" t="s">
        <v>194</v>
      </c>
      <c r="AM191" s="13" t="s">
        <v>216</v>
      </c>
      <c r="AN191" s="15"/>
      <c r="AO191" s="13"/>
      <c r="AP191" s="13" t="s">
        <v>241</v>
      </c>
      <c r="AQ191" s="16" t="n">
        <f aca="false">IFERROR(IF(AND(INDEX(Mob_Demob!$D$6:$D$14,MATCH(AM191,Mob_Demob!$A$6:$A$14,0))="",INDEX(Mob_Demob!$G$6:$G$14,MATCH(AM191,Mob_Demob!$A$6:$A$14,0))=""),"",ROUND(MAX(N(INDEX(Mob_Demob!$G$6:$G$14,MATCH(AM191,Mob_Demob!$A$6:$A$14,0))),N(INDEX(Mob_Demob!$D$6:$D$14,MATCH(AM191,Mob_Demob!$A$6:$A$14,0)))*Settings!$B$6)+IF(AP191="Y",N(INDEX(Mob_Demob!$I$6:$I$14,MATCH(AM191,Mob_Demob!$A$6:$A$14,0)))*Settings!$B$19,0)+N(INDEX(Mob_Demob!$L$6:$L$14,MATCH(AM191,Mob_Demob!$A$6:$A$14,0)))*N(INDEX(Mob_Demob!$K$6:$K$14,MATCH(AM191,Mob_Demob!$A$6:$A$14,0)))*Settings!$B$6+N(INDEX(Mob_Demob!$M$6:$M$14,MATCH(AM191,Mob_Demob!$A$6:$A$14,0)))*N(INDEX(Mob_Demob!$N$6:$N$14,MATCH(AM191,Mob_Demob!$A$6:$A$14,0))),0)),"")</f>
        <v>550</v>
      </c>
      <c r="AR191" s="16" t="n">
        <f aca="false">IF(AQ191="","",ROUND(AQ191*Settings!$B$18,0))</f>
        <v>550</v>
      </c>
      <c r="AS191" s="13" t="s">
        <v>1510</v>
      </c>
      <c r="AT191" s="14"/>
      <c r="AU191" s="14" t="s">
        <v>466</v>
      </c>
    </row>
    <row r="192" customFormat="false" ht="64.15" hidden="false" customHeight="false" outlineLevel="0" collapsed="false">
      <c r="A192" s="21" t="s">
        <v>1511</v>
      </c>
      <c r="B192" s="21" t="s">
        <v>1289</v>
      </c>
      <c r="C192" s="21" t="s">
        <v>1495</v>
      </c>
      <c r="D192" s="21" t="s">
        <v>1506</v>
      </c>
      <c r="E192" s="22" t="s">
        <v>1512</v>
      </c>
      <c r="F192" s="13" t="s">
        <v>1195</v>
      </c>
      <c r="G192" s="13" t="n">
        <v>49</v>
      </c>
      <c r="H192" s="13" t="s">
        <v>1196</v>
      </c>
      <c r="I192" s="14" t="s">
        <v>1513</v>
      </c>
      <c r="J192" s="15" t="n">
        <v>42500</v>
      </c>
      <c r="K192" s="13" t="n">
        <v>400</v>
      </c>
      <c r="L192" s="13" t="s">
        <v>1514</v>
      </c>
      <c r="M192" s="13"/>
      <c r="N192" s="13" t="s">
        <v>184</v>
      </c>
      <c r="O192" s="13" t="s">
        <v>1295</v>
      </c>
      <c r="P192" s="13" t="s">
        <v>186</v>
      </c>
      <c r="Q192" s="20" t="n">
        <v>3263</v>
      </c>
      <c r="R192" s="20" t="n">
        <v>9463</v>
      </c>
      <c r="S192" s="20" t="n">
        <v>27443</v>
      </c>
      <c r="T192" s="16"/>
      <c r="U192" s="16"/>
      <c r="V192" s="13" t="s">
        <v>187</v>
      </c>
      <c r="W192" s="17"/>
      <c r="X192" s="13"/>
      <c r="Y192" s="13" t="s">
        <v>259</v>
      </c>
      <c r="Z192" s="13" t="s">
        <v>260</v>
      </c>
      <c r="AA192" s="13" t="s">
        <v>192</v>
      </c>
      <c r="AB192" s="13"/>
      <c r="AC192" s="17"/>
      <c r="AD192" s="13"/>
      <c r="AE192" s="19" t="n">
        <f aca="false">ROUND(K192*Settings!$B$11*Settings!$B$13,2)</f>
        <v>6.8</v>
      </c>
      <c r="AF192" s="19" t="n">
        <f aca="false">ROUND(K192*Settings!$B$11*Settings!$B$14,2)</f>
        <v>8.94</v>
      </c>
      <c r="AG192" s="19" t="n">
        <f aca="false">ROUND(K192*Settings!$B$11*Settings!$B$15,2)</f>
        <v>11.66</v>
      </c>
      <c r="AH192" s="13" t="s">
        <v>191</v>
      </c>
      <c r="AI192" s="17"/>
      <c r="AJ192" s="13" t="s">
        <v>188</v>
      </c>
      <c r="AK192" s="13" t="s">
        <v>188</v>
      </c>
      <c r="AL192" s="14" t="s">
        <v>194</v>
      </c>
      <c r="AM192" s="13" t="s">
        <v>216</v>
      </c>
      <c r="AN192" s="15" t="n">
        <v>42500</v>
      </c>
      <c r="AO192" s="13"/>
      <c r="AP192" s="13" t="s">
        <v>196</v>
      </c>
      <c r="AQ192" s="16" t="n">
        <f aca="false">IFERROR(IF(AND(INDEX(Mob_Demob!$D$6:$D$14,MATCH(AM192,Mob_Demob!$A$6:$A$14,0))="",INDEX(Mob_Demob!$G$6:$G$14,MATCH(AM192,Mob_Demob!$A$6:$A$14,0))=""),"",ROUND(MAX(N(INDEX(Mob_Demob!$G$6:$G$14,MATCH(AM192,Mob_Demob!$A$6:$A$14,0))),N(INDEX(Mob_Demob!$D$6:$D$14,MATCH(AM192,Mob_Demob!$A$6:$A$14,0)))*Settings!$B$6)+IF(AP192="Y",N(INDEX(Mob_Demob!$I$6:$I$14,MATCH(AM192,Mob_Demob!$A$6:$A$14,0)))*Settings!$B$19,0)+N(INDEX(Mob_Demob!$L$6:$L$14,MATCH(AM192,Mob_Demob!$A$6:$A$14,0)))*N(INDEX(Mob_Demob!$K$6:$K$14,MATCH(AM192,Mob_Demob!$A$6:$A$14,0)))*Settings!$B$6+N(INDEX(Mob_Demob!$M$6:$M$14,MATCH(AM192,Mob_Demob!$A$6:$A$14,0)))*N(INDEX(Mob_Demob!$N$6:$N$14,MATCH(AM192,Mob_Demob!$A$6:$A$14,0))),0)),"")</f>
        <v>550</v>
      </c>
      <c r="AR192" s="16" t="n">
        <f aca="false">IF(AQ192="","",ROUND(AQ192*Settings!$B$18,0))</f>
        <v>550</v>
      </c>
      <c r="AS192" s="13" t="s">
        <v>1510</v>
      </c>
      <c r="AT192" s="14" t="s">
        <v>1515</v>
      </c>
      <c r="AU192" s="14" t="s">
        <v>341</v>
      </c>
    </row>
    <row r="193" customFormat="false" ht="64.15" hidden="false" customHeight="false" outlineLevel="0" collapsed="false">
      <c r="A193" s="21" t="s">
        <v>1516</v>
      </c>
      <c r="B193" s="21" t="s">
        <v>1289</v>
      </c>
      <c r="C193" s="21" t="s">
        <v>1495</v>
      </c>
      <c r="D193" s="21" t="s">
        <v>1517</v>
      </c>
      <c r="E193" s="22" t="s">
        <v>1518</v>
      </c>
      <c r="F193" s="13" t="s">
        <v>1195</v>
      </c>
      <c r="G193" s="13" t="n">
        <v>79.1</v>
      </c>
      <c r="H193" s="13" t="s">
        <v>1196</v>
      </c>
      <c r="I193" s="14" t="s">
        <v>1519</v>
      </c>
      <c r="J193" s="15" t="n">
        <v>77500</v>
      </c>
      <c r="K193" s="13" t="n">
        <v>750</v>
      </c>
      <c r="L193" s="13"/>
      <c r="M193" s="13"/>
      <c r="N193" s="13" t="s">
        <v>184</v>
      </c>
      <c r="O193" s="13" t="s">
        <v>1295</v>
      </c>
      <c r="P193" s="13" t="s">
        <v>186</v>
      </c>
      <c r="Q193" s="20" t="n">
        <v>5272</v>
      </c>
      <c r="R193" s="20" t="n">
        <v>15290</v>
      </c>
      <c r="S193" s="20" t="n">
        <v>44340</v>
      </c>
      <c r="T193" s="16"/>
      <c r="U193" s="16"/>
      <c r="V193" s="13" t="s">
        <v>187</v>
      </c>
      <c r="W193" s="17"/>
      <c r="X193" s="13"/>
      <c r="Y193" s="13" t="s">
        <v>259</v>
      </c>
      <c r="Z193" s="13" t="s">
        <v>260</v>
      </c>
      <c r="AA193" s="13" t="s">
        <v>192</v>
      </c>
      <c r="AB193" s="13"/>
      <c r="AC193" s="17"/>
      <c r="AD193" s="13"/>
      <c r="AE193" s="19" t="n">
        <f aca="false">ROUND(K193*Settings!$B$11*Settings!$B$13,2)</f>
        <v>12.76</v>
      </c>
      <c r="AF193" s="19" t="n">
        <f aca="false">ROUND(K193*Settings!$B$11*Settings!$B$14,2)</f>
        <v>16.77</v>
      </c>
      <c r="AG193" s="19" t="n">
        <f aca="false">ROUND(K193*Settings!$B$11*Settings!$B$15,2)</f>
        <v>21.87</v>
      </c>
      <c r="AH193" s="13" t="s">
        <v>191</v>
      </c>
      <c r="AI193" s="17"/>
      <c r="AJ193" s="13" t="s">
        <v>188</v>
      </c>
      <c r="AK193" s="13" t="s">
        <v>188</v>
      </c>
      <c r="AL193" s="14" t="s">
        <v>194</v>
      </c>
      <c r="AM193" s="13" t="s">
        <v>268</v>
      </c>
      <c r="AN193" s="15" t="n">
        <v>77500</v>
      </c>
      <c r="AO193" s="13"/>
      <c r="AP193" s="13" t="s">
        <v>269</v>
      </c>
      <c r="AQ193" s="16" t="n">
        <f aca="false">IFERROR(IF(AND(INDEX(Mob_Demob!$D$6:$D$14,MATCH(AM193,Mob_Demob!$A$6:$A$14,0))="",INDEX(Mob_Demob!$G$6:$G$14,MATCH(AM193,Mob_Demob!$A$6:$A$14,0))=""),"",ROUND(MAX(N(INDEX(Mob_Demob!$G$6:$G$14,MATCH(AM193,Mob_Demob!$A$6:$A$14,0))),N(INDEX(Mob_Demob!$D$6:$D$14,MATCH(AM193,Mob_Demob!$A$6:$A$14,0)))*Settings!$B$6)+IF(AP193="Y",N(INDEX(Mob_Demob!$I$6:$I$14,MATCH(AM193,Mob_Demob!$A$6:$A$14,0)))*Settings!$B$19,0)+N(INDEX(Mob_Demob!$L$6:$L$14,MATCH(AM193,Mob_Demob!$A$6:$A$14,0)))*N(INDEX(Mob_Demob!$K$6:$K$14,MATCH(AM193,Mob_Demob!$A$6:$A$14,0)))*Settings!$B$6+N(INDEX(Mob_Demob!$M$6:$M$14,MATCH(AM193,Mob_Demob!$A$6:$A$14,0)))*N(INDEX(Mob_Demob!$N$6:$N$14,MATCH(AM193,Mob_Demob!$A$6:$A$14,0))),0)),"")</f>
        <v>1800</v>
      </c>
      <c r="AR193" s="16" t="n">
        <f aca="false">IF(AQ193="","",ROUND(AQ193*Settings!$B$18,0))</f>
        <v>1800</v>
      </c>
      <c r="AS193" s="13" t="s">
        <v>1520</v>
      </c>
      <c r="AT193" s="14" t="s">
        <v>1521</v>
      </c>
      <c r="AU193" s="14" t="s">
        <v>341</v>
      </c>
    </row>
    <row r="194" customFormat="false" ht="64.15" hidden="false" customHeight="false" outlineLevel="0" collapsed="false">
      <c r="A194" s="21" t="s">
        <v>1522</v>
      </c>
      <c r="B194" s="21" t="s">
        <v>1289</v>
      </c>
      <c r="C194" s="21" t="s">
        <v>1495</v>
      </c>
      <c r="D194" s="21" t="s">
        <v>1523</v>
      </c>
      <c r="E194" s="22" t="s">
        <v>1524</v>
      </c>
      <c r="F194" s="13" t="s">
        <v>1195</v>
      </c>
      <c r="G194" s="13" t="n">
        <v>87</v>
      </c>
      <c r="H194" s="13" t="s">
        <v>1196</v>
      </c>
      <c r="I194" s="14" t="s">
        <v>1525</v>
      </c>
      <c r="J194" s="15" t="n">
        <v>77500</v>
      </c>
      <c r="K194" s="13" t="n">
        <v>750</v>
      </c>
      <c r="L194" s="13"/>
      <c r="M194" s="13"/>
      <c r="N194" s="13" t="s">
        <v>184</v>
      </c>
      <c r="O194" s="13" t="s">
        <v>1295</v>
      </c>
      <c r="P194" s="13" t="s">
        <v>186</v>
      </c>
      <c r="Q194" s="20" t="n">
        <v>6179</v>
      </c>
      <c r="R194" s="20" t="n">
        <v>17918</v>
      </c>
      <c r="S194" s="20" t="n">
        <v>51963</v>
      </c>
      <c r="T194" s="16"/>
      <c r="U194" s="16"/>
      <c r="V194" s="13" t="s">
        <v>187</v>
      </c>
      <c r="W194" s="17"/>
      <c r="X194" s="13"/>
      <c r="Y194" s="13" t="s">
        <v>259</v>
      </c>
      <c r="Z194" s="13" t="s">
        <v>260</v>
      </c>
      <c r="AA194" s="13" t="s">
        <v>192</v>
      </c>
      <c r="AB194" s="13"/>
      <c r="AC194" s="17"/>
      <c r="AD194" s="13"/>
      <c r="AE194" s="19" t="n">
        <f aca="false">ROUND(K194*Settings!$B$11*Settings!$B$13,2)</f>
        <v>12.76</v>
      </c>
      <c r="AF194" s="19" t="n">
        <f aca="false">ROUND(K194*Settings!$B$11*Settings!$B$14,2)</f>
        <v>16.77</v>
      </c>
      <c r="AG194" s="19" t="n">
        <f aca="false">ROUND(K194*Settings!$B$11*Settings!$B$15,2)</f>
        <v>21.87</v>
      </c>
      <c r="AH194" s="13" t="s">
        <v>191</v>
      </c>
      <c r="AI194" s="17"/>
      <c r="AJ194" s="13" t="s">
        <v>188</v>
      </c>
      <c r="AK194" s="13" t="s">
        <v>188</v>
      </c>
      <c r="AL194" s="14" t="s">
        <v>194</v>
      </c>
      <c r="AM194" s="13" t="s">
        <v>268</v>
      </c>
      <c r="AN194" s="15" t="n">
        <v>77500</v>
      </c>
      <c r="AO194" s="13"/>
      <c r="AP194" s="13" t="s">
        <v>269</v>
      </c>
      <c r="AQ194" s="16" t="n">
        <f aca="false">IFERROR(IF(AND(INDEX(Mob_Demob!$D$6:$D$14,MATCH(AM194,Mob_Demob!$A$6:$A$14,0))="",INDEX(Mob_Demob!$G$6:$G$14,MATCH(AM194,Mob_Demob!$A$6:$A$14,0))=""),"",ROUND(MAX(N(INDEX(Mob_Demob!$G$6:$G$14,MATCH(AM194,Mob_Demob!$A$6:$A$14,0))),N(INDEX(Mob_Demob!$D$6:$D$14,MATCH(AM194,Mob_Demob!$A$6:$A$14,0)))*Settings!$B$6)+IF(AP194="Y",N(INDEX(Mob_Demob!$I$6:$I$14,MATCH(AM194,Mob_Demob!$A$6:$A$14,0)))*Settings!$B$19,0)+N(INDEX(Mob_Demob!$L$6:$L$14,MATCH(AM194,Mob_Demob!$A$6:$A$14,0)))*N(INDEX(Mob_Demob!$K$6:$K$14,MATCH(AM194,Mob_Demob!$A$6:$A$14,0)))*Settings!$B$6+N(INDEX(Mob_Demob!$M$6:$M$14,MATCH(AM194,Mob_Demob!$A$6:$A$14,0)))*N(INDEX(Mob_Demob!$N$6:$N$14,MATCH(AM194,Mob_Demob!$A$6:$A$14,0))),0)),"")</f>
        <v>1800</v>
      </c>
      <c r="AR194" s="16" t="n">
        <f aca="false">IF(AQ194="","",ROUND(AQ194*Settings!$B$18,0))</f>
        <v>1800</v>
      </c>
      <c r="AS194" s="13" t="s">
        <v>1520</v>
      </c>
      <c r="AT194" s="14" t="s">
        <v>1526</v>
      </c>
      <c r="AU194" s="14" t="s">
        <v>1527</v>
      </c>
    </row>
    <row r="195" customFormat="false" ht="64.15" hidden="false" customHeight="false" outlineLevel="0" collapsed="false">
      <c r="A195" s="21" t="s">
        <v>1528</v>
      </c>
      <c r="B195" s="21" t="s">
        <v>1289</v>
      </c>
      <c r="C195" s="21" t="s">
        <v>1529</v>
      </c>
      <c r="D195" s="21" t="s">
        <v>1530</v>
      </c>
      <c r="E195" s="22" t="s">
        <v>1531</v>
      </c>
      <c r="F195" s="13" t="s">
        <v>1532</v>
      </c>
      <c r="G195" s="13" t="n">
        <v>550</v>
      </c>
      <c r="H195" s="13" t="s">
        <v>1092</v>
      </c>
      <c r="I195" s="14"/>
      <c r="J195" s="15"/>
      <c r="K195" s="13"/>
      <c r="L195" s="13" t="s">
        <v>1531</v>
      </c>
      <c r="M195" s="13"/>
      <c r="N195" s="13" t="s">
        <v>184</v>
      </c>
      <c r="O195" s="13" t="s">
        <v>1023</v>
      </c>
      <c r="P195" s="13" t="s">
        <v>186</v>
      </c>
      <c r="Q195" s="16"/>
      <c r="R195" s="16"/>
      <c r="S195" s="16"/>
      <c r="T195" s="16"/>
      <c r="U195" s="16"/>
      <c r="V195" s="13" t="s">
        <v>187</v>
      </c>
      <c r="W195" s="17"/>
      <c r="X195" s="13"/>
      <c r="Y195" s="13"/>
      <c r="Z195" s="13"/>
      <c r="AA195" s="13" t="s">
        <v>188</v>
      </c>
      <c r="AB195" s="13" t="s">
        <v>1533</v>
      </c>
      <c r="AC195" s="17"/>
      <c r="AD195" s="13"/>
      <c r="AE195" s="19"/>
      <c r="AF195" s="19"/>
      <c r="AG195" s="19"/>
      <c r="AH195" s="13"/>
      <c r="AI195" s="17"/>
      <c r="AJ195" s="13" t="s">
        <v>188</v>
      </c>
      <c r="AK195" s="13" t="s">
        <v>188</v>
      </c>
      <c r="AL195" s="14" t="s">
        <v>194</v>
      </c>
      <c r="AM195" s="13" t="s">
        <v>484</v>
      </c>
      <c r="AN195" s="15"/>
      <c r="AO195" s="13"/>
      <c r="AP195" s="13" t="s">
        <v>196</v>
      </c>
      <c r="AQ195" s="16" t="str">
        <f aca="false">IFERROR(IF(AND(INDEX(Mob_Demob!$D$6:$D$14,MATCH(AM195,Mob_Demob!$A$6:$A$14,0))="",INDEX(Mob_Demob!$G$6:$G$14,MATCH(AM195,Mob_Demob!$A$6:$A$14,0))=""),"",ROUND(MAX(N(INDEX(Mob_Demob!$G$6:$G$14,MATCH(AM195,Mob_Demob!$A$6:$A$14,0))),N(INDEX(Mob_Demob!$D$6:$D$14,MATCH(AM195,Mob_Demob!$A$6:$A$14,0)))*Settings!$B$6)+IF(AP195="Y",N(INDEX(Mob_Demob!$I$6:$I$14,MATCH(AM195,Mob_Demob!$A$6:$A$14,0)))*Settings!$B$19,0)+N(INDEX(Mob_Demob!$L$6:$L$14,MATCH(AM195,Mob_Demob!$A$6:$A$14,0)))*N(INDEX(Mob_Demob!$K$6:$K$14,MATCH(AM195,Mob_Demob!$A$6:$A$14,0)))*Settings!$B$6+N(INDEX(Mob_Demob!$M$6:$M$14,MATCH(AM195,Mob_Demob!$A$6:$A$14,0)))*N(INDEX(Mob_Demob!$N$6:$N$14,MATCH(AM195,Mob_Demob!$A$6:$A$14,0))),0)),"")</f>
        <v/>
      </c>
      <c r="AR195" s="16" t="str">
        <f aca="false">IF(AQ195="","",ROUND(AQ195*Settings!$B$18,0))</f>
        <v/>
      </c>
      <c r="AS195" s="13" t="s">
        <v>1534</v>
      </c>
      <c r="AT195" s="14" t="s">
        <v>1535</v>
      </c>
      <c r="AU195" s="14" t="s">
        <v>1381</v>
      </c>
    </row>
    <row r="196" customFormat="false" ht="64.15" hidden="false" customHeight="false" outlineLevel="0" collapsed="false">
      <c r="A196" s="21" t="s">
        <v>1536</v>
      </c>
      <c r="B196" s="21" t="s">
        <v>1289</v>
      </c>
      <c r="C196" s="21" t="s">
        <v>1529</v>
      </c>
      <c r="D196" s="21" t="s">
        <v>1530</v>
      </c>
      <c r="E196" s="22" t="s">
        <v>1537</v>
      </c>
      <c r="F196" s="13" t="s">
        <v>1532</v>
      </c>
      <c r="G196" s="13" t="n">
        <v>1000</v>
      </c>
      <c r="H196" s="13" t="s">
        <v>1092</v>
      </c>
      <c r="I196" s="14"/>
      <c r="J196" s="15"/>
      <c r="K196" s="13"/>
      <c r="L196" s="13" t="s">
        <v>1537</v>
      </c>
      <c r="M196" s="13"/>
      <c r="N196" s="13" t="s">
        <v>184</v>
      </c>
      <c r="O196" s="13" t="s">
        <v>1023</v>
      </c>
      <c r="P196" s="13" t="s">
        <v>186</v>
      </c>
      <c r="Q196" s="16"/>
      <c r="R196" s="16"/>
      <c r="S196" s="16"/>
      <c r="T196" s="16"/>
      <c r="U196" s="16"/>
      <c r="V196" s="13" t="s">
        <v>187</v>
      </c>
      <c r="W196" s="17"/>
      <c r="X196" s="13"/>
      <c r="Y196" s="13"/>
      <c r="Z196" s="13"/>
      <c r="AA196" s="13" t="s">
        <v>188</v>
      </c>
      <c r="AB196" s="13" t="s">
        <v>1538</v>
      </c>
      <c r="AC196" s="17"/>
      <c r="AD196" s="13"/>
      <c r="AE196" s="19"/>
      <c r="AF196" s="19"/>
      <c r="AG196" s="19"/>
      <c r="AH196" s="13"/>
      <c r="AI196" s="17"/>
      <c r="AJ196" s="13" t="s">
        <v>188</v>
      </c>
      <c r="AK196" s="13" t="s">
        <v>188</v>
      </c>
      <c r="AL196" s="14" t="s">
        <v>194</v>
      </c>
      <c r="AM196" s="13" t="s">
        <v>484</v>
      </c>
      <c r="AN196" s="15"/>
      <c r="AO196" s="13"/>
      <c r="AP196" s="13" t="s">
        <v>196</v>
      </c>
      <c r="AQ196" s="16" t="str">
        <f aca="false">IFERROR(IF(AND(INDEX(Mob_Demob!$D$6:$D$14,MATCH(AM196,Mob_Demob!$A$6:$A$14,0))="",INDEX(Mob_Demob!$G$6:$G$14,MATCH(AM196,Mob_Demob!$A$6:$A$14,0))=""),"",ROUND(MAX(N(INDEX(Mob_Demob!$G$6:$G$14,MATCH(AM196,Mob_Demob!$A$6:$A$14,0))),N(INDEX(Mob_Demob!$D$6:$D$14,MATCH(AM196,Mob_Demob!$A$6:$A$14,0)))*Settings!$B$6)+IF(AP196="Y",N(INDEX(Mob_Demob!$I$6:$I$14,MATCH(AM196,Mob_Demob!$A$6:$A$14,0)))*Settings!$B$19,0)+N(INDEX(Mob_Demob!$L$6:$L$14,MATCH(AM196,Mob_Demob!$A$6:$A$14,0)))*N(INDEX(Mob_Demob!$K$6:$K$14,MATCH(AM196,Mob_Demob!$A$6:$A$14,0)))*Settings!$B$6+N(INDEX(Mob_Demob!$M$6:$M$14,MATCH(AM196,Mob_Demob!$A$6:$A$14,0)))*N(INDEX(Mob_Demob!$N$6:$N$14,MATCH(AM196,Mob_Demob!$A$6:$A$14,0))),0)),"")</f>
        <v/>
      </c>
      <c r="AR196" s="16" t="str">
        <f aca="false">IF(AQ196="","",ROUND(AQ196*Settings!$B$18,0))</f>
        <v/>
      </c>
      <c r="AS196" s="13" t="s">
        <v>1534</v>
      </c>
      <c r="AT196" s="14" t="s">
        <v>1539</v>
      </c>
      <c r="AU196" s="14" t="s">
        <v>1381</v>
      </c>
    </row>
    <row r="197" customFormat="false" ht="64.15" hidden="false" customHeight="false" outlineLevel="0" collapsed="false">
      <c r="A197" s="21" t="s">
        <v>1540</v>
      </c>
      <c r="B197" s="21" t="s">
        <v>1289</v>
      </c>
      <c r="C197" s="21" t="s">
        <v>1529</v>
      </c>
      <c r="D197" s="21" t="s">
        <v>1530</v>
      </c>
      <c r="E197" s="22" t="s">
        <v>1093</v>
      </c>
      <c r="F197" s="13" t="s">
        <v>1532</v>
      </c>
      <c r="G197" s="13" t="n">
        <v>2000</v>
      </c>
      <c r="H197" s="13" t="s">
        <v>1092</v>
      </c>
      <c r="I197" s="14"/>
      <c r="J197" s="15"/>
      <c r="K197" s="13"/>
      <c r="L197" s="13" t="s">
        <v>1093</v>
      </c>
      <c r="M197" s="13"/>
      <c r="N197" s="13" t="s">
        <v>184</v>
      </c>
      <c r="O197" s="13" t="s">
        <v>1023</v>
      </c>
      <c r="P197" s="13" t="s">
        <v>186</v>
      </c>
      <c r="Q197" s="16"/>
      <c r="R197" s="16"/>
      <c r="S197" s="16"/>
      <c r="T197" s="16"/>
      <c r="U197" s="16"/>
      <c r="V197" s="13" t="s">
        <v>187</v>
      </c>
      <c r="W197" s="17"/>
      <c r="X197" s="13"/>
      <c r="Y197" s="13"/>
      <c r="Z197" s="13"/>
      <c r="AA197" s="13" t="s">
        <v>188</v>
      </c>
      <c r="AB197" s="13" t="s">
        <v>1541</v>
      </c>
      <c r="AC197" s="17"/>
      <c r="AD197" s="13"/>
      <c r="AE197" s="19"/>
      <c r="AF197" s="19"/>
      <c r="AG197" s="19"/>
      <c r="AH197" s="13"/>
      <c r="AI197" s="17"/>
      <c r="AJ197" s="13" t="s">
        <v>188</v>
      </c>
      <c r="AK197" s="13" t="s">
        <v>188</v>
      </c>
      <c r="AL197" s="14" t="s">
        <v>194</v>
      </c>
      <c r="AM197" s="13" t="s">
        <v>484</v>
      </c>
      <c r="AN197" s="15"/>
      <c r="AO197" s="13"/>
      <c r="AP197" s="13" t="s">
        <v>196</v>
      </c>
      <c r="AQ197" s="16" t="str">
        <f aca="false">IFERROR(IF(AND(INDEX(Mob_Demob!$D$6:$D$14,MATCH(AM197,Mob_Demob!$A$6:$A$14,0))="",INDEX(Mob_Demob!$G$6:$G$14,MATCH(AM197,Mob_Demob!$A$6:$A$14,0))=""),"",ROUND(MAX(N(INDEX(Mob_Demob!$G$6:$G$14,MATCH(AM197,Mob_Demob!$A$6:$A$14,0))),N(INDEX(Mob_Demob!$D$6:$D$14,MATCH(AM197,Mob_Demob!$A$6:$A$14,0)))*Settings!$B$6)+IF(AP197="Y",N(INDEX(Mob_Demob!$I$6:$I$14,MATCH(AM197,Mob_Demob!$A$6:$A$14,0)))*Settings!$B$19,0)+N(INDEX(Mob_Demob!$L$6:$L$14,MATCH(AM197,Mob_Demob!$A$6:$A$14,0)))*N(INDEX(Mob_Demob!$K$6:$K$14,MATCH(AM197,Mob_Demob!$A$6:$A$14,0)))*Settings!$B$6+N(INDEX(Mob_Demob!$M$6:$M$14,MATCH(AM197,Mob_Demob!$A$6:$A$14,0)))*N(INDEX(Mob_Demob!$N$6:$N$14,MATCH(AM197,Mob_Demob!$A$6:$A$14,0))),0)),"")</f>
        <v/>
      </c>
      <c r="AR197" s="16" t="str">
        <f aca="false">IF(AQ197="","",ROUND(AQ197*Settings!$B$18,0))</f>
        <v/>
      </c>
      <c r="AS197" s="13" t="s">
        <v>1534</v>
      </c>
      <c r="AT197" s="14" t="s">
        <v>1542</v>
      </c>
      <c r="AU197" s="14" t="s">
        <v>1381</v>
      </c>
    </row>
    <row r="198" customFormat="false" ht="64.15" hidden="false" customHeight="false" outlineLevel="0" collapsed="false">
      <c r="A198" s="21" t="s">
        <v>1543</v>
      </c>
      <c r="B198" s="21" t="s">
        <v>1289</v>
      </c>
      <c r="C198" s="21" t="s">
        <v>1529</v>
      </c>
      <c r="D198" s="21" t="s">
        <v>1530</v>
      </c>
      <c r="E198" s="22" t="s">
        <v>1103</v>
      </c>
      <c r="F198" s="13" t="s">
        <v>1532</v>
      </c>
      <c r="G198" s="13" t="n">
        <v>4000</v>
      </c>
      <c r="H198" s="13" t="s">
        <v>1092</v>
      </c>
      <c r="I198" s="14"/>
      <c r="J198" s="15"/>
      <c r="K198" s="13"/>
      <c r="L198" s="13" t="s">
        <v>1103</v>
      </c>
      <c r="M198" s="13"/>
      <c r="N198" s="13" t="s">
        <v>184</v>
      </c>
      <c r="O198" s="13" t="s">
        <v>1023</v>
      </c>
      <c r="P198" s="13" t="s">
        <v>186</v>
      </c>
      <c r="Q198" s="16"/>
      <c r="R198" s="16"/>
      <c r="S198" s="16"/>
      <c r="T198" s="16"/>
      <c r="U198" s="16"/>
      <c r="V198" s="13" t="s">
        <v>187</v>
      </c>
      <c r="W198" s="17"/>
      <c r="X198" s="13"/>
      <c r="Y198" s="13"/>
      <c r="Z198" s="13"/>
      <c r="AA198" s="13" t="s">
        <v>188</v>
      </c>
      <c r="AB198" s="13" t="s">
        <v>1544</v>
      </c>
      <c r="AC198" s="17"/>
      <c r="AD198" s="13"/>
      <c r="AE198" s="19"/>
      <c r="AF198" s="19"/>
      <c r="AG198" s="19"/>
      <c r="AH198" s="13"/>
      <c r="AI198" s="17"/>
      <c r="AJ198" s="13" t="s">
        <v>188</v>
      </c>
      <c r="AK198" s="13" t="s">
        <v>188</v>
      </c>
      <c r="AL198" s="14" t="s">
        <v>194</v>
      </c>
      <c r="AM198" s="13" t="s">
        <v>484</v>
      </c>
      <c r="AN198" s="15"/>
      <c r="AO198" s="13"/>
      <c r="AP198" s="13" t="s">
        <v>196</v>
      </c>
      <c r="AQ198" s="16" t="str">
        <f aca="false">IFERROR(IF(AND(INDEX(Mob_Demob!$D$6:$D$14,MATCH(AM198,Mob_Demob!$A$6:$A$14,0))="",INDEX(Mob_Demob!$G$6:$G$14,MATCH(AM198,Mob_Demob!$A$6:$A$14,0))=""),"",ROUND(MAX(N(INDEX(Mob_Demob!$G$6:$G$14,MATCH(AM198,Mob_Demob!$A$6:$A$14,0))),N(INDEX(Mob_Demob!$D$6:$D$14,MATCH(AM198,Mob_Demob!$A$6:$A$14,0)))*Settings!$B$6)+IF(AP198="Y",N(INDEX(Mob_Demob!$I$6:$I$14,MATCH(AM198,Mob_Demob!$A$6:$A$14,0)))*Settings!$B$19,0)+N(INDEX(Mob_Demob!$L$6:$L$14,MATCH(AM198,Mob_Demob!$A$6:$A$14,0)))*N(INDEX(Mob_Demob!$K$6:$K$14,MATCH(AM198,Mob_Demob!$A$6:$A$14,0)))*Settings!$B$6+N(INDEX(Mob_Demob!$M$6:$M$14,MATCH(AM198,Mob_Demob!$A$6:$A$14,0)))*N(INDEX(Mob_Demob!$N$6:$N$14,MATCH(AM198,Mob_Demob!$A$6:$A$14,0))),0)),"")</f>
        <v/>
      </c>
      <c r="AR198" s="16" t="str">
        <f aca="false">IF(AQ198="","",ROUND(AQ198*Settings!$B$18,0))</f>
        <v/>
      </c>
      <c r="AS198" s="13" t="s">
        <v>1534</v>
      </c>
      <c r="AT198" s="14" t="s">
        <v>1545</v>
      </c>
      <c r="AU198" s="14" t="s">
        <v>1381</v>
      </c>
    </row>
    <row r="199" customFormat="false" ht="64.15" hidden="false" customHeight="false" outlineLevel="0" collapsed="false">
      <c r="A199" s="21" t="s">
        <v>1546</v>
      </c>
      <c r="B199" s="21" t="s">
        <v>1289</v>
      </c>
      <c r="C199" s="21" t="s">
        <v>1547</v>
      </c>
      <c r="D199" s="21" t="s">
        <v>1547</v>
      </c>
      <c r="E199" s="22" t="s">
        <v>1548</v>
      </c>
      <c r="F199" s="13" t="s">
        <v>1549</v>
      </c>
      <c r="G199" s="13" t="s">
        <v>1548</v>
      </c>
      <c r="H199" s="13"/>
      <c r="I199" s="14"/>
      <c r="J199" s="15"/>
      <c r="K199" s="13"/>
      <c r="L199" s="13" t="s">
        <v>1548</v>
      </c>
      <c r="M199" s="13"/>
      <c r="N199" s="13" t="s">
        <v>184</v>
      </c>
      <c r="O199" s="13" t="s">
        <v>1295</v>
      </c>
      <c r="P199" s="13" t="s">
        <v>186</v>
      </c>
      <c r="Q199" s="16"/>
      <c r="R199" s="16"/>
      <c r="S199" s="16"/>
      <c r="T199" s="16"/>
      <c r="U199" s="16"/>
      <c r="V199" s="13" t="s">
        <v>187</v>
      </c>
      <c r="W199" s="17"/>
      <c r="X199" s="13"/>
      <c r="Y199" s="13"/>
      <c r="Z199" s="13"/>
      <c r="AA199" s="13" t="s">
        <v>188</v>
      </c>
      <c r="AB199" s="13" t="s">
        <v>1550</v>
      </c>
      <c r="AC199" s="17"/>
      <c r="AD199" s="13"/>
      <c r="AE199" s="19"/>
      <c r="AF199" s="19"/>
      <c r="AG199" s="19"/>
      <c r="AH199" s="13"/>
      <c r="AI199" s="17"/>
      <c r="AJ199" s="13" t="s">
        <v>188</v>
      </c>
      <c r="AK199" s="13" t="s">
        <v>188</v>
      </c>
      <c r="AL199" s="14" t="s">
        <v>194</v>
      </c>
      <c r="AM199" s="13" t="s">
        <v>216</v>
      </c>
      <c r="AN199" s="15"/>
      <c r="AO199" s="13"/>
      <c r="AP199" s="13" t="s">
        <v>241</v>
      </c>
      <c r="AQ199" s="16" t="n">
        <f aca="false">IFERROR(IF(AND(INDEX(Mob_Demob!$D$6:$D$14,MATCH(AM199,Mob_Demob!$A$6:$A$14,0))="",INDEX(Mob_Demob!$G$6:$G$14,MATCH(AM199,Mob_Demob!$A$6:$A$14,0))=""),"",ROUND(MAX(N(INDEX(Mob_Demob!$G$6:$G$14,MATCH(AM199,Mob_Demob!$A$6:$A$14,0))),N(INDEX(Mob_Demob!$D$6:$D$14,MATCH(AM199,Mob_Demob!$A$6:$A$14,0)))*Settings!$B$6)+IF(AP199="Y",N(INDEX(Mob_Demob!$I$6:$I$14,MATCH(AM199,Mob_Demob!$A$6:$A$14,0)))*Settings!$B$19,0)+N(INDEX(Mob_Demob!$L$6:$L$14,MATCH(AM199,Mob_Demob!$A$6:$A$14,0)))*N(INDEX(Mob_Demob!$K$6:$K$14,MATCH(AM199,Mob_Demob!$A$6:$A$14,0)))*Settings!$B$6+N(INDEX(Mob_Demob!$M$6:$M$14,MATCH(AM199,Mob_Demob!$A$6:$A$14,0)))*N(INDEX(Mob_Demob!$N$6:$N$14,MATCH(AM199,Mob_Demob!$A$6:$A$14,0))),0)),"")</f>
        <v>550</v>
      </c>
      <c r="AR199" s="16" t="n">
        <f aca="false">IF(AQ199="","",ROUND(AQ199*Settings!$B$18,0))</f>
        <v>550</v>
      </c>
      <c r="AS199" s="13" t="s">
        <v>1551</v>
      </c>
      <c r="AT199" s="14" t="s">
        <v>1552</v>
      </c>
      <c r="AU199" s="14" t="s">
        <v>1381</v>
      </c>
    </row>
    <row r="200" customFormat="false" ht="64.15" hidden="false" customHeight="false" outlineLevel="0" collapsed="false">
      <c r="A200" s="21" t="s">
        <v>1553</v>
      </c>
      <c r="B200" s="21" t="s">
        <v>1289</v>
      </c>
      <c r="C200" s="21" t="s">
        <v>1547</v>
      </c>
      <c r="D200" s="21" t="s">
        <v>1547</v>
      </c>
      <c r="E200" s="22" t="s">
        <v>1554</v>
      </c>
      <c r="F200" s="13" t="s">
        <v>1549</v>
      </c>
      <c r="G200" s="13" t="s">
        <v>1554</v>
      </c>
      <c r="H200" s="13"/>
      <c r="I200" s="14"/>
      <c r="J200" s="15"/>
      <c r="K200" s="13"/>
      <c r="L200" s="13" t="s">
        <v>1554</v>
      </c>
      <c r="M200" s="13"/>
      <c r="N200" s="13" t="s">
        <v>184</v>
      </c>
      <c r="O200" s="13" t="s">
        <v>1295</v>
      </c>
      <c r="P200" s="13" t="s">
        <v>186</v>
      </c>
      <c r="Q200" s="16"/>
      <c r="R200" s="16"/>
      <c r="S200" s="16"/>
      <c r="T200" s="16"/>
      <c r="U200" s="16"/>
      <c r="V200" s="13" t="s">
        <v>187</v>
      </c>
      <c r="W200" s="17"/>
      <c r="X200" s="13"/>
      <c r="Y200" s="13"/>
      <c r="Z200" s="13"/>
      <c r="AA200" s="13" t="s">
        <v>188</v>
      </c>
      <c r="AB200" s="13" t="s">
        <v>1555</v>
      </c>
      <c r="AC200" s="17"/>
      <c r="AD200" s="13"/>
      <c r="AE200" s="19"/>
      <c r="AF200" s="19"/>
      <c r="AG200" s="19"/>
      <c r="AH200" s="13"/>
      <c r="AI200" s="17"/>
      <c r="AJ200" s="13" t="s">
        <v>188</v>
      </c>
      <c r="AK200" s="13" t="s">
        <v>188</v>
      </c>
      <c r="AL200" s="14" t="s">
        <v>194</v>
      </c>
      <c r="AM200" s="13" t="s">
        <v>216</v>
      </c>
      <c r="AN200" s="15"/>
      <c r="AO200" s="13"/>
      <c r="AP200" s="13" t="s">
        <v>241</v>
      </c>
      <c r="AQ200" s="16" t="n">
        <f aca="false">IFERROR(IF(AND(INDEX(Mob_Demob!$D$6:$D$14,MATCH(AM200,Mob_Demob!$A$6:$A$14,0))="",INDEX(Mob_Demob!$G$6:$G$14,MATCH(AM200,Mob_Demob!$A$6:$A$14,0))=""),"",ROUND(MAX(N(INDEX(Mob_Demob!$G$6:$G$14,MATCH(AM200,Mob_Demob!$A$6:$A$14,0))),N(INDEX(Mob_Demob!$D$6:$D$14,MATCH(AM200,Mob_Demob!$A$6:$A$14,0)))*Settings!$B$6)+IF(AP200="Y",N(INDEX(Mob_Demob!$I$6:$I$14,MATCH(AM200,Mob_Demob!$A$6:$A$14,0)))*Settings!$B$19,0)+N(INDEX(Mob_Demob!$L$6:$L$14,MATCH(AM200,Mob_Demob!$A$6:$A$14,0)))*N(INDEX(Mob_Demob!$K$6:$K$14,MATCH(AM200,Mob_Demob!$A$6:$A$14,0)))*Settings!$B$6+N(INDEX(Mob_Demob!$M$6:$M$14,MATCH(AM200,Mob_Demob!$A$6:$A$14,0)))*N(INDEX(Mob_Demob!$N$6:$N$14,MATCH(AM200,Mob_Demob!$A$6:$A$14,0))),0)),"")</f>
        <v>550</v>
      </c>
      <c r="AR200" s="16" t="n">
        <f aca="false">IF(AQ200="","",ROUND(AQ200*Settings!$B$18,0))</f>
        <v>550</v>
      </c>
      <c r="AS200" s="13" t="s">
        <v>1551</v>
      </c>
      <c r="AT200" s="14" t="s">
        <v>1556</v>
      </c>
      <c r="AU200" s="14" t="s">
        <v>1381</v>
      </c>
    </row>
    <row r="201" customFormat="false" ht="64.15" hidden="false" customHeight="false" outlineLevel="0" collapsed="false">
      <c r="A201" s="21" t="s">
        <v>1557</v>
      </c>
      <c r="B201" s="21" t="s">
        <v>1289</v>
      </c>
      <c r="C201" s="21" t="s">
        <v>1547</v>
      </c>
      <c r="D201" s="21" t="s">
        <v>1547</v>
      </c>
      <c r="E201" s="22" t="s">
        <v>1558</v>
      </c>
      <c r="F201" s="13" t="s">
        <v>1549</v>
      </c>
      <c r="G201" s="13" t="s">
        <v>1558</v>
      </c>
      <c r="H201" s="13"/>
      <c r="I201" s="14"/>
      <c r="J201" s="15"/>
      <c r="K201" s="13"/>
      <c r="L201" s="13" t="s">
        <v>1558</v>
      </c>
      <c r="M201" s="13"/>
      <c r="N201" s="13" t="s">
        <v>184</v>
      </c>
      <c r="O201" s="13" t="s">
        <v>1295</v>
      </c>
      <c r="P201" s="13" t="s">
        <v>186</v>
      </c>
      <c r="Q201" s="16"/>
      <c r="R201" s="16"/>
      <c r="S201" s="16"/>
      <c r="T201" s="16"/>
      <c r="U201" s="16"/>
      <c r="V201" s="13" t="s">
        <v>187</v>
      </c>
      <c r="W201" s="17"/>
      <c r="X201" s="13"/>
      <c r="Y201" s="13"/>
      <c r="Z201" s="13"/>
      <c r="AA201" s="13" t="s">
        <v>188</v>
      </c>
      <c r="AB201" s="13" t="s">
        <v>1559</v>
      </c>
      <c r="AC201" s="17"/>
      <c r="AD201" s="13"/>
      <c r="AE201" s="19"/>
      <c r="AF201" s="19"/>
      <c r="AG201" s="19"/>
      <c r="AH201" s="13"/>
      <c r="AI201" s="17"/>
      <c r="AJ201" s="13" t="s">
        <v>188</v>
      </c>
      <c r="AK201" s="13" t="s">
        <v>188</v>
      </c>
      <c r="AL201" s="14" t="s">
        <v>194</v>
      </c>
      <c r="AM201" s="13" t="s">
        <v>216</v>
      </c>
      <c r="AN201" s="15"/>
      <c r="AO201" s="13"/>
      <c r="AP201" s="13" t="s">
        <v>241</v>
      </c>
      <c r="AQ201" s="16" t="n">
        <f aca="false">IFERROR(IF(AND(INDEX(Mob_Demob!$D$6:$D$14,MATCH(AM201,Mob_Demob!$A$6:$A$14,0))="",INDEX(Mob_Demob!$G$6:$G$14,MATCH(AM201,Mob_Demob!$A$6:$A$14,0))=""),"",ROUND(MAX(N(INDEX(Mob_Demob!$G$6:$G$14,MATCH(AM201,Mob_Demob!$A$6:$A$14,0))),N(INDEX(Mob_Demob!$D$6:$D$14,MATCH(AM201,Mob_Demob!$A$6:$A$14,0)))*Settings!$B$6)+IF(AP201="Y",N(INDEX(Mob_Demob!$I$6:$I$14,MATCH(AM201,Mob_Demob!$A$6:$A$14,0)))*Settings!$B$19,0)+N(INDEX(Mob_Demob!$L$6:$L$14,MATCH(AM201,Mob_Demob!$A$6:$A$14,0)))*N(INDEX(Mob_Demob!$K$6:$K$14,MATCH(AM201,Mob_Demob!$A$6:$A$14,0)))*Settings!$B$6+N(INDEX(Mob_Demob!$M$6:$M$14,MATCH(AM201,Mob_Demob!$A$6:$A$14,0)))*N(INDEX(Mob_Demob!$N$6:$N$14,MATCH(AM201,Mob_Demob!$A$6:$A$14,0))),0)),"")</f>
        <v>550</v>
      </c>
      <c r="AR201" s="16" t="n">
        <f aca="false">IF(AQ201="","",ROUND(AQ201*Settings!$B$18,0))</f>
        <v>550</v>
      </c>
      <c r="AS201" s="13" t="s">
        <v>1551</v>
      </c>
      <c r="AT201" s="14" t="s">
        <v>1560</v>
      </c>
      <c r="AU201" s="14" t="s">
        <v>1381</v>
      </c>
    </row>
    <row r="202" customFormat="false" ht="64.15" hidden="false" customHeight="false" outlineLevel="0" collapsed="false">
      <c r="A202" s="21" t="s">
        <v>1561</v>
      </c>
      <c r="B202" s="21" t="s">
        <v>1289</v>
      </c>
      <c r="C202" s="21" t="s">
        <v>1547</v>
      </c>
      <c r="D202" s="21" t="s">
        <v>1547</v>
      </c>
      <c r="E202" s="22" t="s">
        <v>1562</v>
      </c>
      <c r="F202" s="13" t="s">
        <v>1549</v>
      </c>
      <c r="G202" s="13" t="s">
        <v>1562</v>
      </c>
      <c r="H202" s="13"/>
      <c r="I202" s="14"/>
      <c r="J202" s="15"/>
      <c r="K202" s="13"/>
      <c r="L202" s="13" t="s">
        <v>1562</v>
      </c>
      <c r="M202" s="13"/>
      <c r="N202" s="13" t="s">
        <v>184</v>
      </c>
      <c r="O202" s="13" t="s">
        <v>1295</v>
      </c>
      <c r="P202" s="13" t="s">
        <v>186</v>
      </c>
      <c r="Q202" s="16"/>
      <c r="R202" s="16"/>
      <c r="S202" s="16"/>
      <c r="T202" s="16"/>
      <c r="U202" s="16"/>
      <c r="V202" s="13" t="s">
        <v>187</v>
      </c>
      <c r="W202" s="17"/>
      <c r="X202" s="13"/>
      <c r="Y202" s="13"/>
      <c r="Z202" s="13"/>
      <c r="AA202" s="13" t="s">
        <v>188</v>
      </c>
      <c r="AB202" s="13" t="s">
        <v>1563</v>
      </c>
      <c r="AC202" s="17"/>
      <c r="AD202" s="13"/>
      <c r="AE202" s="19"/>
      <c r="AF202" s="19"/>
      <c r="AG202" s="19"/>
      <c r="AH202" s="13"/>
      <c r="AI202" s="17"/>
      <c r="AJ202" s="13" t="s">
        <v>188</v>
      </c>
      <c r="AK202" s="13" t="s">
        <v>188</v>
      </c>
      <c r="AL202" s="14" t="s">
        <v>194</v>
      </c>
      <c r="AM202" s="13" t="s">
        <v>216</v>
      </c>
      <c r="AN202" s="15"/>
      <c r="AO202" s="13"/>
      <c r="AP202" s="13" t="s">
        <v>241</v>
      </c>
      <c r="AQ202" s="16" t="n">
        <f aca="false">IFERROR(IF(AND(INDEX(Mob_Demob!$D$6:$D$14,MATCH(AM202,Mob_Demob!$A$6:$A$14,0))="",INDEX(Mob_Demob!$G$6:$G$14,MATCH(AM202,Mob_Demob!$A$6:$A$14,0))=""),"",ROUND(MAX(N(INDEX(Mob_Demob!$G$6:$G$14,MATCH(AM202,Mob_Demob!$A$6:$A$14,0))),N(INDEX(Mob_Demob!$D$6:$D$14,MATCH(AM202,Mob_Demob!$A$6:$A$14,0)))*Settings!$B$6)+IF(AP202="Y",N(INDEX(Mob_Demob!$I$6:$I$14,MATCH(AM202,Mob_Demob!$A$6:$A$14,0)))*Settings!$B$19,0)+N(INDEX(Mob_Demob!$L$6:$L$14,MATCH(AM202,Mob_Demob!$A$6:$A$14,0)))*N(INDEX(Mob_Demob!$K$6:$K$14,MATCH(AM202,Mob_Demob!$A$6:$A$14,0)))*Settings!$B$6+N(INDEX(Mob_Demob!$M$6:$M$14,MATCH(AM202,Mob_Demob!$A$6:$A$14,0)))*N(INDEX(Mob_Demob!$N$6:$N$14,MATCH(AM202,Mob_Demob!$A$6:$A$14,0))),0)),"")</f>
        <v>550</v>
      </c>
      <c r="AR202" s="16" t="n">
        <f aca="false">IF(AQ202="","",ROUND(AQ202*Settings!$B$18,0))</f>
        <v>550</v>
      </c>
      <c r="AS202" s="13" t="s">
        <v>1551</v>
      </c>
      <c r="AT202" s="14" t="s">
        <v>1564</v>
      </c>
      <c r="AU202" s="14" t="s">
        <v>1381</v>
      </c>
    </row>
    <row r="203" customFormat="false" ht="64.15" hidden="false" customHeight="false" outlineLevel="0" collapsed="false">
      <c r="A203" s="21" t="s">
        <v>1565</v>
      </c>
      <c r="B203" s="21" t="s">
        <v>1289</v>
      </c>
      <c r="C203" s="21" t="s">
        <v>1566</v>
      </c>
      <c r="D203" s="21" t="s">
        <v>1567</v>
      </c>
      <c r="E203" s="22" t="s">
        <v>1568</v>
      </c>
      <c r="F203" s="13" t="s">
        <v>1569</v>
      </c>
      <c r="G203" s="13" t="n">
        <v>8</v>
      </c>
      <c r="H203" s="13" t="s">
        <v>462</v>
      </c>
      <c r="I203" s="14" t="s">
        <v>1570</v>
      </c>
      <c r="J203" s="15"/>
      <c r="K203" s="13"/>
      <c r="L203" s="13"/>
      <c r="M203" s="13"/>
      <c r="N203" s="13" t="s">
        <v>184</v>
      </c>
      <c r="O203" s="13" t="s">
        <v>336</v>
      </c>
      <c r="P203" s="13" t="s">
        <v>186</v>
      </c>
      <c r="Q203" s="20" t="n">
        <v>412</v>
      </c>
      <c r="R203" s="20" t="n">
        <v>1195</v>
      </c>
      <c r="S203" s="20" t="n">
        <v>3465</v>
      </c>
      <c r="T203" s="16"/>
      <c r="U203" s="16"/>
      <c r="V203" s="13" t="s">
        <v>187</v>
      </c>
      <c r="W203" s="17"/>
      <c r="X203" s="13"/>
      <c r="Y203" s="13" t="s">
        <v>259</v>
      </c>
      <c r="Z203" s="13" t="s">
        <v>260</v>
      </c>
      <c r="AA203" s="13" t="s">
        <v>192</v>
      </c>
      <c r="AB203" s="13" t="s">
        <v>1571</v>
      </c>
      <c r="AC203" s="17"/>
      <c r="AD203" s="13"/>
      <c r="AE203" s="19"/>
      <c r="AF203" s="19"/>
      <c r="AG203" s="19"/>
      <c r="AH203" s="13"/>
      <c r="AI203" s="17"/>
      <c r="AJ203" s="13" t="s">
        <v>188</v>
      </c>
      <c r="AK203" s="13" t="s">
        <v>188</v>
      </c>
      <c r="AL203" s="14" t="s">
        <v>194</v>
      </c>
      <c r="AM203" s="13" t="s">
        <v>195</v>
      </c>
      <c r="AN203" s="15"/>
      <c r="AO203" s="13"/>
      <c r="AP203" s="13" t="s">
        <v>196</v>
      </c>
      <c r="AQ203" s="16" t="n">
        <f aca="false">IFERROR(IF(AND(INDEX(Mob_Demob!$D$6:$D$14,MATCH(AM203,Mob_Demob!$A$6:$A$14,0))="",INDEX(Mob_Demob!$G$6:$G$14,MATCH(AM203,Mob_Demob!$A$6:$A$14,0))=""),"",ROUND(MAX(N(INDEX(Mob_Demob!$G$6:$G$14,MATCH(AM203,Mob_Demob!$A$6:$A$14,0))),N(INDEX(Mob_Demob!$D$6:$D$14,MATCH(AM203,Mob_Demob!$A$6:$A$14,0)))*Settings!$B$6)+IF(AP203="Y",N(INDEX(Mob_Demob!$I$6:$I$14,MATCH(AM203,Mob_Demob!$A$6:$A$14,0)))*Settings!$B$19,0)+N(INDEX(Mob_Demob!$L$6:$L$14,MATCH(AM203,Mob_Demob!$A$6:$A$14,0)))*N(INDEX(Mob_Demob!$K$6:$K$14,MATCH(AM203,Mob_Demob!$A$6:$A$14,0)))*Settings!$B$6+N(INDEX(Mob_Demob!$M$6:$M$14,MATCH(AM203,Mob_Demob!$A$6:$A$14,0)))*N(INDEX(Mob_Demob!$N$6:$N$14,MATCH(AM203,Mob_Demob!$A$6:$A$14,0))),0)),"")</f>
        <v>500</v>
      </c>
      <c r="AR203" s="16" t="n">
        <f aca="false">IF(AQ203="","",ROUND(AQ203*Settings!$B$18,0))</f>
        <v>500</v>
      </c>
      <c r="AS203" s="13" t="s">
        <v>1572</v>
      </c>
      <c r="AT203" s="14" t="s">
        <v>1573</v>
      </c>
      <c r="AU203" s="14" t="s">
        <v>1574</v>
      </c>
    </row>
    <row r="204" customFormat="false" ht="64.15" hidden="false" customHeight="false" outlineLevel="0" collapsed="false">
      <c r="A204" s="21" t="s">
        <v>1575</v>
      </c>
      <c r="B204" s="21" t="s">
        <v>1289</v>
      </c>
      <c r="C204" s="21" t="s">
        <v>1566</v>
      </c>
      <c r="D204" s="21" t="s">
        <v>1567</v>
      </c>
      <c r="E204" s="22" t="s">
        <v>1576</v>
      </c>
      <c r="F204" s="13" t="s">
        <v>1569</v>
      </c>
      <c r="G204" s="13" t="n">
        <v>8</v>
      </c>
      <c r="H204" s="13" t="s">
        <v>462</v>
      </c>
      <c r="I204" s="14"/>
      <c r="J204" s="15"/>
      <c r="K204" s="13"/>
      <c r="L204" s="13"/>
      <c r="M204" s="13"/>
      <c r="N204" s="13" t="s">
        <v>184</v>
      </c>
      <c r="O204" s="13" t="s">
        <v>336</v>
      </c>
      <c r="P204" s="13" t="s">
        <v>186</v>
      </c>
      <c r="Q204" s="20" t="n">
        <v>618</v>
      </c>
      <c r="R204" s="20" t="n">
        <v>1792</v>
      </c>
      <c r="S204" s="20" t="n">
        <v>5198</v>
      </c>
      <c r="T204" s="16"/>
      <c r="U204" s="16"/>
      <c r="V204" s="13" t="s">
        <v>187</v>
      </c>
      <c r="W204" s="17"/>
      <c r="X204" s="13"/>
      <c r="Y204" s="13" t="s">
        <v>259</v>
      </c>
      <c r="Z204" s="13" t="s">
        <v>260</v>
      </c>
      <c r="AA204" s="13" t="s">
        <v>192</v>
      </c>
      <c r="AB204" s="13"/>
      <c r="AC204" s="17"/>
      <c r="AD204" s="13"/>
      <c r="AE204" s="19"/>
      <c r="AF204" s="19"/>
      <c r="AG204" s="19"/>
      <c r="AH204" s="13"/>
      <c r="AI204" s="17"/>
      <c r="AJ204" s="13" t="s">
        <v>188</v>
      </c>
      <c r="AK204" s="13" t="s">
        <v>188</v>
      </c>
      <c r="AL204" s="14" t="s">
        <v>194</v>
      </c>
      <c r="AM204" s="13" t="s">
        <v>195</v>
      </c>
      <c r="AN204" s="15"/>
      <c r="AO204" s="13"/>
      <c r="AP204" s="13" t="s">
        <v>196</v>
      </c>
      <c r="AQ204" s="16" t="n">
        <f aca="false">IFERROR(IF(AND(INDEX(Mob_Demob!$D$6:$D$14,MATCH(AM204,Mob_Demob!$A$6:$A$14,0))="",INDEX(Mob_Demob!$G$6:$G$14,MATCH(AM204,Mob_Demob!$A$6:$A$14,0))=""),"",ROUND(MAX(N(INDEX(Mob_Demob!$G$6:$G$14,MATCH(AM204,Mob_Demob!$A$6:$A$14,0))),N(INDEX(Mob_Demob!$D$6:$D$14,MATCH(AM204,Mob_Demob!$A$6:$A$14,0)))*Settings!$B$6)+IF(AP204="Y",N(INDEX(Mob_Demob!$I$6:$I$14,MATCH(AM204,Mob_Demob!$A$6:$A$14,0)))*Settings!$B$19,0)+N(INDEX(Mob_Demob!$L$6:$L$14,MATCH(AM204,Mob_Demob!$A$6:$A$14,0)))*N(INDEX(Mob_Demob!$K$6:$K$14,MATCH(AM204,Mob_Demob!$A$6:$A$14,0)))*Settings!$B$6+N(INDEX(Mob_Demob!$M$6:$M$14,MATCH(AM204,Mob_Demob!$A$6:$A$14,0)))*N(INDEX(Mob_Demob!$N$6:$N$14,MATCH(AM204,Mob_Demob!$A$6:$A$14,0))),0)),"")</f>
        <v>500</v>
      </c>
      <c r="AR204" s="16" t="n">
        <f aca="false">IF(AQ204="","",ROUND(AQ204*Settings!$B$18,0))</f>
        <v>500</v>
      </c>
      <c r="AS204" s="13" t="s">
        <v>1572</v>
      </c>
      <c r="AT204" s="14" t="s">
        <v>585</v>
      </c>
      <c r="AU204" s="14" t="s">
        <v>1054</v>
      </c>
    </row>
    <row r="205" customFormat="false" ht="64.15" hidden="false" customHeight="false" outlineLevel="0" collapsed="false">
      <c r="A205" s="21" t="s">
        <v>1577</v>
      </c>
      <c r="B205" s="21" t="s">
        <v>1289</v>
      </c>
      <c r="C205" s="21" t="s">
        <v>1566</v>
      </c>
      <c r="D205" s="21" t="s">
        <v>1578</v>
      </c>
      <c r="E205" s="22" t="s">
        <v>1579</v>
      </c>
      <c r="F205" s="13" t="s">
        <v>141</v>
      </c>
      <c r="G205" s="13" t="s">
        <v>1580</v>
      </c>
      <c r="H205" s="13"/>
      <c r="I205" s="14"/>
      <c r="J205" s="15"/>
      <c r="K205" s="13"/>
      <c r="L205" s="13"/>
      <c r="M205" s="13"/>
      <c r="N205" s="13" t="s">
        <v>503</v>
      </c>
      <c r="O205" s="13" t="s">
        <v>504</v>
      </c>
      <c r="P205" s="13" t="s">
        <v>186</v>
      </c>
      <c r="Q205" s="20" t="n">
        <v>223</v>
      </c>
      <c r="R205" s="20" t="n">
        <v>648</v>
      </c>
      <c r="S205" s="20" t="n">
        <v>1673</v>
      </c>
      <c r="T205" s="20" t="n">
        <v>1050</v>
      </c>
      <c r="U205" s="20" t="n">
        <v>2295</v>
      </c>
      <c r="V205" s="13" t="s">
        <v>187</v>
      </c>
      <c r="W205" s="17"/>
      <c r="X205" s="13"/>
      <c r="Y205" s="13" t="s">
        <v>1581</v>
      </c>
      <c r="Z205" s="13" t="s">
        <v>212</v>
      </c>
      <c r="AA205" s="13" t="s">
        <v>213</v>
      </c>
      <c r="AB205" s="13"/>
      <c r="AC205" s="17"/>
      <c r="AD205" s="13"/>
      <c r="AE205" s="19" t="n">
        <v>0</v>
      </c>
      <c r="AF205" s="19" t="n">
        <v>0</v>
      </c>
      <c r="AG205" s="19" t="n">
        <v>0</v>
      </c>
      <c r="AH205" s="13" t="s">
        <v>506</v>
      </c>
      <c r="AI205" s="17"/>
      <c r="AJ205" s="13" t="s">
        <v>188</v>
      </c>
      <c r="AK205" s="13" t="s">
        <v>188</v>
      </c>
      <c r="AL205" s="14" t="s">
        <v>194</v>
      </c>
      <c r="AM205" s="13" t="s">
        <v>195</v>
      </c>
      <c r="AN205" s="15"/>
      <c r="AO205" s="13"/>
      <c r="AP205" s="13" t="s">
        <v>196</v>
      </c>
      <c r="AQ205" s="16" t="n">
        <f aca="false">IFERROR(IF(AND(INDEX(Mob_Demob!$D$6:$D$14,MATCH(AM205,Mob_Demob!$A$6:$A$14,0))="",INDEX(Mob_Demob!$G$6:$G$14,MATCH(AM205,Mob_Demob!$A$6:$A$14,0))=""),"",ROUND(MAX(N(INDEX(Mob_Demob!$G$6:$G$14,MATCH(AM205,Mob_Demob!$A$6:$A$14,0))),N(INDEX(Mob_Demob!$D$6:$D$14,MATCH(AM205,Mob_Demob!$A$6:$A$14,0)))*Settings!$B$6)+IF(AP205="Y",N(INDEX(Mob_Demob!$I$6:$I$14,MATCH(AM205,Mob_Demob!$A$6:$A$14,0)))*Settings!$B$19,0)+N(INDEX(Mob_Demob!$L$6:$L$14,MATCH(AM205,Mob_Demob!$A$6:$A$14,0)))*N(INDEX(Mob_Demob!$K$6:$K$14,MATCH(AM205,Mob_Demob!$A$6:$A$14,0)))*Settings!$B$6+N(INDEX(Mob_Demob!$M$6:$M$14,MATCH(AM205,Mob_Demob!$A$6:$A$14,0)))*N(INDEX(Mob_Demob!$N$6:$N$14,MATCH(AM205,Mob_Demob!$A$6:$A$14,0))),0)),"")</f>
        <v>500</v>
      </c>
      <c r="AR205" s="16" t="n">
        <f aca="false">IF(AQ205="","",ROUND(AQ205*Settings!$B$18,0))</f>
        <v>500</v>
      </c>
      <c r="AS205" s="13" t="s">
        <v>1572</v>
      </c>
      <c r="AT205" s="14" t="s">
        <v>1582</v>
      </c>
      <c r="AU205" s="14" t="s">
        <v>341</v>
      </c>
    </row>
    <row r="206" customFormat="false" ht="64.15" hidden="false" customHeight="false" outlineLevel="0" collapsed="false">
      <c r="A206" s="21" t="s">
        <v>1583</v>
      </c>
      <c r="B206" s="21" t="s">
        <v>1289</v>
      </c>
      <c r="C206" s="21" t="s">
        <v>1566</v>
      </c>
      <c r="D206" s="21" t="s">
        <v>1584</v>
      </c>
      <c r="E206" s="22" t="s">
        <v>1585</v>
      </c>
      <c r="F206" s="13" t="s">
        <v>1569</v>
      </c>
      <c r="G206" s="13" t="n">
        <v>72</v>
      </c>
      <c r="H206" s="13" t="s">
        <v>1196</v>
      </c>
      <c r="I206" s="14" t="s">
        <v>1586</v>
      </c>
      <c r="J206" s="15"/>
      <c r="K206" s="13"/>
      <c r="L206" s="13"/>
      <c r="M206" s="13"/>
      <c r="N206" s="13" t="s">
        <v>503</v>
      </c>
      <c r="O206" s="13" t="s">
        <v>504</v>
      </c>
      <c r="P206" s="13" t="s">
        <v>186</v>
      </c>
      <c r="Q206" s="16"/>
      <c r="R206" s="16"/>
      <c r="S206" s="16"/>
      <c r="T206" s="16"/>
      <c r="U206" s="16"/>
      <c r="V206" s="13" t="s">
        <v>187</v>
      </c>
      <c r="W206" s="17"/>
      <c r="X206" s="13"/>
      <c r="Y206" s="13"/>
      <c r="Z206" s="13"/>
      <c r="AA206" s="13" t="s">
        <v>188</v>
      </c>
      <c r="AB206" s="13" t="s">
        <v>1587</v>
      </c>
      <c r="AC206" s="17"/>
      <c r="AD206" s="13"/>
      <c r="AE206" s="19" t="n">
        <v>0</v>
      </c>
      <c r="AF206" s="19" t="n">
        <v>0</v>
      </c>
      <c r="AG206" s="19" t="n">
        <v>0</v>
      </c>
      <c r="AH206" s="13" t="s">
        <v>506</v>
      </c>
      <c r="AI206" s="17"/>
      <c r="AJ206" s="13" t="s">
        <v>188</v>
      </c>
      <c r="AK206" s="13" t="s">
        <v>188</v>
      </c>
      <c r="AL206" s="14" t="s">
        <v>194</v>
      </c>
      <c r="AM206" s="13" t="s">
        <v>507</v>
      </c>
      <c r="AN206" s="15"/>
      <c r="AO206" s="13"/>
      <c r="AP206" s="13" t="s">
        <v>196</v>
      </c>
      <c r="AQ206" s="16" t="n">
        <f aca="false">IFERROR(IF(AND(INDEX(Mob_Demob!$D$6:$D$14,MATCH(AM206,Mob_Demob!$A$6:$A$14,0))="",INDEX(Mob_Demob!$G$6:$G$14,MATCH(AM206,Mob_Demob!$A$6:$A$14,0))=""),"",ROUND(MAX(N(INDEX(Mob_Demob!$G$6:$G$14,MATCH(AM206,Mob_Demob!$A$6:$A$14,0))),N(INDEX(Mob_Demob!$D$6:$D$14,MATCH(AM206,Mob_Demob!$A$6:$A$14,0)))*Settings!$B$6)+IF(AP206="Y",N(INDEX(Mob_Demob!$I$6:$I$14,MATCH(AM206,Mob_Demob!$A$6:$A$14,0)))*Settings!$B$19,0)+N(INDEX(Mob_Demob!$L$6:$L$14,MATCH(AM206,Mob_Demob!$A$6:$A$14,0)))*N(INDEX(Mob_Demob!$K$6:$K$14,MATCH(AM206,Mob_Demob!$A$6:$A$14,0)))*Settings!$B$6+N(INDEX(Mob_Demob!$M$6:$M$14,MATCH(AM206,Mob_Demob!$A$6:$A$14,0)))*N(INDEX(Mob_Demob!$N$6:$N$14,MATCH(AM206,Mob_Demob!$A$6:$A$14,0))),0)),"")</f>
        <v>400</v>
      </c>
      <c r="AR206" s="16" t="n">
        <f aca="false">IF(AQ206="","",ROUND(AQ206*Settings!$B$18,0))</f>
        <v>400</v>
      </c>
      <c r="AS206" s="13"/>
      <c r="AT206" s="14" t="s">
        <v>1588</v>
      </c>
      <c r="AU206" s="14" t="s">
        <v>509</v>
      </c>
    </row>
    <row r="207" customFormat="false" ht="64.15" hidden="false" customHeight="false" outlineLevel="0" collapsed="false">
      <c r="A207" s="21" t="s">
        <v>1589</v>
      </c>
      <c r="B207" s="21" t="s">
        <v>1289</v>
      </c>
      <c r="C207" s="21" t="s">
        <v>1566</v>
      </c>
      <c r="D207" s="21" t="s">
        <v>1590</v>
      </c>
      <c r="E207" s="22" t="s">
        <v>1591</v>
      </c>
      <c r="F207" s="13" t="s">
        <v>1592</v>
      </c>
      <c r="G207" s="13" t="n">
        <v>120</v>
      </c>
      <c r="H207" s="13" t="s">
        <v>1196</v>
      </c>
      <c r="I207" s="14" t="s">
        <v>1593</v>
      </c>
      <c r="J207" s="15"/>
      <c r="K207" s="13"/>
      <c r="L207" s="13" t="s">
        <v>1594</v>
      </c>
      <c r="M207" s="13"/>
      <c r="N207" s="13" t="s">
        <v>184</v>
      </c>
      <c r="O207" s="13" t="s">
        <v>1023</v>
      </c>
      <c r="P207" s="13" t="s">
        <v>186</v>
      </c>
      <c r="Q207" s="16"/>
      <c r="R207" s="16"/>
      <c r="S207" s="16"/>
      <c r="T207" s="16"/>
      <c r="U207" s="16"/>
      <c r="V207" s="13" t="s">
        <v>187</v>
      </c>
      <c r="W207" s="17"/>
      <c r="X207" s="13"/>
      <c r="Y207" s="13"/>
      <c r="Z207" s="13"/>
      <c r="AA207" s="13" t="s">
        <v>188</v>
      </c>
      <c r="AB207" s="13" t="s">
        <v>1595</v>
      </c>
      <c r="AC207" s="17"/>
      <c r="AD207" s="13"/>
      <c r="AE207" s="19"/>
      <c r="AF207" s="19"/>
      <c r="AG207" s="19"/>
      <c r="AH207" s="13"/>
      <c r="AI207" s="17"/>
      <c r="AJ207" s="13" t="s">
        <v>188</v>
      </c>
      <c r="AK207" s="13" t="s">
        <v>188</v>
      </c>
      <c r="AL207" s="14" t="s">
        <v>194</v>
      </c>
      <c r="AM207" s="13" t="s">
        <v>484</v>
      </c>
      <c r="AN207" s="15"/>
      <c r="AO207" s="13"/>
      <c r="AP207" s="13" t="s">
        <v>196</v>
      </c>
      <c r="AQ207" s="16" t="str">
        <f aca="false">IFERROR(IF(AND(INDEX(Mob_Demob!$D$6:$D$14,MATCH(AM207,Mob_Demob!$A$6:$A$14,0))="",INDEX(Mob_Demob!$G$6:$G$14,MATCH(AM207,Mob_Demob!$A$6:$A$14,0))=""),"",ROUND(MAX(N(INDEX(Mob_Demob!$G$6:$G$14,MATCH(AM207,Mob_Demob!$A$6:$A$14,0))),N(INDEX(Mob_Demob!$D$6:$D$14,MATCH(AM207,Mob_Demob!$A$6:$A$14,0)))*Settings!$B$6)+IF(AP207="Y",N(INDEX(Mob_Demob!$I$6:$I$14,MATCH(AM207,Mob_Demob!$A$6:$A$14,0)))*Settings!$B$19,0)+N(INDEX(Mob_Demob!$L$6:$L$14,MATCH(AM207,Mob_Demob!$A$6:$A$14,0)))*N(INDEX(Mob_Demob!$K$6:$K$14,MATCH(AM207,Mob_Demob!$A$6:$A$14,0)))*Settings!$B$6+N(INDEX(Mob_Demob!$M$6:$M$14,MATCH(AM207,Mob_Demob!$A$6:$A$14,0)))*N(INDEX(Mob_Demob!$N$6:$N$14,MATCH(AM207,Mob_Demob!$A$6:$A$14,0))),0)),"")</f>
        <v/>
      </c>
      <c r="AR207" s="16" t="str">
        <f aca="false">IF(AQ207="","",ROUND(AQ207*Settings!$B$18,0))</f>
        <v/>
      </c>
      <c r="AS207" s="13" t="s">
        <v>1572</v>
      </c>
      <c r="AT207" s="14" t="s">
        <v>1596</v>
      </c>
      <c r="AU207" s="14" t="s">
        <v>1381</v>
      </c>
    </row>
    <row r="208" customFormat="false" ht="64.15" hidden="false" customHeight="false" outlineLevel="0" collapsed="false">
      <c r="A208" s="21" t="s">
        <v>1597</v>
      </c>
      <c r="B208" s="21" t="s">
        <v>1289</v>
      </c>
      <c r="C208" s="21" t="s">
        <v>1566</v>
      </c>
      <c r="D208" s="21" t="s">
        <v>1567</v>
      </c>
      <c r="E208" s="22" t="s">
        <v>1598</v>
      </c>
      <c r="F208" s="13" t="s">
        <v>1569</v>
      </c>
      <c r="G208" s="13" t="n">
        <v>96</v>
      </c>
      <c r="H208" s="13" t="s">
        <v>1196</v>
      </c>
      <c r="I208" s="14" t="s">
        <v>1599</v>
      </c>
      <c r="J208" s="15"/>
      <c r="K208" s="13"/>
      <c r="L208" s="13"/>
      <c r="M208" s="13"/>
      <c r="N208" s="13" t="s">
        <v>184</v>
      </c>
      <c r="O208" s="13" t="s">
        <v>336</v>
      </c>
      <c r="P208" s="13" t="s">
        <v>186</v>
      </c>
      <c r="Q208" s="16"/>
      <c r="R208" s="16"/>
      <c r="S208" s="16"/>
      <c r="T208" s="16"/>
      <c r="U208" s="16"/>
      <c r="V208" s="13" t="s">
        <v>187</v>
      </c>
      <c r="W208" s="17"/>
      <c r="X208" s="13"/>
      <c r="Y208" s="13"/>
      <c r="Z208" s="13"/>
      <c r="AA208" s="13" t="s">
        <v>188</v>
      </c>
      <c r="AB208" s="13" t="s">
        <v>1600</v>
      </c>
      <c r="AC208" s="17"/>
      <c r="AD208" s="13"/>
      <c r="AE208" s="19"/>
      <c r="AF208" s="19"/>
      <c r="AG208" s="19"/>
      <c r="AH208" s="13"/>
      <c r="AI208" s="17"/>
      <c r="AJ208" s="13" t="s">
        <v>188</v>
      </c>
      <c r="AK208" s="13" t="s">
        <v>188</v>
      </c>
      <c r="AL208" s="14" t="s">
        <v>194</v>
      </c>
      <c r="AM208" s="13" t="s">
        <v>195</v>
      </c>
      <c r="AN208" s="15"/>
      <c r="AO208" s="13"/>
      <c r="AP208" s="13" t="s">
        <v>196</v>
      </c>
      <c r="AQ208" s="16" t="n">
        <f aca="false">IFERROR(IF(AND(INDEX(Mob_Demob!$D$6:$D$14,MATCH(AM208,Mob_Demob!$A$6:$A$14,0))="",INDEX(Mob_Demob!$G$6:$G$14,MATCH(AM208,Mob_Demob!$A$6:$A$14,0))=""),"",ROUND(MAX(N(INDEX(Mob_Demob!$G$6:$G$14,MATCH(AM208,Mob_Demob!$A$6:$A$14,0))),N(INDEX(Mob_Demob!$D$6:$D$14,MATCH(AM208,Mob_Demob!$A$6:$A$14,0)))*Settings!$B$6)+IF(AP208="Y",N(INDEX(Mob_Demob!$I$6:$I$14,MATCH(AM208,Mob_Demob!$A$6:$A$14,0)))*Settings!$B$19,0)+N(INDEX(Mob_Demob!$L$6:$L$14,MATCH(AM208,Mob_Demob!$A$6:$A$14,0)))*N(INDEX(Mob_Demob!$K$6:$K$14,MATCH(AM208,Mob_Demob!$A$6:$A$14,0)))*Settings!$B$6+N(INDEX(Mob_Demob!$M$6:$M$14,MATCH(AM208,Mob_Demob!$A$6:$A$14,0)))*N(INDEX(Mob_Demob!$N$6:$N$14,MATCH(AM208,Mob_Demob!$A$6:$A$14,0))),0)),"")</f>
        <v>500</v>
      </c>
      <c r="AR208" s="16" t="n">
        <f aca="false">IF(AQ208="","",ROUND(AQ208*Settings!$B$18,0))</f>
        <v>500</v>
      </c>
      <c r="AS208" s="13" t="s">
        <v>1572</v>
      </c>
      <c r="AT208" s="14" t="s">
        <v>1601</v>
      </c>
      <c r="AU208" s="14" t="s">
        <v>1381</v>
      </c>
    </row>
    <row r="209" customFormat="false" ht="64.15" hidden="false" customHeight="false" outlineLevel="0" collapsed="false">
      <c r="A209" s="21" t="s">
        <v>1602</v>
      </c>
      <c r="B209" s="21" t="s">
        <v>1289</v>
      </c>
      <c r="C209" s="21" t="s">
        <v>1566</v>
      </c>
      <c r="D209" s="21" t="s">
        <v>1567</v>
      </c>
      <c r="E209" s="22" t="s">
        <v>1603</v>
      </c>
      <c r="F209" s="13" t="s">
        <v>1569</v>
      </c>
      <c r="G209" s="13" t="n">
        <v>84</v>
      </c>
      <c r="H209" s="13" t="s">
        <v>1196</v>
      </c>
      <c r="I209" s="14" t="s">
        <v>1604</v>
      </c>
      <c r="J209" s="15"/>
      <c r="K209" s="13"/>
      <c r="L209" s="13"/>
      <c r="M209" s="13"/>
      <c r="N209" s="13" t="s">
        <v>184</v>
      </c>
      <c r="O209" s="13" t="s">
        <v>336</v>
      </c>
      <c r="P209" s="13" t="s">
        <v>186</v>
      </c>
      <c r="Q209" s="16"/>
      <c r="R209" s="16"/>
      <c r="S209" s="16"/>
      <c r="T209" s="16"/>
      <c r="U209" s="16"/>
      <c r="V209" s="13" t="s">
        <v>187</v>
      </c>
      <c r="W209" s="17"/>
      <c r="X209" s="13"/>
      <c r="Y209" s="13"/>
      <c r="Z209" s="13"/>
      <c r="AA209" s="13" t="s">
        <v>188</v>
      </c>
      <c r="AB209" s="13" t="s">
        <v>1605</v>
      </c>
      <c r="AC209" s="17"/>
      <c r="AD209" s="13"/>
      <c r="AE209" s="19"/>
      <c r="AF209" s="19"/>
      <c r="AG209" s="19"/>
      <c r="AH209" s="13"/>
      <c r="AI209" s="17"/>
      <c r="AJ209" s="13" t="s">
        <v>188</v>
      </c>
      <c r="AK209" s="13" t="s">
        <v>188</v>
      </c>
      <c r="AL209" s="14" t="s">
        <v>194</v>
      </c>
      <c r="AM209" s="13" t="s">
        <v>195</v>
      </c>
      <c r="AN209" s="15"/>
      <c r="AO209" s="13"/>
      <c r="AP209" s="13" t="s">
        <v>196</v>
      </c>
      <c r="AQ209" s="16" t="n">
        <f aca="false">IFERROR(IF(AND(INDEX(Mob_Demob!$D$6:$D$14,MATCH(AM209,Mob_Demob!$A$6:$A$14,0))="",INDEX(Mob_Demob!$G$6:$G$14,MATCH(AM209,Mob_Demob!$A$6:$A$14,0))=""),"",ROUND(MAX(N(INDEX(Mob_Demob!$G$6:$G$14,MATCH(AM209,Mob_Demob!$A$6:$A$14,0))),N(INDEX(Mob_Demob!$D$6:$D$14,MATCH(AM209,Mob_Demob!$A$6:$A$14,0)))*Settings!$B$6)+IF(AP209="Y",N(INDEX(Mob_Demob!$I$6:$I$14,MATCH(AM209,Mob_Demob!$A$6:$A$14,0)))*Settings!$B$19,0)+N(INDEX(Mob_Demob!$L$6:$L$14,MATCH(AM209,Mob_Demob!$A$6:$A$14,0)))*N(INDEX(Mob_Demob!$K$6:$K$14,MATCH(AM209,Mob_Demob!$A$6:$A$14,0)))*Settings!$B$6+N(INDEX(Mob_Demob!$M$6:$M$14,MATCH(AM209,Mob_Demob!$A$6:$A$14,0)))*N(INDEX(Mob_Demob!$N$6:$N$14,MATCH(AM209,Mob_Demob!$A$6:$A$14,0))),0)),"")</f>
        <v>500</v>
      </c>
      <c r="AR209" s="16" t="n">
        <f aca="false">IF(AQ209="","",ROUND(AQ209*Settings!$B$18,0))</f>
        <v>500</v>
      </c>
      <c r="AS209" s="13" t="s">
        <v>1572</v>
      </c>
      <c r="AT209" s="14" t="s">
        <v>1606</v>
      </c>
      <c r="AU209" s="14" t="s">
        <v>1381</v>
      </c>
    </row>
    <row r="210" customFormat="false" ht="64.15" hidden="false" customHeight="false" outlineLevel="0" collapsed="false">
      <c r="A210" s="21" t="s">
        <v>1607</v>
      </c>
      <c r="B210" s="21" t="s">
        <v>1289</v>
      </c>
      <c r="C210" s="21" t="s">
        <v>1566</v>
      </c>
      <c r="D210" s="21" t="s">
        <v>1608</v>
      </c>
      <c r="E210" s="22" t="s">
        <v>1609</v>
      </c>
      <c r="F210" s="13" t="s">
        <v>141</v>
      </c>
      <c r="G210" s="13" t="s">
        <v>1610</v>
      </c>
      <c r="H210" s="13"/>
      <c r="I210" s="14" t="s">
        <v>1611</v>
      </c>
      <c r="J210" s="15"/>
      <c r="K210" s="13"/>
      <c r="L210" s="13"/>
      <c r="M210" s="13"/>
      <c r="N210" s="13" t="s">
        <v>851</v>
      </c>
      <c r="O210" s="13" t="s">
        <v>504</v>
      </c>
      <c r="P210" s="13" t="s">
        <v>186</v>
      </c>
      <c r="Q210" s="16"/>
      <c r="R210" s="16"/>
      <c r="S210" s="16"/>
      <c r="T210" s="16"/>
      <c r="U210" s="16"/>
      <c r="V210" s="13" t="s">
        <v>187</v>
      </c>
      <c r="W210" s="17"/>
      <c r="X210" s="13"/>
      <c r="Y210" s="13"/>
      <c r="Z210" s="13"/>
      <c r="AA210" s="13" t="s">
        <v>188</v>
      </c>
      <c r="AB210" s="13" t="s">
        <v>1612</v>
      </c>
      <c r="AC210" s="17"/>
      <c r="AD210" s="13"/>
      <c r="AE210" s="19" t="n">
        <v>0</v>
      </c>
      <c r="AF210" s="19" t="n">
        <v>0</v>
      </c>
      <c r="AG210" s="19" t="n">
        <v>0</v>
      </c>
      <c r="AH210" s="13" t="s">
        <v>506</v>
      </c>
      <c r="AI210" s="17"/>
      <c r="AJ210" s="13" t="s">
        <v>188</v>
      </c>
      <c r="AK210" s="13" t="s">
        <v>188</v>
      </c>
      <c r="AL210" s="14" t="s">
        <v>194</v>
      </c>
      <c r="AM210" s="13" t="s">
        <v>1147</v>
      </c>
      <c r="AN210" s="15"/>
      <c r="AO210" s="13"/>
      <c r="AP210" s="13" t="s">
        <v>196</v>
      </c>
      <c r="AQ210" s="16" t="n">
        <f aca="false">IFERROR(IF(AND(INDEX(Mob_Demob!$D$6:$D$14,MATCH(AM210,Mob_Demob!$A$6:$A$14,0))="",INDEX(Mob_Demob!$G$6:$G$14,MATCH(AM210,Mob_Demob!$A$6:$A$14,0))=""),"",ROUND(MAX(N(INDEX(Mob_Demob!$G$6:$G$14,MATCH(AM210,Mob_Demob!$A$6:$A$14,0))),N(INDEX(Mob_Demob!$D$6:$D$14,MATCH(AM210,Mob_Demob!$A$6:$A$14,0)))*Settings!$B$6)+IF(AP210="Y",N(INDEX(Mob_Demob!$I$6:$I$14,MATCH(AM210,Mob_Demob!$A$6:$A$14,0)))*Settings!$B$19,0)+N(INDEX(Mob_Demob!$L$6:$L$14,MATCH(AM210,Mob_Demob!$A$6:$A$14,0)))*N(INDEX(Mob_Demob!$K$6:$K$14,MATCH(AM210,Mob_Demob!$A$6:$A$14,0)))*Settings!$B$6+N(INDEX(Mob_Demob!$M$6:$M$14,MATCH(AM210,Mob_Demob!$A$6:$A$14,0)))*N(INDEX(Mob_Demob!$N$6:$N$14,MATCH(AM210,Mob_Demob!$A$6:$A$14,0))),0)),"")</f>
        <v>200</v>
      </c>
      <c r="AR210" s="16" t="n">
        <f aca="false">IF(AQ210="","",ROUND(AQ210*Settings!$B$18,0))</f>
        <v>200</v>
      </c>
      <c r="AS210" s="13" t="s">
        <v>1572</v>
      </c>
      <c r="AT210" s="14" t="s">
        <v>1613</v>
      </c>
      <c r="AU210" s="14" t="s">
        <v>509</v>
      </c>
    </row>
    <row r="211" customFormat="false" ht="64.15" hidden="false" customHeight="false" outlineLevel="0" collapsed="false">
      <c r="A211" s="21" t="s">
        <v>1614</v>
      </c>
      <c r="B211" s="21" t="s">
        <v>1289</v>
      </c>
      <c r="C211" s="21" t="s">
        <v>1566</v>
      </c>
      <c r="D211" s="21" t="s">
        <v>1590</v>
      </c>
      <c r="E211" s="22" t="s">
        <v>1615</v>
      </c>
      <c r="F211" s="13" t="s">
        <v>1461</v>
      </c>
      <c r="G211" s="13" t="s">
        <v>1616</v>
      </c>
      <c r="H211" s="13"/>
      <c r="I211" s="14" t="s">
        <v>1617</v>
      </c>
      <c r="J211" s="15"/>
      <c r="K211" s="13"/>
      <c r="L211" s="13"/>
      <c r="M211" s="13"/>
      <c r="N211" s="13" t="s">
        <v>184</v>
      </c>
      <c r="O211" s="13" t="s">
        <v>1023</v>
      </c>
      <c r="P211" s="13" t="s">
        <v>186</v>
      </c>
      <c r="Q211" s="16"/>
      <c r="R211" s="16"/>
      <c r="S211" s="16"/>
      <c r="T211" s="16"/>
      <c r="U211" s="16"/>
      <c r="V211" s="13" t="s">
        <v>187</v>
      </c>
      <c r="W211" s="17"/>
      <c r="X211" s="13"/>
      <c r="Y211" s="13"/>
      <c r="Z211" s="13"/>
      <c r="AA211" s="13" t="s">
        <v>188</v>
      </c>
      <c r="AB211" s="13" t="s">
        <v>1616</v>
      </c>
      <c r="AC211" s="17"/>
      <c r="AD211" s="13"/>
      <c r="AE211" s="19"/>
      <c r="AF211" s="19"/>
      <c r="AG211" s="19"/>
      <c r="AH211" s="13"/>
      <c r="AI211" s="17"/>
      <c r="AJ211" s="13" t="s">
        <v>188</v>
      </c>
      <c r="AK211" s="13" t="s">
        <v>188</v>
      </c>
      <c r="AL211" s="14" t="s">
        <v>194</v>
      </c>
      <c r="AM211" s="13" t="s">
        <v>484</v>
      </c>
      <c r="AN211" s="15"/>
      <c r="AO211" s="13"/>
      <c r="AP211" s="13" t="s">
        <v>196</v>
      </c>
      <c r="AQ211" s="16" t="str">
        <f aca="false">IFERROR(IF(AND(INDEX(Mob_Demob!$D$6:$D$14,MATCH(AM211,Mob_Demob!$A$6:$A$14,0))="",INDEX(Mob_Demob!$G$6:$G$14,MATCH(AM211,Mob_Demob!$A$6:$A$14,0))=""),"",ROUND(MAX(N(INDEX(Mob_Demob!$G$6:$G$14,MATCH(AM211,Mob_Demob!$A$6:$A$14,0))),N(INDEX(Mob_Demob!$D$6:$D$14,MATCH(AM211,Mob_Demob!$A$6:$A$14,0)))*Settings!$B$6)+IF(AP211="Y",N(INDEX(Mob_Demob!$I$6:$I$14,MATCH(AM211,Mob_Demob!$A$6:$A$14,0)))*Settings!$B$19,0)+N(INDEX(Mob_Demob!$L$6:$L$14,MATCH(AM211,Mob_Demob!$A$6:$A$14,0)))*N(INDEX(Mob_Demob!$K$6:$K$14,MATCH(AM211,Mob_Demob!$A$6:$A$14,0)))*Settings!$B$6+N(INDEX(Mob_Demob!$M$6:$M$14,MATCH(AM211,Mob_Demob!$A$6:$A$14,0)))*N(INDEX(Mob_Demob!$N$6:$N$14,MATCH(AM211,Mob_Demob!$A$6:$A$14,0))),0)),"")</f>
        <v/>
      </c>
      <c r="AR211" s="16" t="str">
        <f aca="false">IF(AQ211="","",ROUND(AQ211*Settings!$B$18,0))</f>
        <v/>
      </c>
      <c r="AS211" s="13" t="s">
        <v>1572</v>
      </c>
      <c r="AT211" s="14" t="s">
        <v>1618</v>
      </c>
      <c r="AU211" s="14" t="s">
        <v>1381</v>
      </c>
    </row>
    <row r="212" customFormat="false" ht="64.15" hidden="false" customHeight="false" outlineLevel="0" collapsed="false">
      <c r="A212" s="21" t="s">
        <v>1619</v>
      </c>
      <c r="B212" s="21" t="s">
        <v>1289</v>
      </c>
      <c r="C212" s="21" t="s">
        <v>1566</v>
      </c>
      <c r="D212" s="21" t="s">
        <v>1620</v>
      </c>
      <c r="E212" s="22" t="s">
        <v>1621</v>
      </c>
      <c r="F212" s="13" t="s">
        <v>180</v>
      </c>
      <c r="G212" s="13" t="n">
        <v>420</v>
      </c>
      <c r="H212" s="13" t="s">
        <v>181</v>
      </c>
      <c r="I212" s="14" t="s">
        <v>1622</v>
      </c>
      <c r="J212" s="15"/>
      <c r="K212" s="13" t="n">
        <v>420</v>
      </c>
      <c r="L212" s="13"/>
      <c r="M212" s="13"/>
      <c r="N212" s="13" t="s">
        <v>184</v>
      </c>
      <c r="O212" s="13" t="s">
        <v>1023</v>
      </c>
      <c r="P212" s="13" t="s">
        <v>186</v>
      </c>
      <c r="Q212" s="16"/>
      <c r="R212" s="16"/>
      <c r="S212" s="16"/>
      <c r="T212" s="16"/>
      <c r="U212" s="16"/>
      <c r="V212" s="13" t="s">
        <v>187</v>
      </c>
      <c r="W212" s="17"/>
      <c r="X212" s="13"/>
      <c r="Y212" s="13"/>
      <c r="Z212" s="13"/>
      <c r="AA212" s="13" t="s">
        <v>188</v>
      </c>
      <c r="AB212" s="13" t="s">
        <v>1623</v>
      </c>
      <c r="AC212" s="18" t="n">
        <v>119.23</v>
      </c>
      <c r="AD212" s="13" t="s">
        <v>190</v>
      </c>
      <c r="AE212" s="19" t="n">
        <f aca="false">ROUND(K212*Settings!$B$11*Settings!$B$13,2)</f>
        <v>7.14</v>
      </c>
      <c r="AF212" s="19" t="n">
        <f aca="false">ROUND(K212*Settings!$B$11*Settings!$B$14,2)</f>
        <v>9.39</v>
      </c>
      <c r="AG212" s="19" t="n">
        <f aca="false">ROUND(K212*Settings!$B$11*Settings!$B$15,2)</f>
        <v>12.25</v>
      </c>
      <c r="AH212" s="13" t="s">
        <v>191</v>
      </c>
      <c r="AI212" s="17" t="n">
        <f aca="false">IF(OR(AC212="",AF212="",Settings!$B$5=""),"",ROUND(AC212-AF212*Settings!$B$5,2))</f>
        <v>84.86</v>
      </c>
      <c r="AJ212" s="13" t="s">
        <v>192</v>
      </c>
      <c r="AK212" s="13" t="s">
        <v>193</v>
      </c>
      <c r="AL212" s="14" t="s">
        <v>194</v>
      </c>
      <c r="AM212" s="13" t="s">
        <v>484</v>
      </c>
      <c r="AN212" s="15"/>
      <c r="AO212" s="13"/>
      <c r="AP212" s="13" t="s">
        <v>196</v>
      </c>
      <c r="AQ212" s="16" t="str">
        <f aca="false">IFERROR(IF(AND(INDEX(Mob_Demob!$D$6:$D$14,MATCH(AM212,Mob_Demob!$A$6:$A$14,0))="",INDEX(Mob_Demob!$G$6:$G$14,MATCH(AM212,Mob_Demob!$A$6:$A$14,0))=""),"",ROUND(MAX(N(INDEX(Mob_Demob!$G$6:$G$14,MATCH(AM212,Mob_Demob!$A$6:$A$14,0))),N(INDEX(Mob_Demob!$D$6:$D$14,MATCH(AM212,Mob_Demob!$A$6:$A$14,0)))*Settings!$B$6)+IF(AP212="Y",N(INDEX(Mob_Demob!$I$6:$I$14,MATCH(AM212,Mob_Demob!$A$6:$A$14,0)))*Settings!$B$19,0)+N(INDEX(Mob_Demob!$L$6:$L$14,MATCH(AM212,Mob_Demob!$A$6:$A$14,0)))*N(INDEX(Mob_Demob!$K$6:$K$14,MATCH(AM212,Mob_Demob!$A$6:$A$14,0)))*Settings!$B$6+N(INDEX(Mob_Demob!$M$6:$M$14,MATCH(AM212,Mob_Demob!$A$6:$A$14,0)))*N(INDEX(Mob_Demob!$N$6:$N$14,MATCH(AM212,Mob_Demob!$A$6:$A$14,0))),0)),"")</f>
        <v/>
      </c>
      <c r="AR212" s="16" t="str">
        <f aca="false">IF(AQ212="","",ROUND(AQ212*Settings!$B$18,0))</f>
        <v/>
      </c>
      <c r="AS212" s="13"/>
      <c r="AT212" s="14" t="s">
        <v>1624</v>
      </c>
      <c r="AU212" s="14" t="s">
        <v>199</v>
      </c>
    </row>
    <row r="213" customFormat="false" ht="64.15" hidden="false" customHeight="false" outlineLevel="0" collapsed="false">
      <c r="A213" s="21" t="s">
        <v>1625</v>
      </c>
      <c r="B213" s="21" t="s">
        <v>1289</v>
      </c>
      <c r="C213" s="21" t="s">
        <v>1626</v>
      </c>
      <c r="D213" s="21" t="s">
        <v>1627</v>
      </c>
      <c r="E213" s="22" t="s">
        <v>1628</v>
      </c>
      <c r="F213" s="13" t="s">
        <v>141</v>
      </c>
      <c r="G213" s="13" t="s">
        <v>1629</v>
      </c>
      <c r="H213" s="13"/>
      <c r="I213" s="14" t="s">
        <v>1630</v>
      </c>
      <c r="J213" s="15"/>
      <c r="K213" s="13"/>
      <c r="L213" s="13"/>
      <c r="M213" s="13"/>
      <c r="N213" s="13" t="s">
        <v>1163</v>
      </c>
      <c r="O213" s="13" t="s">
        <v>1164</v>
      </c>
      <c r="P213" s="13" t="s">
        <v>186</v>
      </c>
      <c r="Q213" s="16"/>
      <c r="R213" s="16"/>
      <c r="S213" s="16"/>
      <c r="T213" s="16"/>
      <c r="U213" s="16"/>
      <c r="V213" s="13" t="s">
        <v>187</v>
      </c>
      <c r="W213" s="17"/>
      <c r="X213" s="13"/>
      <c r="Y213" s="13"/>
      <c r="Z213" s="13"/>
      <c r="AA213" s="13" t="s">
        <v>188</v>
      </c>
      <c r="AB213" s="13" t="s">
        <v>1631</v>
      </c>
      <c r="AC213" s="17"/>
      <c r="AD213" s="13"/>
      <c r="AE213" s="19"/>
      <c r="AF213" s="19"/>
      <c r="AG213" s="19"/>
      <c r="AH213" s="13"/>
      <c r="AI213" s="17"/>
      <c r="AJ213" s="13" t="s">
        <v>188</v>
      </c>
      <c r="AK213" s="13" t="s">
        <v>188</v>
      </c>
      <c r="AL213" s="14" t="s">
        <v>194</v>
      </c>
      <c r="AM213" s="13" t="s">
        <v>1147</v>
      </c>
      <c r="AN213" s="15"/>
      <c r="AO213" s="13"/>
      <c r="AP213" s="13" t="s">
        <v>196</v>
      </c>
      <c r="AQ213" s="16" t="n">
        <f aca="false">IFERROR(IF(AND(INDEX(Mob_Demob!$D$6:$D$14,MATCH(AM213,Mob_Demob!$A$6:$A$14,0))="",INDEX(Mob_Demob!$G$6:$G$14,MATCH(AM213,Mob_Demob!$A$6:$A$14,0))=""),"",ROUND(MAX(N(INDEX(Mob_Demob!$G$6:$G$14,MATCH(AM213,Mob_Demob!$A$6:$A$14,0))),N(INDEX(Mob_Demob!$D$6:$D$14,MATCH(AM213,Mob_Demob!$A$6:$A$14,0)))*Settings!$B$6)+IF(AP213="Y",N(INDEX(Mob_Demob!$I$6:$I$14,MATCH(AM213,Mob_Demob!$A$6:$A$14,0)))*Settings!$B$19,0)+N(INDEX(Mob_Demob!$L$6:$L$14,MATCH(AM213,Mob_Demob!$A$6:$A$14,0)))*N(INDEX(Mob_Demob!$K$6:$K$14,MATCH(AM213,Mob_Demob!$A$6:$A$14,0)))*Settings!$B$6+N(INDEX(Mob_Demob!$M$6:$M$14,MATCH(AM213,Mob_Demob!$A$6:$A$14,0)))*N(INDEX(Mob_Demob!$N$6:$N$14,MATCH(AM213,Mob_Demob!$A$6:$A$14,0))),0)),"")</f>
        <v>200</v>
      </c>
      <c r="AR213" s="16" t="n">
        <f aca="false">IF(AQ213="","",ROUND(AQ213*Settings!$B$18,0))</f>
        <v>200</v>
      </c>
      <c r="AS213" s="13" t="s">
        <v>1632</v>
      </c>
      <c r="AT213" s="14" t="s">
        <v>1633</v>
      </c>
      <c r="AU213" s="14" t="s">
        <v>1381</v>
      </c>
    </row>
    <row r="214" customFormat="false" ht="64.15" hidden="false" customHeight="false" outlineLevel="0" collapsed="false">
      <c r="A214" s="21" t="s">
        <v>1634</v>
      </c>
      <c r="B214" s="21" t="s">
        <v>1289</v>
      </c>
      <c r="C214" s="21" t="s">
        <v>1626</v>
      </c>
      <c r="D214" s="21" t="s">
        <v>1627</v>
      </c>
      <c r="E214" s="22" t="s">
        <v>1635</v>
      </c>
      <c r="F214" s="13" t="s">
        <v>141</v>
      </c>
      <c r="G214" s="13" t="s">
        <v>1635</v>
      </c>
      <c r="H214" s="13"/>
      <c r="I214" s="14" t="s">
        <v>1630</v>
      </c>
      <c r="J214" s="15"/>
      <c r="K214" s="13"/>
      <c r="L214" s="13"/>
      <c r="M214" s="13"/>
      <c r="N214" s="13" t="s">
        <v>1163</v>
      </c>
      <c r="O214" s="13" t="s">
        <v>1164</v>
      </c>
      <c r="P214" s="13" t="s">
        <v>186</v>
      </c>
      <c r="Q214" s="16"/>
      <c r="R214" s="16"/>
      <c r="S214" s="16"/>
      <c r="T214" s="16"/>
      <c r="U214" s="16"/>
      <c r="V214" s="13" t="s">
        <v>187</v>
      </c>
      <c r="W214" s="17"/>
      <c r="X214" s="13"/>
      <c r="Y214" s="13"/>
      <c r="Z214" s="13"/>
      <c r="AA214" s="13" t="s">
        <v>188</v>
      </c>
      <c r="AB214" s="13" t="s">
        <v>1636</v>
      </c>
      <c r="AC214" s="17"/>
      <c r="AD214" s="13"/>
      <c r="AE214" s="19"/>
      <c r="AF214" s="19"/>
      <c r="AG214" s="19"/>
      <c r="AH214" s="13"/>
      <c r="AI214" s="17"/>
      <c r="AJ214" s="13" t="s">
        <v>188</v>
      </c>
      <c r="AK214" s="13" t="s">
        <v>188</v>
      </c>
      <c r="AL214" s="14" t="s">
        <v>194</v>
      </c>
      <c r="AM214" s="13" t="s">
        <v>1147</v>
      </c>
      <c r="AN214" s="15"/>
      <c r="AO214" s="13"/>
      <c r="AP214" s="13" t="s">
        <v>196</v>
      </c>
      <c r="AQ214" s="16" t="n">
        <f aca="false">IFERROR(IF(AND(INDEX(Mob_Demob!$D$6:$D$14,MATCH(AM214,Mob_Demob!$A$6:$A$14,0))="",INDEX(Mob_Demob!$G$6:$G$14,MATCH(AM214,Mob_Demob!$A$6:$A$14,0))=""),"",ROUND(MAX(N(INDEX(Mob_Demob!$G$6:$G$14,MATCH(AM214,Mob_Demob!$A$6:$A$14,0))),N(INDEX(Mob_Demob!$D$6:$D$14,MATCH(AM214,Mob_Demob!$A$6:$A$14,0)))*Settings!$B$6)+IF(AP214="Y",N(INDEX(Mob_Demob!$I$6:$I$14,MATCH(AM214,Mob_Demob!$A$6:$A$14,0)))*Settings!$B$19,0)+N(INDEX(Mob_Demob!$L$6:$L$14,MATCH(AM214,Mob_Demob!$A$6:$A$14,0)))*N(INDEX(Mob_Demob!$K$6:$K$14,MATCH(AM214,Mob_Demob!$A$6:$A$14,0)))*Settings!$B$6+N(INDEX(Mob_Demob!$M$6:$M$14,MATCH(AM214,Mob_Demob!$A$6:$A$14,0)))*N(INDEX(Mob_Demob!$N$6:$N$14,MATCH(AM214,Mob_Demob!$A$6:$A$14,0))),0)),"")</f>
        <v>200</v>
      </c>
      <c r="AR214" s="16" t="n">
        <f aca="false">IF(AQ214="","",ROUND(AQ214*Settings!$B$18,0))</f>
        <v>200</v>
      </c>
      <c r="AS214" s="13" t="s">
        <v>1632</v>
      </c>
      <c r="AT214" s="14" t="s">
        <v>1637</v>
      </c>
      <c r="AU214" s="14" t="s">
        <v>1381</v>
      </c>
    </row>
    <row r="215" customFormat="false" ht="64.15" hidden="false" customHeight="false" outlineLevel="0" collapsed="false">
      <c r="A215" s="21" t="s">
        <v>1638</v>
      </c>
      <c r="B215" s="21" t="s">
        <v>1289</v>
      </c>
      <c r="C215" s="21" t="s">
        <v>1626</v>
      </c>
      <c r="D215" s="21" t="s">
        <v>1627</v>
      </c>
      <c r="E215" s="22" t="s">
        <v>1639</v>
      </c>
      <c r="F215" s="13" t="s">
        <v>141</v>
      </c>
      <c r="G215" s="13" t="s">
        <v>1635</v>
      </c>
      <c r="H215" s="13"/>
      <c r="I215" s="14" t="s">
        <v>1630</v>
      </c>
      <c r="J215" s="15"/>
      <c r="K215" s="13"/>
      <c r="L215" s="13"/>
      <c r="M215" s="13"/>
      <c r="N215" s="13" t="s">
        <v>1163</v>
      </c>
      <c r="O215" s="13" t="s">
        <v>1164</v>
      </c>
      <c r="P215" s="13" t="s">
        <v>186</v>
      </c>
      <c r="Q215" s="16"/>
      <c r="R215" s="16"/>
      <c r="S215" s="16"/>
      <c r="T215" s="16"/>
      <c r="U215" s="16"/>
      <c r="V215" s="13" t="s">
        <v>187</v>
      </c>
      <c r="W215" s="17"/>
      <c r="X215" s="13"/>
      <c r="Y215" s="13"/>
      <c r="Z215" s="13"/>
      <c r="AA215" s="13" t="s">
        <v>188</v>
      </c>
      <c r="AB215" s="13" t="s">
        <v>1640</v>
      </c>
      <c r="AC215" s="17"/>
      <c r="AD215" s="13"/>
      <c r="AE215" s="19"/>
      <c r="AF215" s="19"/>
      <c r="AG215" s="19"/>
      <c r="AH215" s="13"/>
      <c r="AI215" s="17"/>
      <c r="AJ215" s="13" t="s">
        <v>188</v>
      </c>
      <c r="AK215" s="13" t="s">
        <v>188</v>
      </c>
      <c r="AL215" s="14" t="s">
        <v>194</v>
      </c>
      <c r="AM215" s="13" t="s">
        <v>1147</v>
      </c>
      <c r="AN215" s="15"/>
      <c r="AO215" s="13"/>
      <c r="AP215" s="13" t="s">
        <v>196</v>
      </c>
      <c r="AQ215" s="16" t="n">
        <f aca="false">IFERROR(IF(AND(INDEX(Mob_Demob!$D$6:$D$14,MATCH(AM215,Mob_Demob!$A$6:$A$14,0))="",INDEX(Mob_Demob!$G$6:$G$14,MATCH(AM215,Mob_Demob!$A$6:$A$14,0))=""),"",ROUND(MAX(N(INDEX(Mob_Demob!$G$6:$G$14,MATCH(AM215,Mob_Demob!$A$6:$A$14,0))),N(INDEX(Mob_Demob!$D$6:$D$14,MATCH(AM215,Mob_Demob!$A$6:$A$14,0)))*Settings!$B$6)+IF(AP215="Y",N(INDEX(Mob_Demob!$I$6:$I$14,MATCH(AM215,Mob_Demob!$A$6:$A$14,0)))*Settings!$B$19,0)+N(INDEX(Mob_Demob!$L$6:$L$14,MATCH(AM215,Mob_Demob!$A$6:$A$14,0)))*N(INDEX(Mob_Demob!$K$6:$K$14,MATCH(AM215,Mob_Demob!$A$6:$A$14,0)))*Settings!$B$6+N(INDEX(Mob_Demob!$M$6:$M$14,MATCH(AM215,Mob_Demob!$A$6:$A$14,0)))*N(INDEX(Mob_Demob!$N$6:$N$14,MATCH(AM215,Mob_Demob!$A$6:$A$14,0))),0)),"")</f>
        <v>200</v>
      </c>
      <c r="AR215" s="16" t="n">
        <f aca="false">IF(AQ215="","",ROUND(AQ215*Settings!$B$18,0))</f>
        <v>200</v>
      </c>
      <c r="AS215" s="13" t="s">
        <v>1632</v>
      </c>
      <c r="AT215" s="14" t="s">
        <v>1641</v>
      </c>
      <c r="AU215" s="14" t="s">
        <v>1381</v>
      </c>
    </row>
    <row r="216" customFormat="false" ht="64.15" hidden="false" customHeight="false" outlineLevel="0" collapsed="false">
      <c r="A216" s="21" t="s">
        <v>1642</v>
      </c>
      <c r="B216" s="21" t="s">
        <v>1289</v>
      </c>
      <c r="C216" s="21" t="s">
        <v>1626</v>
      </c>
      <c r="D216" s="21" t="s">
        <v>1643</v>
      </c>
      <c r="E216" s="22" t="s">
        <v>1644</v>
      </c>
      <c r="F216" s="13" t="s">
        <v>141</v>
      </c>
      <c r="G216" s="13" t="s">
        <v>1645</v>
      </c>
      <c r="H216" s="13"/>
      <c r="I216" s="14" t="s">
        <v>1646</v>
      </c>
      <c r="J216" s="15"/>
      <c r="K216" s="13"/>
      <c r="L216" s="13"/>
      <c r="M216" s="13"/>
      <c r="N216" s="13" t="s">
        <v>184</v>
      </c>
      <c r="O216" s="13" t="s">
        <v>1023</v>
      </c>
      <c r="P216" s="13" t="s">
        <v>186</v>
      </c>
      <c r="Q216" s="16"/>
      <c r="R216" s="16"/>
      <c r="S216" s="16"/>
      <c r="T216" s="16"/>
      <c r="U216" s="16"/>
      <c r="V216" s="13" t="s">
        <v>187</v>
      </c>
      <c r="W216" s="17"/>
      <c r="X216" s="13"/>
      <c r="Y216" s="13"/>
      <c r="Z216" s="13"/>
      <c r="AA216" s="13" t="s">
        <v>188</v>
      </c>
      <c r="AB216" s="13" t="s">
        <v>1647</v>
      </c>
      <c r="AC216" s="17"/>
      <c r="AD216" s="13"/>
      <c r="AE216" s="19"/>
      <c r="AF216" s="19"/>
      <c r="AG216" s="19"/>
      <c r="AH216" s="13"/>
      <c r="AI216" s="17"/>
      <c r="AJ216" s="13" t="s">
        <v>188</v>
      </c>
      <c r="AK216" s="13" t="s">
        <v>188</v>
      </c>
      <c r="AL216" s="14" t="s">
        <v>194</v>
      </c>
      <c r="AM216" s="13" t="s">
        <v>484</v>
      </c>
      <c r="AN216" s="15"/>
      <c r="AO216" s="13"/>
      <c r="AP216" s="13" t="s">
        <v>196</v>
      </c>
      <c r="AQ216" s="16" t="str">
        <f aca="false">IFERROR(IF(AND(INDEX(Mob_Demob!$D$6:$D$14,MATCH(AM216,Mob_Demob!$A$6:$A$14,0))="",INDEX(Mob_Demob!$G$6:$G$14,MATCH(AM216,Mob_Demob!$A$6:$A$14,0))=""),"",ROUND(MAX(N(INDEX(Mob_Demob!$G$6:$G$14,MATCH(AM216,Mob_Demob!$A$6:$A$14,0))),N(INDEX(Mob_Demob!$D$6:$D$14,MATCH(AM216,Mob_Demob!$A$6:$A$14,0)))*Settings!$B$6)+IF(AP216="Y",N(INDEX(Mob_Demob!$I$6:$I$14,MATCH(AM216,Mob_Demob!$A$6:$A$14,0)))*Settings!$B$19,0)+N(INDEX(Mob_Demob!$L$6:$L$14,MATCH(AM216,Mob_Demob!$A$6:$A$14,0)))*N(INDEX(Mob_Demob!$K$6:$K$14,MATCH(AM216,Mob_Demob!$A$6:$A$14,0)))*Settings!$B$6+N(INDEX(Mob_Demob!$M$6:$M$14,MATCH(AM216,Mob_Demob!$A$6:$A$14,0)))*N(INDEX(Mob_Demob!$N$6:$N$14,MATCH(AM216,Mob_Demob!$A$6:$A$14,0))),0)),"")</f>
        <v/>
      </c>
      <c r="AR216" s="16" t="str">
        <f aca="false">IF(AQ216="","",ROUND(AQ216*Settings!$B$18,0))</f>
        <v/>
      </c>
      <c r="AS216" s="13" t="s">
        <v>1642</v>
      </c>
      <c r="AT216" s="14" t="s">
        <v>1648</v>
      </c>
      <c r="AU216" s="14" t="s">
        <v>1381</v>
      </c>
    </row>
    <row r="217" customFormat="false" ht="64.15" hidden="false" customHeight="false" outlineLevel="0" collapsed="false">
      <c r="A217" s="21" t="s">
        <v>1649</v>
      </c>
      <c r="B217" s="21" t="s">
        <v>1289</v>
      </c>
      <c r="C217" s="21" t="s">
        <v>1650</v>
      </c>
      <c r="D217" s="21" t="s">
        <v>1651</v>
      </c>
      <c r="E217" s="22" t="s">
        <v>1652</v>
      </c>
      <c r="F217" s="13" t="s">
        <v>857</v>
      </c>
      <c r="G217" s="13" t="s">
        <v>1653</v>
      </c>
      <c r="H217" s="13"/>
      <c r="I217" s="14" t="s">
        <v>1654</v>
      </c>
      <c r="J217" s="15"/>
      <c r="K217" s="13"/>
      <c r="L217" s="13"/>
      <c r="M217" s="13"/>
      <c r="N217" s="13" t="s">
        <v>184</v>
      </c>
      <c r="O217" s="13" t="s">
        <v>1295</v>
      </c>
      <c r="P217" s="13" t="s">
        <v>186</v>
      </c>
      <c r="Q217" s="16"/>
      <c r="R217" s="16"/>
      <c r="S217" s="16"/>
      <c r="T217" s="16"/>
      <c r="U217" s="16"/>
      <c r="V217" s="13" t="s">
        <v>187</v>
      </c>
      <c r="W217" s="17"/>
      <c r="X217" s="13"/>
      <c r="Y217" s="13"/>
      <c r="Z217" s="13"/>
      <c r="AA217" s="13" t="s">
        <v>188</v>
      </c>
      <c r="AB217" s="13" t="s">
        <v>1655</v>
      </c>
      <c r="AC217" s="17"/>
      <c r="AD217" s="13"/>
      <c r="AE217" s="19"/>
      <c r="AF217" s="19"/>
      <c r="AG217" s="19"/>
      <c r="AH217" s="13"/>
      <c r="AI217" s="17"/>
      <c r="AJ217" s="13" t="s">
        <v>188</v>
      </c>
      <c r="AK217" s="13" t="s">
        <v>188</v>
      </c>
      <c r="AL217" s="14" t="s">
        <v>194</v>
      </c>
      <c r="AM217" s="13" t="s">
        <v>268</v>
      </c>
      <c r="AN217" s="15"/>
      <c r="AO217" s="13"/>
      <c r="AP217" s="13" t="s">
        <v>269</v>
      </c>
      <c r="AQ217" s="16" t="n">
        <f aca="false">IFERROR(IF(AND(INDEX(Mob_Demob!$D$6:$D$14,MATCH(AM217,Mob_Demob!$A$6:$A$14,0))="",INDEX(Mob_Demob!$G$6:$G$14,MATCH(AM217,Mob_Demob!$A$6:$A$14,0))=""),"",ROUND(MAX(N(INDEX(Mob_Demob!$G$6:$G$14,MATCH(AM217,Mob_Demob!$A$6:$A$14,0))),N(INDEX(Mob_Demob!$D$6:$D$14,MATCH(AM217,Mob_Demob!$A$6:$A$14,0)))*Settings!$B$6)+IF(AP217="Y",N(INDEX(Mob_Demob!$I$6:$I$14,MATCH(AM217,Mob_Demob!$A$6:$A$14,0)))*Settings!$B$19,0)+N(INDEX(Mob_Demob!$L$6:$L$14,MATCH(AM217,Mob_Demob!$A$6:$A$14,0)))*N(INDEX(Mob_Demob!$K$6:$K$14,MATCH(AM217,Mob_Demob!$A$6:$A$14,0)))*Settings!$B$6+N(INDEX(Mob_Demob!$M$6:$M$14,MATCH(AM217,Mob_Demob!$A$6:$A$14,0)))*N(INDEX(Mob_Demob!$N$6:$N$14,MATCH(AM217,Mob_Demob!$A$6:$A$14,0))),0)),"")</f>
        <v>1800</v>
      </c>
      <c r="AR217" s="16" t="n">
        <f aca="false">IF(AQ217="","",ROUND(AQ217*Settings!$B$18,0))</f>
        <v>1800</v>
      </c>
      <c r="AS217" s="13" t="s">
        <v>1656</v>
      </c>
      <c r="AT217" s="14" t="s">
        <v>1657</v>
      </c>
      <c r="AU217" s="14" t="s">
        <v>1658</v>
      </c>
    </row>
    <row r="218" customFormat="false" ht="64.15" hidden="false" customHeight="false" outlineLevel="0" collapsed="false">
      <c r="A218" s="11" t="s">
        <v>1659</v>
      </c>
      <c r="B218" s="11" t="s">
        <v>1660</v>
      </c>
      <c r="C218" s="11" t="s">
        <v>1661</v>
      </c>
      <c r="D218" s="11" t="s">
        <v>1662</v>
      </c>
      <c r="E218" s="12" t="s">
        <v>1663</v>
      </c>
      <c r="F218" s="13" t="s">
        <v>1664</v>
      </c>
      <c r="G218" s="13" t="n">
        <v>5</v>
      </c>
      <c r="H218" s="13" t="s">
        <v>1665</v>
      </c>
      <c r="I218" s="14"/>
      <c r="J218" s="15"/>
      <c r="K218" s="13"/>
      <c r="L218" s="13" t="s">
        <v>1663</v>
      </c>
      <c r="M218" s="13"/>
      <c r="N218" s="13" t="s">
        <v>1163</v>
      </c>
      <c r="O218" s="13" t="s">
        <v>1164</v>
      </c>
      <c r="P218" s="13" t="s">
        <v>186</v>
      </c>
      <c r="Q218" s="16"/>
      <c r="R218" s="16"/>
      <c r="S218" s="16"/>
      <c r="T218" s="16"/>
      <c r="U218" s="16"/>
      <c r="V218" s="13" t="s">
        <v>187</v>
      </c>
      <c r="W218" s="17"/>
      <c r="X218" s="13"/>
      <c r="Y218" s="13"/>
      <c r="Z218" s="13"/>
      <c r="AA218" s="13" t="s">
        <v>188</v>
      </c>
      <c r="AB218" s="13" t="s">
        <v>1666</v>
      </c>
      <c r="AC218" s="18" t="n">
        <v>1.95</v>
      </c>
      <c r="AD218" s="13" t="s">
        <v>190</v>
      </c>
      <c r="AE218" s="19"/>
      <c r="AF218" s="19"/>
      <c r="AG218" s="19"/>
      <c r="AH218" s="13"/>
      <c r="AI218" s="17" t="str">
        <f aca="false">IF(OR(AC218="",AF218="",Settings!$B$10=""),"",ROUND(AC218-AF218*Settings!$B$10,2))</f>
        <v/>
      </c>
      <c r="AJ218" s="13" t="s">
        <v>192</v>
      </c>
      <c r="AK218" s="13" t="s">
        <v>193</v>
      </c>
      <c r="AL218" s="14" t="s">
        <v>194</v>
      </c>
      <c r="AM218" s="13" t="s">
        <v>1147</v>
      </c>
      <c r="AN218" s="15"/>
      <c r="AO218" s="13"/>
      <c r="AP218" s="13" t="s">
        <v>196</v>
      </c>
      <c r="AQ218" s="16" t="n">
        <f aca="false">IFERROR(IF(AND(INDEX(Mob_Demob!$D$6:$D$14,MATCH(AM218,Mob_Demob!$A$6:$A$14,0))="",INDEX(Mob_Demob!$G$6:$G$14,MATCH(AM218,Mob_Demob!$A$6:$A$14,0))=""),"",ROUND(MAX(N(INDEX(Mob_Demob!$G$6:$G$14,MATCH(AM218,Mob_Demob!$A$6:$A$14,0))),N(INDEX(Mob_Demob!$D$6:$D$14,MATCH(AM218,Mob_Demob!$A$6:$A$14,0)))*Settings!$B$6)+IF(AP218="Y",N(INDEX(Mob_Demob!$I$6:$I$14,MATCH(AM218,Mob_Demob!$A$6:$A$14,0)))*Settings!$B$19,0)+N(INDEX(Mob_Demob!$L$6:$L$14,MATCH(AM218,Mob_Demob!$A$6:$A$14,0)))*N(INDEX(Mob_Demob!$K$6:$K$14,MATCH(AM218,Mob_Demob!$A$6:$A$14,0)))*Settings!$B$6+N(INDEX(Mob_Demob!$M$6:$M$14,MATCH(AM218,Mob_Demob!$A$6:$A$14,0)))*N(INDEX(Mob_Demob!$N$6:$N$14,MATCH(AM218,Mob_Demob!$A$6:$A$14,0))),0)),"")</f>
        <v>200</v>
      </c>
      <c r="AR218" s="16" t="n">
        <f aca="false">IF(AQ218="","",ROUND(AQ218*Settings!$B$18,0))</f>
        <v>200</v>
      </c>
      <c r="AS218" s="13" t="s">
        <v>1667</v>
      </c>
      <c r="AT218" s="14" t="s">
        <v>1668</v>
      </c>
      <c r="AU218" s="14" t="s">
        <v>838</v>
      </c>
    </row>
    <row r="219" customFormat="false" ht="64.15" hidden="false" customHeight="false" outlineLevel="0" collapsed="false">
      <c r="A219" s="11" t="s">
        <v>1669</v>
      </c>
      <c r="B219" s="11" t="s">
        <v>1660</v>
      </c>
      <c r="C219" s="11" t="s">
        <v>1661</v>
      </c>
      <c r="D219" s="11" t="s">
        <v>1670</v>
      </c>
      <c r="E219" s="12" t="s">
        <v>1671</v>
      </c>
      <c r="F219" s="13" t="s">
        <v>1664</v>
      </c>
      <c r="G219" s="13" t="n">
        <v>12</v>
      </c>
      <c r="H219" s="13" t="s">
        <v>1665</v>
      </c>
      <c r="I219" s="14"/>
      <c r="J219" s="15"/>
      <c r="K219" s="13"/>
      <c r="L219" s="13" t="s">
        <v>1671</v>
      </c>
      <c r="M219" s="13"/>
      <c r="N219" s="13" t="s">
        <v>1163</v>
      </c>
      <c r="O219" s="13" t="s">
        <v>1164</v>
      </c>
      <c r="P219" s="13" t="s">
        <v>186</v>
      </c>
      <c r="Q219" s="16"/>
      <c r="R219" s="16"/>
      <c r="S219" s="16"/>
      <c r="T219" s="16"/>
      <c r="U219" s="16"/>
      <c r="V219" s="13" t="s">
        <v>187</v>
      </c>
      <c r="W219" s="17"/>
      <c r="X219" s="13"/>
      <c r="Y219" s="13"/>
      <c r="Z219" s="13"/>
      <c r="AA219" s="13" t="s">
        <v>188</v>
      </c>
      <c r="AB219" s="13" t="s">
        <v>1672</v>
      </c>
      <c r="AC219" s="18" t="n">
        <v>8</v>
      </c>
      <c r="AD219" s="13" t="s">
        <v>190</v>
      </c>
      <c r="AE219" s="19"/>
      <c r="AF219" s="19"/>
      <c r="AG219" s="19"/>
      <c r="AH219" s="13"/>
      <c r="AI219" s="17" t="str">
        <f aca="false">IF(OR(AC219="",AF219="",Settings!$B$10=""),"",ROUND(AC219-AF219*Settings!$B$10,2))</f>
        <v/>
      </c>
      <c r="AJ219" s="13" t="s">
        <v>192</v>
      </c>
      <c r="AK219" s="13" t="s">
        <v>193</v>
      </c>
      <c r="AL219" s="14" t="s">
        <v>194</v>
      </c>
      <c r="AM219" s="13" t="s">
        <v>1147</v>
      </c>
      <c r="AN219" s="15"/>
      <c r="AO219" s="13"/>
      <c r="AP219" s="13" t="s">
        <v>196</v>
      </c>
      <c r="AQ219" s="16" t="n">
        <f aca="false">IFERROR(IF(AND(INDEX(Mob_Demob!$D$6:$D$14,MATCH(AM219,Mob_Demob!$A$6:$A$14,0))="",INDEX(Mob_Demob!$G$6:$G$14,MATCH(AM219,Mob_Demob!$A$6:$A$14,0))=""),"",ROUND(MAX(N(INDEX(Mob_Demob!$G$6:$G$14,MATCH(AM219,Mob_Demob!$A$6:$A$14,0))),N(INDEX(Mob_Demob!$D$6:$D$14,MATCH(AM219,Mob_Demob!$A$6:$A$14,0)))*Settings!$B$6)+IF(AP219="Y",N(INDEX(Mob_Demob!$I$6:$I$14,MATCH(AM219,Mob_Demob!$A$6:$A$14,0)))*Settings!$B$19,0)+N(INDEX(Mob_Demob!$L$6:$L$14,MATCH(AM219,Mob_Demob!$A$6:$A$14,0)))*N(INDEX(Mob_Demob!$K$6:$K$14,MATCH(AM219,Mob_Demob!$A$6:$A$14,0)))*Settings!$B$6+N(INDEX(Mob_Demob!$M$6:$M$14,MATCH(AM219,Mob_Demob!$A$6:$A$14,0)))*N(INDEX(Mob_Demob!$N$6:$N$14,MATCH(AM219,Mob_Demob!$A$6:$A$14,0))),0)),"")</f>
        <v>200</v>
      </c>
      <c r="AR219" s="16" t="n">
        <f aca="false">IF(AQ219="","",ROUND(AQ219*Settings!$B$18,0))</f>
        <v>200</v>
      </c>
      <c r="AS219" s="13" t="s">
        <v>1667</v>
      </c>
      <c r="AT219" s="14" t="s">
        <v>1668</v>
      </c>
      <c r="AU219" s="14" t="s">
        <v>838</v>
      </c>
    </row>
    <row r="220" customFormat="false" ht="64.15" hidden="false" customHeight="false" outlineLevel="0" collapsed="false">
      <c r="A220" s="11" t="s">
        <v>1673</v>
      </c>
      <c r="B220" s="11" t="s">
        <v>1660</v>
      </c>
      <c r="C220" s="11" t="s">
        <v>1661</v>
      </c>
      <c r="D220" s="11" t="s">
        <v>1670</v>
      </c>
      <c r="E220" s="12" t="s">
        <v>1674</v>
      </c>
      <c r="F220" s="13" t="s">
        <v>1664</v>
      </c>
      <c r="G220" s="13" t="n">
        <v>16</v>
      </c>
      <c r="H220" s="13" t="s">
        <v>1665</v>
      </c>
      <c r="I220" s="14"/>
      <c r="J220" s="15"/>
      <c r="K220" s="13"/>
      <c r="L220" s="13" t="s">
        <v>1674</v>
      </c>
      <c r="M220" s="13"/>
      <c r="N220" s="13" t="s">
        <v>1163</v>
      </c>
      <c r="O220" s="13" t="s">
        <v>1164</v>
      </c>
      <c r="P220" s="13" t="s">
        <v>186</v>
      </c>
      <c r="Q220" s="16"/>
      <c r="R220" s="16"/>
      <c r="S220" s="16"/>
      <c r="T220" s="16"/>
      <c r="U220" s="16"/>
      <c r="V220" s="13" t="s">
        <v>187</v>
      </c>
      <c r="W220" s="17"/>
      <c r="X220" s="13"/>
      <c r="Y220" s="13"/>
      <c r="Z220" s="13"/>
      <c r="AA220" s="13" t="s">
        <v>188</v>
      </c>
      <c r="AB220" s="13" t="s">
        <v>1675</v>
      </c>
      <c r="AC220" s="18" t="n">
        <v>12.4</v>
      </c>
      <c r="AD220" s="13" t="s">
        <v>190</v>
      </c>
      <c r="AE220" s="19"/>
      <c r="AF220" s="19"/>
      <c r="AG220" s="19"/>
      <c r="AH220" s="13"/>
      <c r="AI220" s="17" t="str">
        <f aca="false">IF(OR(AC220="",AF220="",Settings!$B$10=""),"",ROUND(AC220-AF220*Settings!$B$10,2))</f>
        <v/>
      </c>
      <c r="AJ220" s="13" t="s">
        <v>192</v>
      </c>
      <c r="AK220" s="13" t="s">
        <v>193</v>
      </c>
      <c r="AL220" s="14" t="s">
        <v>194</v>
      </c>
      <c r="AM220" s="13" t="s">
        <v>1147</v>
      </c>
      <c r="AN220" s="15"/>
      <c r="AO220" s="13"/>
      <c r="AP220" s="13" t="s">
        <v>196</v>
      </c>
      <c r="AQ220" s="16" t="n">
        <f aca="false">IFERROR(IF(AND(INDEX(Mob_Demob!$D$6:$D$14,MATCH(AM220,Mob_Demob!$A$6:$A$14,0))="",INDEX(Mob_Demob!$G$6:$G$14,MATCH(AM220,Mob_Demob!$A$6:$A$14,0))=""),"",ROUND(MAX(N(INDEX(Mob_Demob!$G$6:$G$14,MATCH(AM220,Mob_Demob!$A$6:$A$14,0))),N(INDEX(Mob_Demob!$D$6:$D$14,MATCH(AM220,Mob_Demob!$A$6:$A$14,0)))*Settings!$B$6)+IF(AP220="Y",N(INDEX(Mob_Demob!$I$6:$I$14,MATCH(AM220,Mob_Demob!$A$6:$A$14,0)))*Settings!$B$19,0)+N(INDEX(Mob_Demob!$L$6:$L$14,MATCH(AM220,Mob_Demob!$A$6:$A$14,0)))*N(INDEX(Mob_Demob!$K$6:$K$14,MATCH(AM220,Mob_Demob!$A$6:$A$14,0)))*Settings!$B$6+N(INDEX(Mob_Demob!$M$6:$M$14,MATCH(AM220,Mob_Demob!$A$6:$A$14,0)))*N(INDEX(Mob_Demob!$N$6:$N$14,MATCH(AM220,Mob_Demob!$A$6:$A$14,0))),0)),"")</f>
        <v>200</v>
      </c>
      <c r="AR220" s="16" t="n">
        <f aca="false">IF(AQ220="","",ROUND(AQ220*Settings!$B$18,0))</f>
        <v>200</v>
      </c>
      <c r="AS220" s="13" t="s">
        <v>1667</v>
      </c>
      <c r="AT220" s="14" t="s">
        <v>1668</v>
      </c>
      <c r="AU220" s="14" t="s">
        <v>838</v>
      </c>
    </row>
    <row r="221" customFormat="false" ht="64.15" hidden="false" customHeight="false" outlineLevel="0" collapsed="false">
      <c r="A221" s="11" t="s">
        <v>1676</v>
      </c>
      <c r="B221" s="11" t="s">
        <v>1660</v>
      </c>
      <c r="C221" s="11" t="s">
        <v>1677</v>
      </c>
      <c r="D221" s="11" t="s">
        <v>1678</v>
      </c>
      <c r="E221" s="12" t="s">
        <v>1679</v>
      </c>
      <c r="F221" s="13" t="s">
        <v>1664</v>
      </c>
      <c r="G221" s="13" t="n">
        <v>11</v>
      </c>
      <c r="H221" s="13" t="s">
        <v>479</v>
      </c>
      <c r="I221" s="14" t="s">
        <v>1680</v>
      </c>
      <c r="J221" s="15"/>
      <c r="K221" s="13"/>
      <c r="L221" s="13" t="s">
        <v>1679</v>
      </c>
      <c r="M221" s="13"/>
      <c r="N221" s="13" t="s">
        <v>184</v>
      </c>
      <c r="O221" s="13" t="s">
        <v>1023</v>
      </c>
      <c r="P221" s="13" t="s">
        <v>186</v>
      </c>
      <c r="Q221" s="16"/>
      <c r="R221" s="16"/>
      <c r="S221" s="16"/>
      <c r="T221" s="16"/>
      <c r="U221" s="16"/>
      <c r="V221" s="13" t="s">
        <v>187</v>
      </c>
      <c r="W221" s="17"/>
      <c r="X221" s="13"/>
      <c r="Y221" s="13"/>
      <c r="Z221" s="13"/>
      <c r="AA221" s="13" t="s">
        <v>188</v>
      </c>
      <c r="AB221" s="13" t="s">
        <v>1681</v>
      </c>
      <c r="AC221" s="18" t="n">
        <v>82.26</v>
      </c>
      <c r="AD221" s="13" t="s">
        <v>190</v>
      </c>
      <c r="AE221" s="19"/>
      <c r="AF221" s="19"/>
      <c r="AG221" s="19"/>
      <c r="AH221" s="13"/>
      <c r="AI221" s="17" t="str">
        <f aca="false">IF(OR(AC221="",AF221="",Settings!$B$5=""),"",ROUND(AC221-AF221*Settings!$B$5,2))</f>
        <v/>
      </c>
      <c r="AJ221" s="13" t="s">
        <v>192</v>
      </c>
      <c r="AK221" s="13" t="s">
        <v>193</v>
      </c>
      <c r="AL221" s="14" t="s">
        <v>194</v>
      </c>
      <c r="AM221" s="13" t="s">
        <v>484</v>
      </c>
      <c r="AN221" s="15"/>
      <c r="AO221" s="13"/>
      <c r="AP221" s="13" t="s">
        <v>196</v>
      </c>
      <c r="AQ221" s="16" t="str">
        <f aca="false">IFERROR(IF(AND(INDEX(Mob_Demob!$D$6:$D$14,MATCH(AM221,Mob_Demob!$A$6:$A$14,0))="",INDEX(Mob_Demob!$G$6:$G$14,MATCH(AM221,Mob_Demob!$A$6:$A$14,0))=""),"",ROUND(MAX(N(INDEX(Mob_Demob!$G$6:$G$14,MATCH(AM221,Mob_Demob!$A$6:$A$14,0))),N(INDEX(Mob_Demob!$D$6:$D$14,MATCH(AM221,Mob_Demob!$A$6:$A$14,0)))*Settings!$B$6)+IF(AP221="Y",N(INDEX(Mob_Demob!$I$6:$I$14,MATCH(AM221,Mob_Demob!$A$6:$A$14,0)))*Settings!$B$19,0)+N(INDEX(Mob_Demob!$L$6:$L$14,MATCH(AM221,Mob_Demob!$A$6:$A$14,0)))*N(INDEX(Mob_Demob!$K$6:$K$14,MATCH(AM221,Mob_Demob!$A$6:$A$14,0)))*Settings!$B$6+N(INDEX(Mob_Demob!$M$6:$M$14,MATCH(AM221,Mob_Demob!$A$6:$A$14,0)))*N(INDEX(Mob_Demob!$N$6:$N$14,MATCH(AM221,Mob_Demob!$A$6:$A$14,0))),0)),"")</f>
        <v/>
      </c>
      <c r="AR221" s="16" t="str">
        <f aca="false">IF(AQ221="","",ROUND(AQ221*Settings!$B$18,0))</f>
        <v/>
      </c>
      <c r="AS221" s="13"/>
      <c r="AT221" s="14" t="s">
        <v>871</v>
      </c>
      <c r="AU221" s="14" t="s">
        <v>838</v>
      </c>
    </row>
    <row r="222" customFormat="false" ht="64.15" hidden="false" customHeight="false" outlineLevel="0" collapsed="false">
      <c r="A222" s="11" t="s">
        <v>1682</v>
      </c>
      <c r="B222" s="11" t="s">
        <v>1660</v>
      </c>
      <c r="C222" s="11" t="s">
        <v>1677</v>
      </c>
      <c r="D222" s="11" t="s">
        <v>1678</v>
      </c>
      <c r="E222" s="12" t="s">
        <v>1683</v>
      </c>
      <c r="F222" s="13" t="s">
        <v>1664</v>
      </c>
      <c r="G222" s="13" t="n">
        <v>13</v>
      </c>
      <c r="H222" s="13" t="s">
        <v>479</v>
      </c>
      <c r="I222" s="14"/>
      <c r="J222" s="15"/>
      <c r="K222" s="13"/>
      <c r="L222" s="13" t="s">
        <v>1683</v>
      </c>
      <c r="M222" s="13"/>
      <c r="N222" s="13" t="s">
        <v>184</v>
      </c>
      <c r="O222" s="13" t="s">
        <v>1023</v>
      </c>
      <c r="P222" s="13" t="s">
        <v>186</v>
      </c>
      <c r="Q222" s="16"/>
      <c r="R222" s="16"/>
      <c r="S222" s="16"/>
      <c r="T222" s="16"/>
      <c r="U222" s="16"/>
      <c r="V222" s="13" t="s">
        <v>187</v>
      </c>
      <c r="W222" s="17"/>
      <c r="X222" s="13"/>
      <c r="Y222" s="13"/>
      <c r="Z222" s="13"/>
      <c r="AA222" s="13" t="s">
        <v>188</v>
      </c>
      <c r="AB222" s="13" t="s">
        <v>1684</v>
      </c>
      <c r="AC222" s="18" t="n">
        <v>255.58</v>
      </c>
      <c r="AD222" s="13" t="s">
        <v>190</v>
      </c>
      <c r="AE222" s="19"/>
      <c r="AF222" s="19"/>
      <c r="AG222" s="19"/>
      <c r="AH222" s="13"/>
      <c r="AI222" s="17" t="str">
        <f aca="false">IF(OR(AC222="",AF222="",Settings!$B$5=""),"",ROUND(AC222-AF222*Settings!$B$5,2))</f>
        <v/>
      </c>
      <c r="AJ222" s="13" t="s">
        <v>192</v>
      </c>
      <c r="AK222" s="13" t="s">
        <v>193</v>
      </c>
      <c r="AL222" s="14" t="s">
        <v>194</v>
      </c>
      <c r="AM222" s="13" t="s">
        <v>484</v>
      </c>
      <c r="AN222" s="15"/>
      <c r="AO222" s="13"/>
      <c r="AP222" s="13" t="s">
        <v>196</v>
      </c>
      <c r="AQ222" s="16" t="str">
        <f aca="false">IFERROR(IF(AND(INDEX(Mob_Demob!$D$6:$D$14,MATCH(AM222,Mob_Demob!$A$6:$A$14,0))="",INDEX(Mob_Demob!$G$6:$G$14,MATCH(AM222,Mob_Demob!$A$6:$A$14,0))=""),"",ROUND(MAX(N(INDEX(Mob_Demob!$G$6:$G$14,MATCH(AM222,Mob_Demob!$A$6:$A$14,0))),N(INDEX(Mob_Demob!$D$6:$D$14,MATCH(AM222,Mob_Demob!$A$6:$A$14,0)))*Settings!$B$6)+IF(AP222="Y",N(INDEX(Mob_Demob!$I$6:$I$14,MATCH(AM222,Mob_Demob!$A$6:$A$14,0)))*Settings!$B$19,0)+N(INDEX(Mob_Demob!$L$6:$L$14,MATCH(AM222,Mob_Demob!$A$6:$A$14,0)))*N(INDEX(Mob_Demob!$K$6:$K$14,MATCH(AM222,Mob_Demob!$A$6:$A$14,0)))*Settings!$B$6+N(INDEX(Mob_Demob!$M$6:$M$14,MATCH(AM222,Mob_Demob!$A$6:$A$14,0)))*N(INDEX(Mob_Demob!$N$6:$N$14,MATCH(AM222,Mob_Demob!$A$6:$A$14,0))),0)),"")</f>
        <v/>
      </c>
      <c r="AR222" s="16" t="str">
        <f aca="false">IF(AQ222="","",ROUND(AQ222*Settings!$B$18,0))</f>
        <v/>
      </c>
      <c r="AS222" s="13"/>
      <c r="AT222" s="14" t="s">
        <v>1685</v>
      </c>
      <c r="AU222" s="14" t="s">
        <v>1686</v>
      </c>
    </row>
    <row r="223" customFormat="false" ht="64.15" hidden="false" customHeight="false" outlineLevel="0" collapsed="false">
      <c r="A223" s="11" t="s">
        <v>1687</v>
      </c>
      <c r="B223" s="11" t="s">
        <v>1660</v>
      </c>
      <c r="C223" s="11" t="s">
        <v>1688</v>
      </c>
      <c r="D223" s="11" t="s">
        <v>1689</v>
      </c>
      <c r="E223" s="12" t="s">
        <v>1690</v>
      </c>
      <c r="F223" s="13" t="s">
        <v>1691</v>
      </c>
      <c r="G223" s="13" t="n">
        <v>3</v>
      </c>
      <c r="H223" s="13" t="s">
        <v>1692</v>
      </c>
      <c r="I223" s="14" t="s">
        <v>1693</v>
      </c>
      <c r="J223" s="15"/>
      <c r="K223" s="13"/>
      <c r="L223" s="13"/>
      <c r="M223" s="13"/>
      <c r="N223" s="13" t="s">
        <v>184</v>
      </c>
      <c r="O223" s="13" t="s">
        <v>1694</v>
      </c>
      <c r="P223" s="13" t="s">
        <v>1049</v>
      </c>
      <c r="Q223" s="16"/>
      <c r="R223" s="16"/>
      <c r="S223" s="16"/>
      <c r="T223" s="16"/>
      <c r="U223" s="16"/>
      <c r="V223" s="13" t="s">
        <v>1050</v>
      </c>
      <c r="W223" s="18" t="n">
        <v>185</v>
      </c>
      <c r="X223" s="13" t="n">
        <v>3</v>
      </c>
      <c r="Y223" s="13" t="s">
        <v>1695</v>
      </c>
      <c r="Z223" s="13" t="s">
        <v>451</v>
      </c>
      <c r="AA223" s="13" t="s">
        <v>192</v>
      </c>
      <c r="AB223" s="13"/>
      <c r="AC223" s="17"/>
      <c r="AD223" s="13"/>
      <c r="AE223" s="19"/>
      <c r="AF223" s="19"/>
      <c r="AG223" s="19"/>
      <c r="AH223" s="13"/>
      <c r="AI223" s="17"/>
      <c r="AJ223" s="13" t="s">
        <v>188</v>
      </c>
      <c r="AK223" s="13" t="s">
        <v>188</v>
      </c>
      <c r="AL223" s="14" t="s">
        <v>194</v>
      </c>
      <c r="AM223" s="13" t="s">
        <v>484</v>
      </c>
      <c r="AN223" s="15"/>
      <c r="AO223" s="13"/>
      <c r="AP223" s="13" t="s">
        <v>196</v>
      </c>
      <c r="AQ223" s="16" t="str">
        <f aca="false">IFERROR(IF(AND(INDEX(Mob_Demob!$D$6:$D$14,MATCH(AM223,Mob_Demob!$A$6:$A$14,0))="",INDEX(Mob_Demob!$G$6:$G$14,MATCH(AM223,Mob_Demob!$A$6:$A$14,0))=""),"",ROUND(MAX(N(INDEX(Mob_Demob!$G$6:$G$14,MATCH(AM223,Mob_Demob!$A$6:$A$14,0))),N(INDEX(Mob_Demob!$D$6:$D$14,MATCH(AM223,Mob_Demob!$A$6:$A$14,0)))*Settings!$B$6)+IF(AP223="Y",N(INDEX(Mob_Demob!$I$6:$I$14,MATCH(AM223,Mob_Demob!$A$6:$A$14,0)))*Settings!$B$19,0)+N(INDEX(Mob_Demob!$L$6:$L$14,MATCH(AM223,Mob_Demob!$A$6:$A$14,0)))*N(INDEX(Mob_Demob!$K$6:$K$14,MATCH(AM223,Mob_Demob!$A$6:$A$14,0)))*Settings!$B$6+N(INDEX(Mob_Demob!$M$6:$M$14,MATCH(AM223,Mob_Demob!$A$6:$A$14,0)))*N(INDEX(Mob_Demob!$N$6:$N$14,MATCH(AM223,Mob_Demob!$A$6:$A$14,0))),0)),"")</f>
        <v/>
      </c>
      <c r="AR223" s="16" t="str">
        <f aca="false">IF(AQ223="","",ROUND(AQ223*Settings!$B$18,0))</f>
        <v/>
      </c>
      <c r="AS223" s="13" t="s">
        <v>1696</v>
      </c>
      <c r="AT223" s="14" t="s">
        <v>1697</v>
      </c>
      <c r="AU223" s="14" t="s">
        <v>1054</v>
      </c>
    </row>
    <row r="224" customFormat="false" ht="64.15" hidden="false" customHeight="false" outlineLevel="0" collapsed="false">
      <c r="A224" s="11" t="s">
        <v>1698</v>
      </c>
      <c r="B224" s="11" t="s">
        <v>1660</v>
      </c>
      <c r="C224" s="11" t="s">
        <v>1688</v>
      </c>
      <c r="D224" s="11" t="s">
        <v>1689</v>
      </c>
      <c r="E224" s="12" t="s">
        <v>1699</v>
      </c>
      <c r="F224" s="13" t="s">
        <v>1691</v>
      </c>
      <c r="G224" s="13" t="n">
        <v>4</v>
      </c>
      <c r="H224" s="13" t="s">
        <v>1692</v>
      </c>
      <c r="I224" s="14" t="s">
        <v>1700</v>
      </c>
      <c r="J224" s="15"/>
      <c r="K224" s="13"/>
      <c r="L224" s="13"/>
      <c r="M224" s="13"/>
      <c r="N224" s="13" t="s">
        <v>184</v>
      </c>
      <c r="O224" s="13" t="s">
        <v>1694</v>
      </c>
      <c r="P224" s="13" t="s">
        <v>1049</v>
      </c>
      <c r="Q224" s="16"/>
      <c r="R224" s="16"/>
      <c r="S224" s="16"/>
      <c r="T224" s="16"/>
      <c r="U224" s="16"/>
      <c r="V224" s="13" t="s">
        <v>1050</v>
      </c>
      <c r="W224" s="18" t="n">
        <v>225</v>
      </c>
      <c r="X224" s="13" t="n">
        <v>3</v>
      </c>
      <c r="Y224" s="13" t="s">
        <v>1695</v>
      </c>
      <c r="Z224" s="13" t="s">
        <v>451</v>
      </c>
      <c r="AA224" s="13" t="s">
        <v>192</v>
      </c>
      <c r="AB224" s="13"/>
      <c r="AC224" s="17"/>
      <c r="AD224" s="13"/>
      <c r="AE224" s="19"/>
      <c r="AF224" s="19"/>
      <c r="AG224" s="19"/>
      <c r="AH224" s="13"/>
      <c r="AI224" s="17"/>
      <c r="AJ224" s="13" t="s">
        <v>188</v>
      </c>
      <c r="AK224" s="13" t="s">
        <v>188</v>
      </c>
      <c r="AL224" s="14" t="s">
        <v>194</v>
      </c>
      <c r="AM224" s="13" t="s">
        <v>484</v>
      </c>
      <c r="AN224" s="15"/>
      <c r="AO224" s="13"/>
      <c r="AP224" s="13" t="s">
        <v>196</v>
      </c>
      <c r="AQ224" s="16" t="str">
        <f aca="false">IFERROR(IF(AND(INDEX(Mob_Demob!$D$6:$D$14,MATCH(AM224,Mob_Demob!$A$6:$A$14,0))="",INDEX(Mob_Demob!$G$6:$G$14,MATCH(AM224,Mob_Demob!$A$6:$A$14,0))=""),"",ROUND(MAX(N(INDEX(Mob_Demob!$G$6:$G$14,MATCH(AM224,Mob_Demob!$A$6:$A$14,0))),N(INDEX(Mob_Demob!$D$6:$D$14,MATCH(AM224,Mob_Demob!$A$6:$A$14,0)))*Settings!$B$6)+IF(AP224="Y",N(INDEX(Mob_Demob!$I$6:$I$14,MATCH(AM224,Mob_Demob!$A$6:$A$14,0)))*Settings!$B$19,0)+N(INDEX(Mob_Demob!$L$6:$L$14,MATCH(AM224,Mob_Demob!$A$6:$A$14,0)))*N(INDEX(Mob_Demob!$K$6:$K$14,MATCH(AM224,Mob_Demob!$A$6:$A$14,0)))*Settings!$B$6+N(INDEX(Mob_Demob!$M$6:$M$14,MATCH(AM224,Mob_Demob!$A$6:$A$14,0)))*N(INDEX(Mob_Demob!$N$6:$N$14,MATCH(AM224,Mob_Demob!$A$6:$A$14,0))),0)),"")</f>
        <v/>
      </c>
      <c r="AR224" s="16" t="str">
        <f aca="false">IF(AQ224="","",ROUND(AQ224*Settings!$B$18,0))</f>
        <v/>
      </c>
      <c r="AS224" s="13" t="s">
        <v>1696</v>
      </c>
      <c r="AT224" s="14" t="s">
        <v>1701</v>
      </c>
      <c r="AU224" s="14" t="s">
        <v>1054</v>
      </c>
    </row>
    <row r="225" customFormat="false" ht="64.15" hidden="false" customHeight="false" outlineLevel="0" collapsed="false">
      <c r="A225" s="11" t="s">
        <v>1702</v>
      </c>
      <c r="B225" s="11" t="s">
        <v>1660</v>
      </c>
      <c r="C225" s="11" t="s">
        <v>1688</v>
      </c>
      <c r="D225" s="11" t="s">
        <v>1703</v>
      </c>
      <c r="E225" s="12" t="s">
        <v>1704</v>
      </c>
      <c r="F225" s="13" t="s">
        <v>141</v>
      </c>
      <c r="G225" s="13" t="s">
        <v>1705</v>
      </c>
      <c r="H225" s="13"/>
      <c r="I225" s="14" t="s">
        <v>1706</v>
      </c>
      <c r="J225" s="15"/>
      <c r="K225" s="13"/>
      <c r="L225" s="13"/>
      <c r="M225" s="13"/>
      <c r="N225" s="13" t="s">
        <v>184</v>
      </c>
      <c r="O225" s="13" t="s">
        <v>1694</v>
      </c>
      <c r="P225" s="13" t="s">
        <v>1049</v>
      </c>
      <c r="Q225" s="16"/>
      <c r="R225" s="16"/>
      <c r="S225" s="16"/>
      <c r="T225" s="16"/>
      <c r="U225" s="16"/>
      <c r="V225" s="13" t="s">
        <v>1050</v>
      </c>
      <c r="W225" s="18" t="n">
        <v>140</v>
      </c>
      <c r="X225" s="13" t="n">
        <v>3</v>
      </c>
      <c r="Y225" s="13" t="s">
        <v>1695</v>
      </c>
      <c r="Z225" s="13" t="s">
        <v>451</v>
      </c>
      <c r="AA225" s="13" t="s">
        <v>192</v>
      </c>
      <c r="AB225" s="13"/>
      <c r="AC225" s="17"/>
      <c r="AD225" s="13"/>
      <c r="AE225" s="19"/>
      <c r="AF225" s="19"/>
      <c r="AG225" s="19"/>
      <c r="AH225" s="13"/>
      <c r="AI225" s="17"/>
      <c r="AJ225" s="13" t="s">
        <v>188</v>
      </c>
      <c r="AK225" s="13" t="s">
        <v>188</v>
      </c>
      <c r="AL225" s="14" t="s">
        <v>194</v>
      </c>
      <c r="AM225" s="13" t="s">
        <v>484</v>
      </c>
      <c r="AN225" s="15"/>
      <c r="AO225" s="13"/>
      <c r="AP225" s="13" t="s">
        <v>196</v>
      </c>
      <c r="AQ225" s="16" t="str">
        <f aca="false">IFERROR(IF(AND(INDEX(Mob_Demob!$D$6:$D$14,MATCH(AM225,Mob_Demob!$A$6:$A$14,0))="",INDEX(Mob_Demob!$G$6:$G$14,MATCH(AM225,Mob_Demob!$A$6:$A$14,0))=""),"",ROUND(MAX(N(INDEX(Mob_Demob!$G$6:$G$14,MATCH(AM225,Mob_Demob!$A$6:$A$14,0))),N(INDEX(Mob_Demob!$D$6:$D$14,MATCH(AM225,Mob_Demob!$A$6:$A$14,0)))*Settings!$B$6)+IF(AP225="Y",N(INDEX(Mob_Demob!$I$6:$I$14,MATCH(AM225,Mob_Demob!$A$6:$A$14,0)))*Settings!$B$19,0)+N(INDEX(Mob_Demob!$L$6:$L$14,MATCH(AM225,Mob_Demob!$A$6:$A$14,0)))*N(INDEX(Mob_Demob!$K$6:$K$14,MATCH(AM225,Mob_Demob!$A$6:$A$14,0)))*Settings!$B$6+N(INDEX(Mob_Demob!$M$6:$M$14,MATCH(AM225,Mob_Demob!$A$6:$A$14,0)))*N(INDEX(Mob_Demob!$N$6:$N$14,MATCH(AM225,Mob_Demob!$A$6:$A$14,0))),0)),"")</f>
        <v/>
      </c>
      <c r="AR225" s="16" t="str">
        <f aca="false">IF(AQ225="","",ROUND(AQ225*Settings!$B$18,0))</f>
        <v/>
      </c>
      <c r="AS225" s="13" t="s">
        <v>1702</v>
      </c>
      <c r="AT225" s="14" t="s">
        <v>1707</v>
      </c>
      <c r="AU225" s="14" t="s">
        <v>1054</v>
      </c>
    </row>
    <row r="226" customFormat="false" ht="64.15" hidden="false" customHeight="false" outlineLevel="0" collapsed="false">
      <c r="A226" s="11" t="s">
        <v>1708</v>
      </c>
      <c r="B226" s="11" t="s">
        <v>1660</v>
      </c>
      <c r="C226" s="11" t="s">
        <v>1688</v>
      </c>
      <c r="D226" s="11" t="s">
        <v>1689</v>
      </c>
      <c r="E226" s="12" t="s">
        <v>1709</v>
      </c>
      <c r="F226" s="13" t="s">
        <v>1691</v>
      </c>
      <c r="G226" s="13" t="n">
        <v>63</v>
      </c>
      <c r="H226" s="13" t="s">
        <v>1692</v>
      </c>
      <c r="I226" s="14" t="s">
        <v>1710</v>
      </c>
      <c r="J226" s="15"/>
      <c r="K226" s="13"/>
      <c r="L226" s="13"/>
      <c r="M226" s="13"/>
      <c r="N226" s="13" t="s">
        <v>184</v>
      </c>
      <c r="O226" s="13" t="s">
        <v>1694</v>
      </c>
      <c r="P226" s="13" t="s">
        <v>1049</v>
      </c>
      <c r="Q226" s="16"/>
      <c r="R226" s="16"/>
      <c r="S226" s="16"/>
      <c r="T226" s="16"/>
      <c r="U226" s="16"/>
      <c r="V226" s="13" t="s">
        <v>187</v>
      </c>
      <c r="W226" s="17"/>
      <c r="X226" s="13"/>
      <c r="Y226" s="13"/>
      <c r="Z226" s="13"/>
      <c r="AA226" s="13" t="s">
        <v>188</v>
      </c>
      <c r="AB226" s="13"/>
      <c r="AC226" s="17"/>
      <c r="AD226" s="13"/>
      <c r="AE226" s="19"/>
      <c r="AF226" s="19"/>
      <c r="AG226" s="19"/>
      <c r="AH226" s="13"/>
      <c r="AI226" s="17"/>
      <c r="AJ226" s="13" t="s">
        <v>188</v>
      </c>
      <c r="AK226" s="13" t="s">
        <v>188</v>
      </c>
      <c r="AL226" s="14" t="s">
        <v>194</v>
      </c>
      <c r="AM226" s="13" t="s">
        <v>484</v>
      </c>
      <c r="AN226" s="15"/>
      <c r="AO226" s="13"/>
      <c r="AP226" s="13" t="s">
        <v>196</v>
      </c>
      <c r="AQ226" s="16" t="str">
        <f aca="false">IFERROR(IF(AND(INDEX(Mob_Demob!$D$6:$D$14,MATCH(AM226,Mob_Demob!$A$6:$A$14,0))="",INDEX(Mob_Demob!$G$6:$G$14,MATCH(AM226,Mob_Demob!$A$6:$A$14,0))=""),"",ROUND(MAX(N(INDEX(Mob_Demob!$G$6:$G$14,MATCH(AM226,Mob_Demob!$A$6:$A$14,0))),N(INDEX(Mob_Demob!$D$6:$D$14,MATCH(AM226,Mob_Demob!$A$6:$A$14,0)))*Settings!$B$6)+IF(AP226="Y",N(INDEX(Mob_Demob!$I$6:$I$14,MATCH(AM226,Mob_Demob!$A$6:$A$14,0)))*Settings!$B$19,0)+N(INDEX(Mob_Demob!$L$6:$L$14,MATCH(AM226,Mob_Demob!$A$6:$A$14,0)))*N(INDEX(Mob_Demob!$K$6:$K$14,MATCH(AM226,Mob_Demob!$A$6:$A$14,0)))*Settings!$B$6+N(INDEX(Mob_Demob!$M$6:$M$14,MATCH(AM226,Mob_Demob!$A$6:$A$14,0)))*N(INDEX(Mob_Demob!$N$6:$N$14,MATCH(AM226,Mob_Demob!$A$6:$A$14,0))),0)),"")</f>
        <v/>
      </c>
      <c r="AR226" s="16" t="str">
        <f aca="false">IF(AQ226="","",ROUND(AQ226*Settings!$B$18,0))</f>
        <v/>
      </c>
      <c r="AS226" s="13" t="s">
        <v>1696</v>
      </c>
      <c r="AT226" s="14" t="s">
        <v>1711</v>
      </c>
      <c r="AU226" s="14" t="s">
        <v>1712</v>
      </c>
    </row>
    <row r="227" customFormat="false" ht="64.15" hidden="false" customHeight="false" outlineLevel="0" collapsed="false">
      <c r="A227" s="11" t="s">
        <v>1713</v>
      </c>
      <c r="B227" s="11" t="s">
        <v>1660</v>
      </c>
      <c r="C227" s="11" t="s">
        <v>1714</v>
      </c>
      <c r="D227" s="11" t="s">
        <v>1715</v>
      </c>
      <c r="E227" s="12" t="s">
        <v>1716</v>
      </c>
      <c r="F227" s="13" t="s">
        <v>1717</v>
      </c>
      <c r="G227" s="13" t="n">
        <v>110</v>
      </c>
      <c r="H227" s="13" t="s">
        <v>462</v>
      </c>
      <c r="I227" s="14" t="s">
        <v>1718</v>
      </c>
      <c r="J227" s="15"/>
      <c r="K227" s="13"/>
      <c r="L227" s="13"/>
      <c r="M227" s="13"/>
      <c r="N227" s="13" t="s">
        <v>184</v>
      </c>
      <c r="O227" s="13" t="s">
        <v>1719</v>
      </c>
      <c r="P227" s="13" t="s">
        <v>1049</v>
      </c>
      <c r="Q227" s="16"/>
      <c r="R227" s="16"/>
      <c r="S227" s="16"/>
      <c r="T227" s="16"/>
      <c r="U227" s="16"/>
      <c r="V227" s="13" t="s">
        <v>1050</v>
      </c>
      <c r="W227" s="18" t="n">
        <v>185</v>
      </c>
      <c r="X227" s="13"/>
      <c r="Y227" s="13" t="s">
        <v>1695</v>
      </c>
      <c r="Z227" s="13" t="s">
        <v>451</v>
      </c>
      <c r="AA227" s="13" t="s">
        <v>192</v>
      </c>
      <c r="AB227" s="13"/>
      <c r="AC227" s="17"/>
      <c r="AD227" s="13"/>
      <c r="AE227" s="19"/>
      <c r="AF227" s="19"/>
      <c r="AG227" s="19"/>
      <c r="AH227" s="13"/>
      <c r="AI227" s="17"/>
      <c r="AJ227" s="13" t="s">
        <v>188</v>
      </c>
      <c r="AK227" s="13" t="s">
        <v>188</v>
      </c>
      <c r="AL227" s="14" t="s">
        <v>194</v>
      </c>
      <c r="AM227" s="13" t="s">
        <v>484</v>
      </c>
      <c r="AN227" s="15"/>
      <c r="AO227" s="13"/>
      <c r="AP227" s="13" t="s">
        <v>196</v>
      </c>
      <c r="AQ227" s="16" t="str">
        <f aca="false">IFERROR(IF(AND(INDEX(Mob_Demob!$D$6:$D$14,MATCH(AM227,Mob_Demob!$A$6:$A$14,0))="",INDEX(Mob_Demob!$G$6:$G$14,MATCH(AM227,Mob_Demob!$A$6:$A$14,0))=""),"",ROUND(MAX(N(INDEX(Mob_Demob!$G$6:$G$14,MATCH(AM227,Mob_Demob!$A$6:$A$14,0))),N(INDEX(Mob_Demob!$D$6:$D$14,MATCH(AM227,Mob_Demob!$A$6:$A$14,0)))*Settings!$B$6)+IF(AP227="Y",N(INDEX(Mob_Demob!$I$6:$I$14,MATCH(AM227,Mob_Demob!$A$6:$A$14,0)))*Settings!$B$19,0)+N(INDEX(Mob_Demob!$L$6:$L$14,MATCH(AM227,Mob_Demob!$A$6:$A$14,0)))*N(INDEX(Mob_Demob!$K$6:$K$14,MATCH(AM227,Mob_Demob!$A$6:$A$14,0)))*Settings!$B$6+N(INDEX(Mob_Demob!$M$6:$M$14,MATCH(AM227,Mob_Demob!$A$6:$A$14,0)))*N(INDEX(Mob_Demob!$N$6:$N$14,MATCH(AM227,Mob_Demob!$A$6:$A$14,0))),0)),"")</f>
        <v/>
      </c>
      <c r="AR227" s="16" t="str">
        <f aca="false">IF(AQ227="","",ROUND(AQ227*Settings!$B$18,0))</f>
        <v/>
      </c>
      <c r="AS227" s="13" t="s">
        <v>1720</v>
      </c>
      <c r="AT227" s="14" t="s">
        <v>1721</v>
      </c>
      <c r="AU227" s="14" t="s">
        <v>1054</v>
      </c>
    </row>
    <row r="228" customFormat="false" ht="64.15" hidden="false" customHeight="false" outlineLevel="0" collapsed="false">
      <c r="A228" s="11" t="s">
        <v>1722</v>
      </c>
      <c r="B228" s="11" t="s">
        <v>1660</v>
      </c>
      <c r="C228" s="11" t="s">
        <v>1723</v>
      </c>
      <c r="D228" s="11" t="s">
        <v>1724</v>
      </c>
      <c r="E228" s="12" t="s">
        <v>1725</v>
      </c>
      <c r="F228" s="13" t="s">
        <v>1726</v>
      </c>
      <c r="G228" s="13" t="n">
        <v>2.5</v>
      </c>
      <c r="H228" s="13" t="s">
        <v>1196</v>
      </c>
      <c r="I228" s="14" t="s">
        <v>1727</v>
      </c>
      <c r="J228" s="15"/>
      <c r="K228" s="13"/>
      <c r="L228" s="13"/>
      <c r="M228" s="13"/>
      <c r="N228" s="13" t="s">
        <v>1163</v>
      </c>
      <c r="O228" s="13" t="s">
        <v>1728</v>
      </c>
      <c r="P228" s="13" t="s">
        <v>186</v>
      </c>
      <c r="Q228" s="20" t="n">
        <v>60</v>
      </c>
      <c r="R228" s="16" t="n">
        <f aca="false">ROUND(Q228*Settings!$B$16,0)</f>
        <v>180</v>
      </c>
      <c r="S228" s="16" t="n">
        <f aca="false">ROUND(R228*Settings!$B$17,0)</f>
        <v>522</v>
      </c>
      <c r="T228" s="16"/>
      <c r="U228" s="16"/>
      <c r="V228" s="13" t="s">
        <v>187</v>
      </c>
      <c r="W228" s="17"/>
      <c r="X228" s="13"/>
      <c r="Y228" s="13" t="s">
        <v>259</v>
      </c>
      <c r="Z228" s="13" t="s">
        <v>260</v>
      </c>
      <c r="AA228" s="13" t="s">
        <v>193</v>
      </c>
      <c r="AB228" s="13" t="s">
        <v>1729</v>
      </c>
      <c r="AC228" s="17"/>
      <c r="AD228" s="13"/>
      <c r="AE228" s="19"/>
      <c r="AF228" s="19"/>
      <c r="AG228" s="19"/>
      <c r="AH228" s="13"/>
      <c r="AI228" s="17"/>
      <c r="AJ228" s="13" t="s">
        <v>188</v>
      </c>
      <c r="AK228" s="13" t="s">
        <v>188</v>
      </c>
      <c r="AL228" s="14" t="s">
        <v>194</v>
      </c>
      <c r="AM228" s="13" t="s">
        <v>1147</v>
      </c>
      <c r="AN228" s="15"/>
      <c r="AO228" s="13"/>
      <c r="AP228" s="13" t="s">
        <v>196</v>
      </c>
      <c r="AQ228" s="16" t="n">
        <f aca="false">IFERROR(IF(AND(INDEX(Mob_Demob!$D$6:$D$14,MATCH(AM228,Mob_Demob!$A$6:$A$14,0))="",INDEX(Mob_Demob!$G$6:$G$14,MATCH(AM228,Mob_Demob!$A$6:$A$14,0))=""),"",ROUND(MAX(N(INDEX(Mob_Demob!$G$6:$G$14,MATCH(AM228,Mob_Demob!$A$6:$A$14,0))),N(INDEX(Mob_Demob!$D$6:$D$14,MATCH(AM228,Mob_Demob!$A$6:$A$14,0)))*Settings!$B$6)+IF(AP228="Y",N(INDEX(Mob_Demob!$I$6:$I$14,MATCH(AM228,Mob_Demob!$A$6:$A$14,0)))*Settings!$B$19,0)+N(INDEX(Mob_Demob!$L$6:$L$14,MATCH(AM228,Mob_Demob!$A$6:$A$14,0)))*N(INDEX(Mob_Demob!$K$6:$K$14,MATCH(AM228,Mob_Demob!$A$6:$A$14,0)))*Settings!$B$6+N(INDEX(Mob_Demob!$M$6:$M$14,MATCH(AM228,Mob_Demob!$A$6:$A$14,0)))*N(INDEX(Mob_Demob!$N$6:$N$14,MATCH(AM228,Mob_Demob!$A$6:$A$14,0))),0)),"")</f>
        <v>200</v>
      </c>
      <c r="AR228" s="16" t="n">
        <f aca="false">IF(AQ228="","",ROUND(AQ228*Settings!$B$18,0))</f>
        <v>200</v>
      </c>
      <c r="AS228" s="13" t="s">
        <v>1730</v>
      </c>
      <c r="AT228" s="14" t="s">
        <v>1731</v>
      </c>
      <c r="AU228" s="14" t="s">
        <v>1574</v>
      </c>
    </row>
    <row r="229" customFormat="false" ht="64.15" hidden="false" customHeight="false" outlineLevel="0" collapsed="false">
      <c r="A229" s="11" t="s">
        <v>1732</v>
      </c>
      <c r="B229" s="11" t="s">
        <v>1660</v>
      </c>
      <c r="C229" s="11" t="s">
        <v>1723</v>
      </c>
      <c r="D229" s="11" t="s">
        <v>1733</v>
      </c>
      <c r="E229" s="12" t="s">
        <v>1734</v>
      </c>
      <c r="F229" s="13" t="s">
        <v>141</v>
      </c>
      <c r="G229" s="13" t="s">
        <v>1735</v>
      </c>
      <c r="H229" s="13"/>
      <c r="I229" s="14" t="s">
        <v>1736</v>
      </c>
      <c r="J229" s="15"/>
      <c r="K229" s="13"/>
      <c r="L229" s="13"/>
      <c r="M229" s="13"/>
      <c r="N229" s="13" t="s">
        <v>1737</v>
      </c>
      <c r="O229" s="13" t="s">
        <v>1728</v>
      </c>
      <c r="P229" s="13" t="s">
        <v>186</v>
      </c>
      <c r="Q229" s="16"/>
      <c r="R229" s="16"/>
      <c r="S229" s="16"/>
      <c r="T229" s="16"/>
      <c r="U229" s="16"/>
      <c r="V229" s="13" t="s">
        <v>187</v>
      </c>
      <c r="W229" s="17"/>
      <c r="X229" s="13"/>
      <c r="Y229" s="13"/>
      <c r="Z229" s="13"/>
      <c r="AA229" s="13" t="s">
        <v>188</v>
      </c>
      <c r="AB229" s="13" t="s">
        <v>1738</v>
      </c>
      <c r="AC229" s="17"/>
      <c r="AD229" s="13"/>
      <c r="AE229" s="19" t="n">
        <v>0</v>
      </c>
      <c r="AF229" s="19" t="n">
        <v>0</v>
      </c>
      <c r="AG229" s="19" t="n">
        <v>0</v>
      </c>
      <c r="AH229" s="13" t="s">
        <v>1739</v>
      </c>
      <c r="AI229" s="17"/>
      <c r="AJ229" s="13" t="s">
        <v>188</v>
      </c>
      <c r="AK229" s="13" t="s">
        <v>188</v>
      </c>
      <c r="AL229" s="14" t="s">
        <v>194</v>
      </c>
      <c r="AM229" s="13" t="s">
        <v>1147</v>
      </c>
      <c r="AN229" s="15"/>
      <c r="AO229" s="13"/>
      <c r="AP229" s="13" t="s">
        <v>196</v>
      </c>
      <c r="AQ229" s="16" t="n">
        <f aca="false">IFERROR(IF(AND(INDEX(Mob_Demob!$D$6:$D$14,MATCH(AM229,Mob_Demob!$A$6:$A$14,0))="",INDEX(Mob_Demob!$G$6:$G$14,MATCH(AM229,Mob_Demob!$A$6:$A$14,0))=""),"",ROUND(MAX(N(INDEX(Mob_Demob!$G$6:$G$14,MATCH(AM229,Mob_Demob!$A$6:$A$14,0))),N(INDEX(Mob_Demob!$D$6:$D$14,MATCH(AM229,Mob_Demob!$A$6:$A$14,0)))*Settings!$B$6)+IF(AP229="Y",N(INDEX(Mob_Demob!$I$6:$I$14,MATCH(AM229,Mob_Demob!$A$6:$A$14,0)))*Settings!$B$19,0)+N(INDEX(Mob_Demob!$L$6:$L$14,MATCH(AM229,Mob_Demob!$A$6:$A$14,0)))*N(INDEX(Mob_Demob!$K$6:$K$14,MATCH(AM229,Mob_Demob!$A$6:$A$14,0)))*Settings!$B$6+N(INDEX(Mob_Demob!$M$6:$M$14,MATCH(AM229,Mob_Demob!$A$6:$A$14,0)))*N(INDEX(Mob_Demob!$N$6:$N$14,MATCH(AM229,Mob_Demob!$A$6:$A$14,0))),0)),"")</f>
        <v>200</v>
      </c>
      <c r="AR229" s="16" t="n">
        <f aca="false">IF(AQ229="","",ROUND(AQ229*Settings!$B$18,0))</f>
        <v>200</v>
      </c>
      <c r="AS229" s="13" t="s">
        <v>1730</v>
      </c>
      <c r="AT229" s="14" t="s">
        <v>1740</v>
      </c>
      <c r="AU229" s="14" t="s">
        <v>509</v>
      </c>
    </row>
    <row r="230" customFormat="false" ht="64.15" hidden="false" customHeight="false" outlineLevel="0" collapsed="false">
      <c r="A230" s="11" t="s">
        <v>1741</v>
      </c>
      <c r="B230" s="11" t="s">
        <v>1660</v>
      </c>
      <c r="C230" s="11" t="s">
        <v>1742</v>
      </c>
      <c r="D230" s="11" t="s">
        <v>1743</v>
      </c>
      <c r="E230" s="12" t="s">
        <v>1744</v>
      </c>
      <c r="F230" s="13" t="s">
        <v>1745</v>
      </c>
      <c r="G230" s="13" t="n">
        <v>46</v>
      </c>
      <c r="H230" s="13" t="s">
        <v>1196</v>
      </c>
      <c r="I230" s="14" t="s">
        <v>1746</v>
      </c>
      <c r="J230" s="15"/>
      <c r="K230" s="13"/>
      <c r="L230" s="13"/>
      <c r="M230" s="13"/>
      <c r="N230" s="13" t="s">
        <v>1163</v>
      </c>
      <c r="O230" s="13" t="s">
        <v>1728</v>
      </c>
      <c r="P230" s="13" t="s">
        <v>186</v>
      </c>
      <c r="Q230" s="20" t="n">
        <v>101</v>
      </c>
      <c r="R230" s="20" t="n">
        <v>312</v>
      </c>
      <c r="S230" s="20" t="n">
        <v>861</v>
      </c>
      <c r="T230" s="20" t="n">
        <v>525</v>
      </c>
      <c r="U230" s="20" t="n">
        <v>1197</v>
      </c>
      <c r="V230" s="13" t="s">
        <v>187</v>
      </c>
      <c r="W230" s="17"/>
      <c r="X230" s="13"/>
      <c r="Y230" s="13" t="s">
        <v>1747</v>
      </c>
      <c r="Z230" s="13" t="s">
        <v>212</v>
      </c>
      <c r="AA230" s="13" t="s">
        <v>213</v>
      </c>
      <c r="AB230" s="13" t="s">
        <v>1748</v>
      </c>
      <c r="AC230" s="17"/>
      <c r="AD230" s="13"/>
      <c r="AE230" s="19"/>
      <c r="AF230" s="19"/>
      <c r="AG230" s="19"/>
      <c r="AH230" s="13"/>
      <c r="AI230" s="17"/>
      <c r="AJ230" s="13" t="s">
        <v>188</v>
      </c>
      <c r="AK230" s="13" t="s">
        <v>188</v>
      </c>
      <c r="AL230" s="14" t="s">
        <v>194</v>
      </c>
      <c r="AM230" s="13" t="s">
        <v>1147</v>
      </c>
      <c r="AN230" s="15"/>
      <c r="AO230" s="13"/>
      <c r="AP230" s="13" t="s">
        <v>196</v>
      </c>
      <c r="AQ230" s="16" t="n">
        <f aca="false">IFERROR(IF(AND(INDEX(Mob_Demob!$D$6:$D$14,MATCH(AM230,Mob_Demob!$A$6:$A$14,0))="",INDEX(Mob_Demob!$G$6:$G$14,MATCH(AM230,Mob_Demob!$A$6:$A$14,0))=""),"",ROUND(MAX(N(INDEX(Mob_Demob!$G$6:$G$14,MATCH(AM230,Mob_Demob!$A$6:$A$14,0))),N(INDEX(Mob_Demob!$D$6:$D$14,MATCH(AM230,Mob_Demob!$A$6:$A$14,0)))*Settings!$B$6)+IF(AP230="Y",N(INDEX(Mob_Demob!$I$6:$I$14,MATCH(AM230,Mob_Demob!$A$6:$A$14,0)))*Settings!$B$19,0)+N(INDEX(Mob_Demob!$L$6:$L$14,MATCH(AM230,Mob_Demob!$A$6:$A$14,0)))*N(INDEX(Mob_Demob!$K$6:$K$14,MATCH(AM230,Mob_Demob!$A$6:$A$14,0)))*Settings!$B$6+N(INDEX(Mob_Demob!$M$6:$M$14,MATCH(AM230,Mob_Demob!$A$6:$A$14,0)))*N(INDEX(Mob_Demob!$N$6:$N$14,MATCH(AM230,Mob_Demob!$A$6:$A$14,0))),0)),"")</f>
        <v>200</v>
      </c>
      <c r="AR230" s="16" t="n">
        <f aca="false">IF(AQ230="","",ROUND(AQ230*Settings!$B$18,0))</f>
        <v>200</v>
      </c>
      <c r="AS230" s="13" t="s">
        <v>1749</v>
      </c>
      <c r="AT230" s="14" t="s">
        <v>1750</v>
      </c>
      <c r="AU230" s="14" t="s">
        <v>1574</v>
      </c>
    </row>
    <row r="231" customFormat="false" ht="64.15" hidden="false" customHeight="false" outlineLevel="0" collapsed="false">
      <c r="A231" s="11" t="s">
        <v>1751</v>
      </c>
      <c r="B231" s="11" t="s">
        <v>1660</v>
      </c>
      <c r="C231" s="11" t="s">
        <v>1742</v>
      </c>
      <c r="D231" s="11" t="s">
        <v>1752</v>
      </c>
      <c r="E231" s="12" t="s">
        <v>1753</v>
      </c>
      <c r="F231" s="13" t="s">
        <v>1754</v>
      </c>
      <c r="G231" s="13" t="n">
        <v>72</v>
      </c>
      <c r="H231" s="13" t="s">
        <v>1196</v>
      </c>
      <c r="I231" s="14"/>
      <c r="J231" s="15"/>
      <c r="K231" s="13"/>
      <c r="L231" s="13"/>
      <c r="M231" s="13"/>
      <c r="N231" s="13" t="s">
        <v>1163</v>
      </c>
      <c r="O231" s="13" t="s">
        <v>1728</v>
      </c>
      <c r="P231" s="13" t="s">
        <v>186</v>
      </c>
      <c r="Q231" s="20" t="n">
        <v>225</v>
      </c>
      <c r="R231" s="20" t="n">
        <v>785</v>
      </c>
      <c r="S231" s="20" t="n">
        <v>1965</v>
      </c>
      <c r="T231" s="16"/>
      <c r="U231" s="16"/>
      <c r="V231" s="13" t="s">
        <v>187</v>
      </c>
      <c r="W231" s="17"/>
      <c r="X231" s="13"/>
      <c r="Y231" s="13" t="s">
        <v>1755</v>
      </c>
      <c r="Z231" s="13" t="s">
        <v>1756</v>
      </c>
      <c r="AA231" s="13" t="s">
        <v>192</v>
      </c>
      <c r="AB231" s="13"/>
      <c r="AC231" s="17"/>
      <c r="AD231" s="13"/>
      <c r="AE231" s="19"/>
      <c r="AF231" s="19"/>
      <c r="AG231" s="19"/>
      <c r="AH231" s="13"/>
      <c r="AI231" s="17"/>
      <c r="AJ231" s="13" t="s">
        <v>188</v>
      </c>
      <c r="AK231" s="13" t="s">
        <v>188</v>
      </c>
      <c r="AL231" s="14" t="s">
        <v>194</v>
      </c>
      <c r="AM231" s="13" t="s">
        <v>195</v>
      </c>
      <c r="AN231" s="15"/>
      <c r="AO231" s="13"/>
      <c r="AP231" s="13" t="s">
        <v>196</v>
      </c>
      <c r="AQ231" s="16" t="n">
        <f aca="false">IFERROR(IF(AND(INDEX(Mob_Demob!$D$6:$D$14,MATCH(AM231,Mob_Demob!$A$6:$A$14,0))="",INDEX(Mob_Demob!$G$6:$G$14,MATCH(AM231,Mob_Demob!$A$6:$A$14,0))=""),"",ROUND(MAX(N(INDEX(Mob_Demob!$G$6:$G$14,MATCH(AM231,Mob_Demob!$A$6:$A$14,0))),N(INDEX(Mob_Demob!$D$6:$D$14,MATCH(AM231,Mob_Demob!$A$6:$A$14,0)))*Settings!$B$6)+IF(AP231="Y",N(INDEX(Mob_Demob!$I$6:$I$14,MATCH(AM231,Mob_Demob!$A$6:$A$14,0)))*Settings!$B$19,0)+N(INDEX(Mob_Demob!$L$6:$L$14,MATCH(AM231,Mob_Demob!$A$6:$A$14,0)))*N(INDEX(Mob_Demob!$K$6:$K$14,MATCH(AM231,Mob_Demob!$A$6:$A$14,0)))*Settings!$B$6+N(INDEX(Mob_Demob!$M$6:$M$14,MATCH(AM231,Mob_Demob!$A$6:$A$14,0)))*N(INDEX(Mob_Demob!$N$6:$N$14,MATCH(AM231,Mob_Demob!$A$6:$A$14,0))),0)),"")</f>
        <v>500</v>
      </c>
      <c r="AR231" s="16" t="n">
        <f aca="false">IF(AQ231="","",ROUND(AQ231*Settings!$B$18,0))</f>
        <v>500</v>
      </c>
      <c r="AS231" s="13" t="s">
        <v>1757</v>
      </c>
      <c r="AT231" s="14" t="s">
        <v>1758</v>
      </c>
      <c r="AU231" s="14" t="s">
        <v>1054</v>
      </c>
    </row>
    <row r="232" customFormat="false" ht="64.15" hidden="false" customHeight="false" outlineLevel="0" collapsed="false">
      <c r="A232" s="11" t="s">
        <v>1759</v>
      </c>
      <c r="B232" s="11" t="s">
        <v>1660</v>
      </c>
      <c r="C232" s="11" t="s">
        <v>1742</v>
      </c>
      <c r="D232" s="11" t="s">
        <v>1752</v>
      </c>
      <c r="E232" s="12" t="s">
        <v>1760</v>
      </c>
      <c r="F232" s="13" t="s">
        <v>1754</v>
      </c>
      <c r="G232" s="13" t="n">
        <v>91</v>
      </c>
      <c r="H232" s="13" t="s">
        <v>1196</v>
      </c>
      <c r="I232" s="14"/>
      <c r="J232" s="15"/>
      <c r="K232" s="13"/>
      <c r="L232" s="13"/>
      <c r="M232" s="13"/>
      <c r="N232" s="13" t="s">
        <v>1163</v>
      </c>
      <c r="O232" s="13" t="s">
        <v>1728</v>
      </c>
      <c r="P232" s="13" t="s">
        <v>186</v>
      </c>
      <c r="Q232" s="20" t="n">
        <v>245</v>
      </c>
      <c r="R232" s="20" t="n">
        <v>855</v>
      </c>
      <c r="S232" s="20" t="n">
        <v>2135</v>
      </c>
      <c r="T232" s="16"/>
      <c r="U232" s="16"/>
      <c r="V232" s="13" t="s">
        <v>187</v>
      </c>
      <c r="W232" s="17"/>
      <c r="X232" s="13"/>
      <c r="Y232" s="13" t="s">
        <v>1755</v>
      </c>
      <c r="Z232" s="13" t="s">
        <v>1756</v>
      </c>
      <c r="AA232" s="13" t="s">
        <v>192</v>
      </c>
      <c r="AB232" s="13"/>
      <c r="AC232" s="17"/>
      <c r="AD232" s="13"/>
      <c r="AE232" s="19"/>
      <c r="AF232" s="19"/>
      <c r="AG232" s="19"/>
      <c r="AH232" s="13"/>
      <c r="AI232" s="17"/>
      <c r="AJ232" s="13" t="s">
        <v>188</v>
      </c>
      <c r="AK232" s="13" t="s">
        <v>188</v>
      </c>
      <c r="AL232" s="14" t="s">
        <v>194</v>
      </c>
      <c r="AM232" s="13" t="s">
        <v>195</v>
      </c>
      <c r="AN232" s="15"/>
      <c r="AO232" s="13"/>
      <c r="AP232" s="13" t="s">
        <v>196</v>
      </c>
      <c r="AQ232" s="16" t="n">
        <f aca="false">IFERROR(IF(AND(INDEX(Mob_Demob!$D$6:$D$14,MATCH(AM232,Mob_Demob!$A$6:$A$14,0))="",INDEX(Mob_Demob!$G$6:$G$14,MATCH(AM232,Mob_Demob!$A$6:$A$14,0))=""),"",ROUND(MAX(N(INDEX(Mob_Demob!$G$6:$G$14,MATCH(AM232,Mob_Demob!$A$6:$A$14,0))),N(INDEX(Mob_Demob!$D$6:$D$14,MATCH(AM232,Mob_Demob!$A$6:$A$14,0)))*Settings!$B$6)+IF(AP232="Y",N(INDEX(Mob_Demob!$I$6:$I$14,MATCH(AM232,Mob_Demob!$A$6:$A$14,0)))*Settings!$B$19,0)+N(INDEX(Mob_Demob!$L$6:$L$14,MATCH(AM232,Mob_Demob!$A$6:$A$14,0)))*N(INDEX(Mob_Demob!$K$6:$K$14,MATCH(AM232,Mob_Demob!$A$6:$A$14,0)))*Settings!$B$6+N(INDEX(Mob_Demob!$M$6:$M$14,MATCH(AM232,Mob_Demob!$A$6:$A$14,0)))*N(INDEX(Mob_Demob!$N$6:$N$14,MATCH(AM232,Mob_Demob!$A$6:$A$14,0))),0)),"")</f>
        <v>500</v>
      </c>
      <c r="AR232" s="16" t="n">
        <f aca="false">IF(AQ232="","",ROUND(AQ232*Settings!$B$18,0))</f>
        <v>500</v>
      </c>
      <c r="AS232" s="13" t="s">
        <v>1757</v>
      </c>
      <c r="AT232" s="14" t="s">
        <v>1758</v>
      </c>
      <c r="AU232" s="14" t="s">
        <v>1054</v>
      </c>
    </row>
    <row r="233" customFormat="false" ht="64.15" hidden="false" customHeight="false" outlineLevel="0" collapsed="false">
      <c r="A233" s="11" t="s">
        <v>1761</v>
      </c>
      <c r="B233" s="11" t="s">
        <v>1660</v>
      </c>
      <c r="C233" s="11" t="s">
        <v>1742</v>
      </c>
      <c r="D233" s="11" t="s">
        <v>1752</v>
      </c>
      <c r="E233" s="12" t="s">
        <v>1762</v>
      </c>
      <c r="F233" s="13" t="s">
        <v>1754</v>
      </c>
      <c r="G233" s="13" t="n">
        <v>97.5</v>
      </c>
      <c r="H233" s="13" t="s">
        <v>1196</v>
      </c>
      <c r="I233" s="14"/>
      <c r="J233" s="15"/>
      <c r="K233" s="13"/>
      <c r="L233" s="13"/>
      <c r="M233" s="13"/>
      <c r="N233" s="13" t="s">
        <v>1163</v>
      </c>
      <c r="O233" s="13" t="s">
        <v>1728</v>
      </c>
      <c r="P233" s="13" t="s">
        <v>186</v>
      </c>
      <c r="Q233" s="20" t="n">
        <v>425</v>
      </c>
      <c r="R233" s="20" t="n">
        <v>1495</v>
      </c>
      <c r="S233" s="20" t="n">
        <v>3750</v>
      </c>
      <c r="T233" s="16"/>
      <c r="U233" s="16"/>
      <c r="V233" s="13" t="s">
        <v>187</v>
      </c>
      <c r="W233" s="17"/>
      <c r="X233" s="13"/>
      <c r="Y233" s="13" t="s">
        <v>1755</v>
      </c>
      <c r="Z233" s="13" t="s">
        <v>1756</v>
      </c>
      <c r="AA233" s="13" t="s">
        <v>192</v>
      </c>
      <c r="AB233" s="13"/>
      <c r="AC233" s="17"/>
      <c r="AD233" s="13"/>
      <c r="AE233" s="19"/>
      <c r="AF233" s="19"/>
      <c r="AG233" s="19"/>
      <c r="AH233" s="13"/>
      <c r="AI233" s="17"/>
      <c r="AJ233" s="13" t="s">
        <v>188</v>
      </c>
      <c r="AK233" s="13" t="s">
        <v>188</v>
      </c>
      <c r="AL233" s="14" t="s">
        <v>194</v>
      </c>
      <c r="AM233" s="13" t="s">
        <v>195</v>
      </c>
      <c r="AN233" s="15"/>
      <c r="AO233" s="13"/>
      <c r="AP233" s="13" t="s">
        <v>196</v>
      </c>
      <c r="AQ233" s="16" t="n">
        <f aca="false">IFERROR(IF(AND(INDEX(Mob_Demob!$D$6:$D$14,MATCH(AM233,Mob_Demob!$A$6:$A$14,0))="",INDEX(Mob_Demob!$G$6:$G$14,MATCH(AM233,Mob_Demob!$A$6:$A$14,0))=""),"",ROUND(MAX(N(INDEX(Mob_Demob!$G$6:$G$14,MATCH(AM233,Mob_Demob!$A$6:$A$14,0))),N(INDEX(Mob_Demob!$D$6:$D$14,MATCH(AM233,Mob_Demob!$A$6:$A$14,0)))*Settings!$B$6)+IF(AP233="Y",N(INDEX(Mob_Demob!$I$6:$I$14,MATCH(AM233,Mob_Demob!$A$6:$A$14,0)))*Settings!$B$19,0)+N(INDEX(Mob_Demob!$L$6:$L$14,MATCH(AM233,Mob_Demob!$A$6:$A$14,0)))*N(INDEX(Mob_Demob!$K$6:$K$14,MATCH(AM233,Mob_Demob!$A$6:$A$14,0)))*Settings!$B$6+N(INDEX(Mob_Demob!$M$6:$M$14,MATCH(AM233,Mob_Demob!$A$6:$A$14,0)))*N(INDEX(Mob_Demob!$N$6:$N$14,MATCH(AM233,Mob_Demob!$A$6:$A$14,0))),0)),"")</f>
        <v>500</v>
      </c>
      <c r="AR233" s="16" t="n">
        <f aca="false">IF(AQ233="","",ROUND(AQ233*Settings!$B$18,0))</f>
        <v>500</v>
      </c>
      <c r="AS233" s="13" t="s">
        <v>1757</v>
      </c>
      <c r="AT233" s="14" t="s">
        <v>1758</v>
      </c>
      <c r="AU233" s="14" t="s">
        <v>1054</v>
      </c>
    </row>
    <row r="234" customFormat="false" ht="64.15" hidden="false" customHeight="false" outlineLevel="0" collapsed="false">
      <c r="A234" s="11" t="s">
        <v>1763</v>
      </c>
      <c r="B234" s="11" t="s">
        <v>1660</v>
      </c>
      <c r="C234" s="11" t="s">
        <v>1764</v>
      </c>
      <c r="D234" s="11" t="s">
        <v>1765</v>
      </c>
      <c r="E234" s="12" t="s">
        <v>1765</v>
      </c>
      <c r="F234" s="13" t="s">
        <v>141</v>
      </c>
      <c r="G234" s="13" t="s">
        <v>1766</v>
      </c>
      <c r="H234" s="13"/>
      <c r="I234" s="14"/>
      <c r="J234" s="15"/>
      <c r="K234" s="13"/>
      <c r="L234" s="13"/>
      <c r="M234" s="13"/>
      <c r="N234" s="13" t="s">
        <v>1163</v>
      </c>
      <c r="O234" s="13" t="s">
        <v>1728</v>
      </c>
      <c r="P234" s="13" t="s">
        <v>186</v>
      </c>
      <c r="Q234" s="20" t="n">
        <v>100</v>
      </c>
      <c r="R234" s="20" t="n">
        <v>350</v>
      </c>
      <c r="S234" s="20" t="n">
        <v>875</v>
      </c>
      <c r="T234" s="16"/>
      <c r="U234" s="16"/>
      <c r="V234" s="13" t="s">
        <v>187</v>
      </c>
      <c r="W234" s="17"/>
      <c r="X234" s="13"/>
      <c r="Y234" s="13" t="s">
        <v>1755</v>
      </c>
      <c r="Z234" s="13" t="s">
        <v>1756</v>
      </c>
      <c r="AA234" s="13" t="s">
        <v>192</v>
      </c>
      <c r="AB234" s="13"/>
      <c r="AC234" s="17"/>
      <c r="AD234" s="13"/>
      <c r="AE234" s="19"/>
      <c r="AF234" s="19"/>
      <c r="AG234" s="19"/>
      <c r="AH234" s="13"/>
      <c r="AI234" s="17"/>
      <c r="AJ234" s="13" t="s">
        <v>188</v>
      </c>
      <c r="AK234" s="13" t="s">
        <v>188</v>
      </c>
      <c r="AL234" s="14" t="s">
        <v>194</v>
      </c>
      <c r="AM234" s="13" t="s">
        <v>1147</v>
      </c>
      <c r="AN234" s="15"/>
      <c r="AO234" s="13"/>
      <c r="AP234" s="13" t="s">
        <v>196</v>
      </c>
      <c r="AQ234" s="16" t="n">
        <f aca="false">IFERROR(IF(AND(INDEX(Mob_Demob!$D$6:$D$14,MATCH(AM234,Mob_Demob!$A$6:$A$14,0))="",INDEX(Mob_Demob!$G$6:$G$14,MATCH(AM234,Mob_Demob!$A$6:$A$14,0))=""),"",ROUND(MAX(N(INDEX(Mob_Demob!$G$6:$G$14,MATCH(AM234,Mob_Demob!$A$6:$A$14,0))),N(INDEX(Mob_Demob!$D$6:$D$14,MATCH(AM234,Mob_Demob!$A$6:$A$14,0)))*Settings!$B$6)+IF(AP234="Y",N(INDEX(Mob_Demob!$I$6:$I$14,MATCH(AM234,Mob_Demob!$A$6:$A$14,0)))*Settings!$B$19,0)+N(INDEX(Mob_Demob!$L$6:$L$14,MATCH(AM234,Mob_Demob!$A$6:$A$14,0)))*N(INDEX(Mob_Demob!$K$6:$K$14,MATCH(AM234,Mob_Demob!$A$6:$A$14,0)))*Settings!$B$6+N(INDEX(Mob_Demob!$M$6:$M$14,MATCH(AM234,Mob_Demob!$A$6:$A$14,0)))*N(INDEX(Mob_Demob!$N$6:$N$14,MATCH(AM234,Mob_Demob!$A$6:$A$14,0))),0)),"")</f>
        <v>200</v>
      </c>
      <c r="AR234" s="16" t="n">
        <f aca="false">IF(AQ234="","",ROUND(AQ234*Settings!$B$18,0))</f>
        <v>200</v>
      </c>
      <c r="AS234" s="13" t="s">
        <v>1730</v>
      </c>
      <c r="AT234" s="14" t="s">
        <v>1758</v>
      </c>
      <c r="AU234" s="14" t="s">
        <v>1054</v>
      </c>
    </row>
    <row r="235" customFormat="false" ht="64.15" hidden="false" customHeight="false" outlineLevel="0" collapsed="false">
      <c r="A235" s="11" t="s">
        <v>1767</v>
      </c>
      <c r="B235" s="11" t="s">
        <v>1660</v>
      </c>
      <c r="C235" s="11" t="s">
        <v>1764</v>
      </c>
      <c r="D235" s="11" t="s">
        <v>1768</v>
      </c>
      <c r="E235" s="12" t="s">
        <v>1768</v>
      </c>
      <c r="F235" s="13" t="s">
        <v>141</v>
      </c>
      <c r="G235" s="13" t="s">
        <v>1769</v>
      </c>
      <c r="H235" s="13"/>
      <c r="I235" s="14"/>
      <c r="J235" s="15"/>
      <c r="K235" s="13"/>
      <c r="L235" s="13"/>
      <c r="M235" s="13"/>
      <c r="N235" s="13" t="s">
        <v>1163</v>
      </c>
      <c r="O235" s="13" t="s">
        <v>1728</v>
      </c>
      <c r="P235" s="13" t="s">
        <v>186</v>
      </c>
      <c r="Q235" s="20" t="n">
        <v>75</v>
      </c>
      <c r="R235" s="20" t="n">
        <v>250</v>
      </c>
      <c r="S235" s="20" t="n">
        <v>600</v>
      </c>
      <c r="T235" s="16"/>
      <c r="U235" s="16"/>
      <c r="V235" s="13" t="s">
        <v>187</v>
      </c>
      <c r="W235" s="17"/>
      <c r="X235" s="13"/>
      <c r="Y235" s="13" t="s">
        <v>1755</v>
      </c>
      <c r="Z235" s="13" t="s">
        <v>1756</v>
      </c>
      <c r="AA235" s="13" t="s">
        <v>192</v>
      </c>
      <c r="AB235" s="13"/>
      <c r="AC235" s="17"/>
      <c r="AD235" s="13"/>
      <c r="AE235" s="19"/>
      <c r="AF235" s="19"/>
      <c r="AG235" s="19"/>
      <c r="AH235" s="13"/>
      <c r="AI235" s="17"/>
      <c r="AJ235" s="13" t="s">
        <v>188</v>
      </c>
      <c r="AK235" s="13" t="s">
        <v>188</v>
      </c>
      <c r="AL235" s="14" t="s">
        <v>194</v>
      </c>
      <c r="AM235" s="13" t="s">
        <v>1147</v>
      </c>
      <c r="AN235" s="15"/>
      <c r="AO235" s="13"/>
      <c r="AP235" s="13" t="s">
        <v>196</v>
      </c>
      <c r="AQ235" s="16" t="n">
        <f aca="false">IFERROR(IF(AND(INDEX(Mob_Demob!$D$6:$D$14,MATCH(AM235,Mob_Demob!$A$6:$A$14,0))="",INDEX(Mob_Demob!$G$6:$G$14,MATCH(AM235,Mob_Demob!$A$6:$A$14,0))=""),"",ROUND(MAX(N(INDEX(Mob_Demob!$G$6:$G$14,MATCH(AM235,Mob_Demob!$A$6:$A$14,0))),N(INDEX(Mob_Demob!$D$6:$D$14,MATCH(AM235,Mob_Demob!$A$6:$A$14,0)))*Settings!$B$6)+IF(AP235="Y",N(INDEX(Mob_Demob!$I$6:$I$14,MATCH(AM235,Mob_Demob!$A$6:$A$14,0)))*Settings!$B$19,0)+N(INDEX(Mob_Demob!$L$6:$L$14,MATCH(AM235,Mob_Demob!$A$6:$A$14,0)))*N(INDEX(Mob_Demob!$K$6:$K$14,MATCH(AM235,Mob_Demob!$A$6:$A$14,0)))*Settings!$B$6+N(INDEX(Mob_Demob!$M$6:$M$14,MATCH(AM235,Mob_Demob!$A$6:$A$14,0)))*N(INDEX(Mob_Demob!$N$6:$N$14,MATCH(AM235,Mob_Demob!$A$6:$A$14,0))),0)),"")</f>
        <v>200</v>
      </c>
      <c r="AR235" s="16" t="n">
        <f aca="false">IF(AQ235="","",ROUND(AQ235*Settings!$B$18,0))</f>
        <v>200</v>
      </c>
      <c r="AS235" s="13" t="s">
        <v>1730</v>
      </c>
      <c r="AT235" s="14" t="s">
        <v>1758</v>
      </c>
      <c r="AU235" s="14" t="s">
        <v>1054</v>
      </c>
    </row>
    <row r="236" customFormat="false" ht="64.15" hidden="false" customHeight="false" outlineLevel="0" collapsed="false">
      <c r="A236" s="11" t="s">
        <v>1770</v>
      </c>
      <c r="B236" s="11" t="s">
        <v>1660</v>
      </c>
      <c r="C236" s="11" t="s">
        <v>1764</v>
      </c>
      <c r="D236" s="11" t="s">
        <v>1771</v>
      </c>
      <c r="E236" s="12" t="s">
        <v>1772</v>
      </c>
      <c r="F236" s="13" t="s">
        <v>1773</v>
      </c>
      <c r="G236" s="13" t="n">
        <v>10</v>
      </c>
      <c r="H236" s="13" t="s">
        <v>462</v>
      </c>
      <c r="I236" s="14"/>
      <c r="J236" s="15"/>
      <c r="K236" s="13"/>
      <c r="L236" s="13"/>
      <c r="M236" s="13"/>
      <c r="N236" s="13" t="s">
        <v>1163</v>
      </c>
      <c r="O236" s="13" t="s">
        <v>1728</v>
      </c>
      <c r="P236" s="13" t="s">
        <v>186</v>
      </c>
      <c r="Q236" s="20" t="n">
        <v>128</v>
      </c>
      <c r="R236" s="20" t="n">
        <v>371</v>
      </c>
      <c r="S236" s="20" t="n">
        <v>1076</v>
      </c>
      <c r="T236" s="16"/>
      <c r="U236" s="16"/>
      <c r="V236" s="13" t="s">
        <v>187</v>
      </c>
      <c r="W236" s="17"/>
      <c r="X236" s="13"/>
      <c r="Y236" s="13" t="s">
        <v>259</v>
      </c>
      <c r="Z236" s="13" t="s">
        <v>260</v>
      </c>
      <c r="AA236" s="13" t="s">
        <v>192</v>
      </c>
      <c r="AB236" s="13"/>
      <c r="AC236" s="17"/>
      <c r="AD236" s="13"/>
      <c r="AE236" s="19"/>
      <c r="AF236" s="19"/>
      <c r="AG236" s="19"/>
      <c r="AH236" s="13"/>
      <c r="AI236" s="17"/>
      <c r="AJ236" s="13" t="s">
        <v>188</v>
      </c>
      <c r="AK236" s="13" t="s">
        <v>188</v>
      </c>
      <c r="AL236" s="14" t="s">
        <v>194</v>
      </c>
      <c r="AM236" s="13" t="s">
        <v>1147</v>
      </c>
      <c r="AN236" s="15"/>
      <c r="AO236" s="13"/>
      <c r="AP236" s="13" t="s">
        <v>196</v>
      </c>
      <c r="AQ236" s="16" t="n">
        <f aca="false">IFERROR(IF(AND(INDEX(Mob_Demob!$D$6:$D$14,MATCH(AM236,Mob_Demob!$A$6:$A$14,0))="",INDEX(Mob_Demob!$G$6:$G$14,MATCH(AM236,Mob_Demob!$A$6:$A$14,0))=""),"",ROUND(MAX(N(INDEX(Mob_Demob!$G$6:$G$14,MATCH(AM236,Mob_Demob!$A$6:$A$14,0))),N(INDEX(Mob_Demob!$D$6:$D$14,MATCH(AM236,Mob_Demob!$A$6:$A$14,0)))*Settings!$B$6)+IF(AP236="Y",N(INDEX(Mob_Demob!$I$6:$I$14,MATCH(AM236,Mob_Demob!$A$6:$A$14,0)))*Settings!$B$19,0)+N(INDEX(Mob_Demob!$L$6:$L$14,MATCH(AM236,Mob_Demob!$A$6:$A$14,0)))*N(INDEX(Mob_Demob!$K$6:$K$14,MATCH(AM236,Mob_Demob!$A$6:$A$14,0)))*Settings!$B$6+N(INDEX(Mob_Demob!$M$6:$M$14,MATCH(AM236,Mob_Demob!$A$6:$A$14,0)))*N(INDEX(Mob_Demob!$N$6:$N$14,MATCH(AM236,Mob_Demob!$A$6:$A$14,0))),0)),"")</f>
        <v>200</v>
      </c>
      <c r="AR236" s="16" t="n">
        <f aca="false">IF(AQ236="","",ROUND(AQ236*Settings!$B$18,0))</f>
        <v>200</v>
      </c>
      <c r="AS236" s="13" t="s">
        <v>1730</v>
      </c>
      <c r="AT236" s="14" t="s">
        <v>585</v>
      </c>
      <c r="AU236" s="14" t="s">
        <v>1054</v>
      </c>
    </row>
    <row r="237" customFormat="false" ht="64.15" hidden="false" customHeight="false" outlineLevel="0" collapsed="false">
      <c r="A237" s="11" t="s">
        <v>1774</v>
      </c>
      <c r="B237" s="11" t="s">
        <v>1660</v>
      </c>
      <c r="C237" s="11" t="s">
        <v>1764</v>
      </c>
      <c r="D237" s="11" t="s">
        <v>1775</v>
      </c>
      <c r="E237" s="12" t="s">
        <v>1776</v>
      </c>
      <c r="F237" s="13" t="s">
        <v>1773</v>
      </c>
      <c r="G237" s="13" t="n">
        <v>20</v>
      </c>
      <c r="H237" s="13" t="s">
        <v>462</v>
      </c>
      <c r="I237" s="14"/>
      <c r="J237" s="15"/>
      <c r="K237" s="13"/>
      <c r="L237" s="13"/>
      <c r="M237" s="13"/>
      <c r="N237" s="13" t="s">
        <v>1163</v>
      </c>
      <c r="O237" s="13" t="s">
        <v>1728</v>
      </c>
      <c r="P237" s="13" t="s">
        <v>1777</v>
      </c>
      <c r="Q237" s="16"/>
      <c r="R237" s="20" t="n">
        <v>520</v>
      </c>
      <c r="S237" s="20" t="n">
        <v>1260</v>
      </c>
      <c r="T237" s="16"/>
      <c r="U237" s="16"/>
      <c r="V237" s="13" t="s">
        <v>187</v>
      </c>
      <c r="W237" s="17"/>
      <c r="X237" s="13"/>
      <c r="Y237" s="13" t="s">
        <v>1755</v>
      </c>
      <c r="Z237" s="13" t="s">
        <v>1756</v>
      </c>
      <c r="AA237" s="13" t="s">
        <v>192</v>
      </c>
      <c r="AB237" s="13"/>
      <c r="AC237" s="17"/>
      <c r="AD237" s="13"/>
      <c r="AE237" s="19"/>
      <c r="AF237" s="19"/>
      <c r="AG237" s="19"/>
      <c r="AH237" s="13"/>
      <c r="AI237" s="17"/>
      <c r="AJ237" s="13" t="s">
        <v>188</v>
      </c>
      <c r="AK237" s="13" t="s">
        <v>188</v>
      </c>
      <c r="AL237" s="14" t="s">
        <v>194</v>
      </c>
      <c r="AM237" s="13" t="s">
        <v>1147</v>
      </c>
      <c r="AN237" s="15"/>
      <c r="AO237" s="13"/>
      <c r="AP237" s="13" t="s">
        <v>196</v>
      </c>
      <c r="AQ237" s="16" t="n">
        <f aca="false">IFERROR(IF(AND(INDEX(Mob_Demob!$D$6:$D$14,MATCH(AM237,Mob_Demob!$A$6:$A$14,0))="",INDEX(Mob_Demob!$G$6:$G$14,MATCH(AM237,Mob_Demob!$A$6:$A$14,0))=""),"",ROUND(MAX(N(INDEX(Mob_Demob!$G$6:$G$14,MATCH(AM237,Mob_Demob!$A$6:$A$14,0))),N(INDEX(Mob_Demob!$D$6:$D$14,MATCH(AM237,Mob_Demob!$A$6:$A$14,0)))*Settings!$B$6)+IF(AP237="Y",N(INDEX(Mob_Demob!$I$6:$I$14,MATCH(AM237,Mob_Demob!$A$6:$A$14,0)))*Settings!$B$19,0)+N(INDEX(Mob_Demob!$L$6:$L$14,MATCH(AM237,Mob_Demob!$A$6:$A$14,0)))*N(INDEX(Mob_Demob!$K$6:$K$14,MATCH(AM237,Mob_Demob!$A$6:$A$14,0)))*Settings!$B$6+N(INDEX(Mob_Demob!$M$6:$M$14,MATCH(AM237,Mob_Demob!$A$6:$A$14,0)))*N(INDEX(Mob_Demob!$N$6:$N$14,MATCH(AM237,Mob_Demob!$A$6:$A$14,0))),0)),"")</f>
        <v>200</v>
      </c>
      <c r="AR237" s="16" t="n">
        <f aca="false">IF(AQ237="","",ROUND(AQ237*Settings!$B$18,0))</f>
        <v>200</v>
      </c>
      <c r="AS237" s="13" t="s">
        <v>1730</v>
      </c>
      <c r="AT237" s="14" t="s">
        <v>1778</v>
      </c>
      <c r="AU237" s="14" t="s">
        <v>1054</v>
      </c>
    </row>
    <row r="238" customFormat="false" ht="64.15" hidden="false" customHeight="false" outlineLevel="0" collapsed="false">
      <c r="A238" s="11" t="s">
        <v>1779</v>
      </c>
      <c r="B238" s="11" t="s">
        <v>1660</v>
      </c>
      <c r="C238" s="11" t="s">
        <v>1780</v>
      </c>
      <c r="D238" s="11" t="s">
        <v>1781</v>
      </c>
      <c r="E238" s="12" t="s">
        <v>1780</v>
      </c>
      <c r="F238" s="13" t="s">
        <v>141</v>
      </c>
      <c r="G238" s="13" t="s">
        <v>1782</v>
      </c>
      <c r="H238" s="13"/>
      <c r="I238" s="14" t="s">
        <v>1783</v>
      </c>
      <c r="J238" s="15"/>
      <c r="K238" s="13"/>
      <c r="L238" s="13"/>
      <c r="M238" s="13"/>
      <c r="N238" s="13" t="s">
        <v>184</v>
      </c>
      <c r="O238" s="13" t="s">
        <v>1728</v>
      </c>
      <c r="P238" s="13" t="s">
        <v>186</v>
      </c>
      <c r="Q238" s="16"/>
      <c r="R238" s="16"/>
      <c r="S238" s="16"/>
      <c r="T238" s="16"/>
      <c r="U238" s="16"/>
      <c r="V238" s="13" t="s">
        <v>187</v>
      </c>
      <c r="W238" s="17"/>
      <c r="X238" s="13"/>
      <c r="Y238" s="13"/>
      <c r="Z238" s="13"/>
      <c r="AA238" s="13" t="s">
        <v>188</v>
      </c>
      <c r="AB238" s="13"/>
      <c r="AC238" s="17"/>
      <c r="AD238" s="13"/>
      <c r="AE238" s="19"/>
      <c r="AF238" s="19"/>
      <c r="AG238" s="19"/>
      <c r="AH238" s="13"/>
      <c r="AI238" s="17"/>
      <c r="AJ238" s="13" t="s">
        <v>188</v>
      </c>
      <c r="AK238" s="13" t="s">
        <v>188</v>
      </c>
      <c r="AL238" s="14" t="s">
        <v>194</v>
      </c>
      <c r="AM238" s="13" t="s">
        <v>216</v>
      </c>
      <c r="AN238" s="15"/>
      <c r="AO238" s="13"/>
      <c r="AP238" s="13" t="s">
        <v>241</v>
      </c>
      <c r="AQ238" s="16" t="n">
        <f aca="false">IFERROR(IF(AND(INDEX(Mob_Demob!$D$6:$D$14,MATCH(AM238,Mob_Demob!$A$6:$A$14,0))="",INDEX(Mob_Demob!$G$6:$G$14,MATCH(AM238,Mob_Demob!$A$6:$A$14,0))=""),"",ROUND(MAX(N(INDEX(Mob_Demob!$G$6:$G$14,MATCH(AM238,Mob_Demob!$A$6:$A$14,0))),N(INDEX(Mob_Demob!$D$6:$D$14,MATCH(AM238,Mob_Demob!$A$6:$A$14,0)))*Settings!$B$6)+IF(AP238="Y",N(INDEX(Mob_Demob!$I$6:$I$14,MATCH(AM238,Mob_Demob!$A$6:$A$14,0)))*Settings!$B$19,0)+N(INDEX(Mob_Demob!$L$6:$L$14,MATCH(AM238,Mob_Demob!$A$6:$A$14,0)))*N(INDEX(Mob_Demob!$K$6:$K$14,MATCH(AM238,Mob_Demob!$A$6:$A$14,0)))*Settings!$B$6+N(INDEX(Mob_Demob!$M$6:$M$14,MATCH(AM238,Mob_Demob!$A$6:$A$14,0)))*N(INDEX(Mob_Demob!$N$6:$N$14,MATCH(AM238,Mob_Demob!$A$6:$A$14,0))),0)),"")</f>
        <v>550</v>
      </c>
      <c r="AR238" s="16" t="n">
        <f aca="false">IF(AQ238="","",ROUND(AQ238*Settings!$B$18,0))</f>
        <v>550</v>
      </c>
      <c r="AS238" s="13" t="s">
        <v>1784</v>
      </c>
      <c r="AT238" s="14" t="s">
        <v>1785</v>
      </c>
      <c r="AU238" s="14" t="s">
        <v>1712</v>
      </c>
    </row>
    <row r="239" customFormat="false" ht="64.15" hidden="false" customHeight="false" outlineLevel="0" collapsed="false">
      <c r="A239" s="11" t="s">
        <v>1786</v>
      </c>
      <c r="B239" s="11" t="s">
        <v>1660</v>
      </c>
      <c r="C239" s="11" t="s">
        <v>1787</v>
      </c>
      <c r="D239" s="11" t="s">
        <v>1788</v>
      </c>
      <c r="E239" s="12" t="s">
        <v>1789</v>
      </c>
      <c r="F239" s="13" t="s">
        <v>1790</v>
      </c>
      <c r="G239" s="13" t="n">
        <v>14</v>
      </c>
      <c r="H239" s="13" t="s">
        <v>1196</v>
      </c>
      <c r="I239" s="14" t="s">
        <v>1791</v>
      </c>
      <c r="J239" s="15"/>
      <c r="K239" s="13"/>
      <c r="L239" s="13"/>
      <c r="M239" s="13"/>
      <c r="N239" s="13" t="s">
        <v>1163</v>
      </c>
      <c r="O239" s="13" t="s">
        <v>1164</v>
      </c>
      <c r="P239" s="13" t="s">
        <v>186</v>
      </c>
      <c r="Q239" s="20" t="n">
        <v>109</v>
      </c>
      <c r="R239" s="20" t="n">
        <v>343</v>
      </c>
      <c r="S239" s="20" t="n">
        <v>945</v>
      </c>
      <c r="T239" s="20" t="n">
        <v>660</v>
      </c>
      <c r="U239" s="20" t="n">
        <v>1229</v>
      </c>
      <c r="V239" s="13" t="s">
        <v>187</v>
      </c>
      <c r="W239" s="17"/>
      <c r="X239" s="13"/>
      <c r="Y239" s="13" t="s">
        <v>1747</v>
      </c>
      <c r="Z239" s="13" t="s">
        <v>212</v>
      </c>
      <c r="AA239" s="13" t="s">
        <v>213</v>
      </c>
      <c r="AB239" s="13" t="s">
        <v>1792</v>
      </c>
      <c r="AC239" s="17"/>
      <c r="AD239" s="13"/>
      <c r="AE239" s="19"/>
      <c r="AF239" s="19"/>
      <c r="AG239" s="19"/>
      <c r="AH239" s="13"/>
      <c r="AI239" s="17"/>
      <c r="AJ239" s="13" t="s">
        <v>188</v>
      </c>
      <c r="AK239" s="13" t="s">
        <v>188</v>
      </c>
      <c r="AL239" s="14" t="s">
        <v>194</v>
      </c>
      <c r="AM239" s="13" t="s">
        <v>1147</v>
      </c>
      <c r="AN239" s="15"/>
      <c r="AO239" s="13"/>
      <c r="AP239" s="13" t="s">
        <v>196</v>
      </c>
      <c r="AQ239" s="16" t="n">
        <f aca="false">IFERROR(IF(AND(INDEX(Mob_Demob!$D$6:$D$14,MATCH(AM239,Mob_Demob!$A$6:$A$14,0))="",INDEX(Mob_Demob!$G$6:$G$14,MATCH(AM239,Mob_Demob!$A$6:$A$14,0))=""),"",ROUND(MAX(N(INDEX(Mob_Demob!$G$6:$G$14,MATCH(AM239,Mob_Demob!$A$6:$A$14,0))),N(INDEX(Mob_Demob!$D$6:$D$14,MATCH(AM239,Mob_Demob!$A$6:$A$14,0)))*Settings!$B$6)+IF(AP239="Y",N(INDEX(Mob_Demob!$I$6:$I$14,MATCH(AM239,Mob_Demob!$A$6:$A$14,0)))*Settings!$B$19,0)+N(INDEX(Mob_Demob!$L$6:$L$14,MATCH(AM239,Mob_Demob!$A$6:$A$14,0)))*N(INDEX(Mob_Demob!$K$6:$K$14,MATCH(AM239,Mob_Demob!$A$6:$A$14,0)))*Settings!$B$6+N(INDEX(Mob_Demob!$M$6:$M$14,MATCH(AM239,Mob_Demob!$A$6:$A$14,0)))*N(INDEX(Mob_Demob!$N$6:$N$14,MATCH(AM239,Mob_Demob!$A$6:$A$14,0))),0)),"")</f>
        <v>200</v>
      </c>
      <c r="AR239" s="16" t="n">
        <f aca="false">IF(AQ239="","",ROUND(AQ239*Settings!$B$18,0))</f>
        <v>200</v>
      </c>
      <c r="AS239" s="13" t="s">
        <v>1793</v>
      </c>
      <c r="AT239" s="14" t="s">
        <v>1794</v>
      </c>
      <c r="AU239" s="14" t="s">
        <v>1574</v>
      </c>
    </row>
    <row r="240" customFormat="false" ht="64.15" hidden="false" customHeight="false" outlineLevel="0" collapsed="false">
      <c r="A240" s="11" t="s">
        <v>1795</v>
      </c>
      <c r="B240" s="11" t="s">
        <v>1660</v>
      </c>
      <c r="C240" s="11" t="s">
        <v>1787</v>
      </c>
      <c r="D240" s="11" t="s">
        <v>1796</v>
      </c>
      <c r="E240" s="12" t="s">
        <v>1797</v>
      </c>
      <c r="F240" s="13" t="s">
        <v>1790</v>
      </c>
      <c r="G240" s="13" t="n">
        <v>26</v>
      </c>
      <c r="H240" s="13" t="s">
        <v>1196</v>
      </c>
      <c r="I240" s="14" t="s">
        <v>1798</v>
      </c>
      <c r="J240" s="15"/>
      <c r="K240" s="13" t="n">
        <v>48</v>
      </c>
      <c r="L240" s="13"/>
      <c r="M240" s="13"/>
      <c r="N240" s="13" t="s">
        <v>184</v>
      </c>
      <c r="O240" s="13" t="s">
        <v>1164</v>
      </c>
      <c r="P240" s="13" t="s">
        <v>186</v>
      </c>
      <c r="Q240" s="20" t="n">
        <v>125</v>
      </c>
      <c r="R240" s="20" t="n">
        <v>440</v>
      </c>
      <c r="S240" s="20" t="n">
        <v>1100</v>
      </c>
      <c r="T240" s="16"/>
      <c r="U240" s="16"/>
      <c r="V240" s="13" t="s">
        <v>187</v>
      </c>
      <c r="W240" s="17"/>
      <c r="X240" s="13"/>
      <c r="Y240" s="13" t="s">
        <v>1755</v>
      </c>
      <c r="Z240" s="13" t="s">
        <v>1756</v>
      </c>
      <c r="AA240" s="13" t="s">
        <v>192</v>
      </c>
      <c r="AB240" s="13" t="s">
        <v>1799</v>
      </c>
      <c r="AC240" s="17"/>
      <c r="AD240" s="13"/>
      <c r="AE240" s="19" t="n">
        <f aca="false">ROUND(K240*Settings!$B$11*Settings!$B$13,2)</f>
        <v>0.82</v>
      </c>
      <c r="AF240" s="19" t="n">
        <f aca="false">ROUND(K240*Settings!$B$11*Settings!$B$14,2)</f>
        <v>1.07</v>
      </c>
      <c r="AG240" s="19" t="n">
        <f aca="false">ROUND(K240*Settings!$B$11*Settings!$B$15,2)</f>
        <v>1.4</v>
      </c>
      <c r="AH240" s="13" t="s">
        <v>191</v>
      </c>
      <c r="AI240" s="17"/>
      <c r="AJ240" s="13" t="s">
        <v>188</v>
      </c>
      <c r="AK240" s="13" t="s">
        <v>188</v>
      </c>
      <c r="AL240" s="14" t="s">
        <v>194</v>
      </c>
      <c r="AM240" s="13" t="s">
        <v>1147</v>
      </c>
      <c r="AN240" s="15"/>
      <c r="AO240" s="13"/>
      <c r="AP240" s="13" t="s">
        <v>196</v>
      </c>
      <c r="AQ240" s="16" t="n">
        <f aca="false">IFERROR(IF(AND(INDEX(Mob_Demob!$D$6:$D$14,MATCH(AM240,Mob_Demob!$A$6:$A$14,0))="",INDEX(Mob_Demob!$G$6:$G$14,MATCH(AM240,Mob_Demob!$A$6:$A$14,0))=""),"",ROUND(MAX(N(INDEX(Mob_Demob!$G$6:$G$14,MATCH(AM240,Mob_Demob!$A$6:$A$14,0))),N(INDEX(Mob_Demob!$D$6:$D$14,MATCH(AM240,Mob_Demob!$A$6:$A$14,0)))*Settings!$B$6)+IF(AP240="Y",N(INDEX(Mob_Demob!$I$6:$I$14,MATCH(AM240,Mob_Demob!$A$6:$A$14,0)))*Settings!$B$19,0)+N(INDEX(Mob_Demob!$L$6:$L$14,MATCH(AM240,Mob_Demob!$A$6:$A$14,0)))*N(INDEX(Mob_Demob!$K$6:$K$14,MATCH(AM240,Mob_Demob!$A$6:$A$14,0)))*Settings!$B$6+N(INDEX(Mob_Demob!$M$6:$M$14,MATCH(AM240,Mob_Demob!$A$6:$A$14,0)))*N(INDEX(Mob_Demob!$N$6:$N$14,MATCH(AM240,Mob_Demob!$A$6:$A$14,0))),0)),"")</f>
        <v>200</v>
      </c>
      <c r="AR240" s="16" t="n">
        <f aca="false">IF(AQ240="","",ROUND(AQ240*Settings!$B$18,0))</f>
        <v>200</v>
      </c>
      <c r="AS240" s="13" t="s">
        <v>1793</v>
      </c>
      <c r="AT240" s="14" t="s">
        <v>1800</v>
      </c>
      <c r="AU240" s="14" t="s">
        <v>1801</v>
      </c>
    </row>
    <row r="241" customFormat="false" ht="64.15" hidden="false" customHeight="false" outlineLevel="0" collapsed="false">
      <c r="A241" s="11" t="s">
        <v>1802</v>
      </c>
      <c r="B241" s="11" t="s">
        <v>1660</v>
      </c>
      <c r="C241" s="11" t="s">
        <v>1787</v>
      </c>
      <c r="D241" s="11" t="s">
        <v>1796</v>
      </c>
      <c r="E241" s="12" t="s">
        <v>1803</v>
      </c>
      <c r="F241" s="13" t="s">
        <v>1790</v>
      </c>
      <c r="G241" s="13" t="n">
        <v>36</v>
      </c>
      <c r="H241" s="13" t="s">
        <v>1196</v>
      </c>
      <c r="I241" s="14"/>
      <c r="J241" s="15"/>
      <c r="K241" s="13" t="n">
        <v>70</v>
      </c>
      <c r="L241" s="13"/>
      <c r="M241" s="13"/>
      <c r="N241" s="13" t="s">
        <v>184</v>
      </c>
      <c r="O241" s="13" t="s">
        <v>1164</v>
      </c>
      <c r="P241" s="13" t="s">
        <v>186</v>
      </c>
      <c r="Q241" s="20" t="n">
        <v>165</v>
      </c>
      <c r="R241" s="20" t="n">
        <v>580</v>
      </c>
      <c r="S241" s="20" t="n">
        <v>1450</v>
      </c>
      <c r="T241" s="16"/>
      <c r="U241" s="16"/>
      <c r="V241" s="13" t="s">
        <v>187</v>
      </c>
      <c r="W241" s="17"/>
      <c r="X241" s="13"/>
      <c r="Y241" s="13" t="s">
        <v>1755</v>
      </c>
      <c r="Z241" s="13" t="s">
        <v>1756</v>
      </c>
      <c r="AA241" s="13" t="s">
        <v>192</v>
      </c>
      <c r="AB241" s="13"/>
      <c r="AC241" s="17"/>
      <c r="AD241" s="13"/>
      <c r="AE241" s="19" t="n">
        <f aca="false">ROUND(K241*Settings!$B$11*Settings!$B$13,2)</f>
        <v>1.19</v>
      </c>
      <c r="AF241" s="19" t="n">
        <f aca="false">ROUND(K241*Settings!$B$11*Settings!$B$14,2)</f>
        <v>1.56</v>
      </c>
      <c r="AG241" s="19" t="n">
        <f aca="false">ROUND(K241*Settings!$B$11*Settings!$B$15,2)</f>
        <v>2.04</v>
      </c>
      <c r="AH241" s="13" t="s">
        <v>191</v>
      </c>
      <c r="AI241" s="17"/>
      <c r="AJ241" s="13" t="s">
        <v>188</v>
      </c>
      <c r="AK241" s="13" t="s">
        <v>188</v>
      </c>
      <c r="AL241" s="14" t="s">
        <v>194</v>
      </c>
      <c r="AM241" s="13" t="s">
        <v>195</v>
      </c>
      <c r="AN241" s="15"/>
      <c r="AO241" s="13"/>
      <c r="AP241" s="13" t="s">
        <v>196</v>
      </c>
      <c r="AQ241" s="16" t="n">
        <f aca="false">IFERROR(IF(AND(INDEX(Mob_Demob!$D$6:$D$14,MATCH(AM241,Mob_Demob!$A$6:$A$14,0))="",INDEX(Mob_Demob!$G$6:$G$14,MATCH(AM241,Mob_Demob!$A$6:$A$14,0))=""),"",ROUND(MAX(N(INDEX(Mob_Demob!$G$6:$G$14,MATCH(AM241,Mob_Demob!$A$6:$A$14,0))),N(INDEX(Mob_Demob!$D$6:$D$14,MATCH(AM241,Mob_Demob!$A$6:$A$14,0)))*Settings!$B$6)+IF(AP241="Y",N(INDEX(Mob_Demob!$I$6:$I$14,MATCH(AM241,Mob_Demob!$A$6:$A$14,0)))*Settings!$B$19,0)+N(INDEX(Mob_Demob!$L$6:$L$14,MATCH(AM241,Mob_Demob!$A$6:$A$14,0)))*N(INDEX(Mob_Demob!$K$6:$K$14,MATCH(AM241,Mob_Demob!$A$6:$A$14,0)))*Settings!$B$6+N(INDEX(Mob_Demob!$M$6:$M$14,MATCH(AM241,Mob_Demob!$A$6:$A$14,0)))*N(INDEX(Mob_Demob!$N$6:$N$14,MATCH(AM241,Mob_Demob!$A$6:$A$14,0))),0)),"")</f>
        <v>500</v>
      </c>
      <c r="AR241" s="16" t="n">
        <f aca="false">IF(AQ241="","",ROUND(AQ241*Settings!$B$18,0))</f>
        <v>500</v>
      </c>
      <c r="AS241" s="13" t="s">
        <v>1793</v>
      </c>
      <c r="AT241" s="14" t="s">
        <v>1804</v>
      </c>
      <c r="AU241" s="14" t="s">
        <v>341</v>
      </c>
    </row>
    <row r="242" customFormat="false" ht="64.15" hidden="false" customHeight="false" outlineLevel="0" collapsed="false">
      <c r="A242" s="11" t="s">
        <v>1805</v>
      </c>
      <c r="B242" s="11" t="s">
        <v>1660</v>
      </c>
      <c r="C242" s="11" t="s">
        <v>1787</v>
      </c>
      <c r="D242" s="11" t="s">
        <v>1806</v>
      </c>
      <c r="E242" s="12" t="s">
        <v>1807</v>
      </c>
      <c r="F242" s="13" t="s">
        <v>1790</v>
      </c>
      <c r="G242" s="13" t="n">
        <v>60</v>
      </c>
      <c r="H242" s="13" t="s">
        <v>1196</v>
      </c>
      <c r="I242" s="14" t="s">
        <v>1808</v>
      </c>
      <c r="J242" s="15"/>
      <c r="K242" s="13"/>
      <c r="L242" s="13"/>
      <c r="M242" s="13"/>
      <c r="N242" s="13" t="s">
        <v>184</v>
      </c>
      <c r="O242" s="13" t="s">
        <v>1164</v>
      </c>
      <c r="P242" s="13" t="s">
        <v>186</v>
      </c>
      <c r="Q242" s="16"/>
      <c r="R242" s="16"/>
      <c r="S242" s="16"/>
      <c r="T242" s="16"/>
      <c r="U242" s="16"/>
      <c r="V242" s="13" t="s">
        <v>187</v>
      </c>
      <c r="W242" s="17"/>
      <c r="X242" s="13"/>
      <c r="Y242" s="13"/>
      <c r="Z242" s="13"/>
      <c r="AA242" s="13" t="s">
        <v>188</v>
      </c>
      <c r="AB242" s="13" t="s">
        <v>1809</v>
      </c>
      <c r="AC242" s="17"/>
      <c r="AD242" s="13"/>
      <c r="AE242" s="19"/>
      <c r="AF242" s="19"/>
      <c r="AG242" s="19"/>
      <c r="AH242" s="13"/>
      <c r="AI242" s="17"/>
      <c r="AJ242" s="13" t="s">
        <v>188</v>
      </c>
      <c r="AK242" s="13" t="s">
        <v>188</v>
      </c>
      <c r="AL242" s="14" t="s">
        <v>194</v>
      </c>
      <c r="AM242" s="13" t="s">
        <v>195</v>
      </c>
      <c r="AN242" s="15"/>
      <c r="AO242" s="13"/>
      <c r="AP242" s="13" t="s">
        <v>196</v>
      </c>
      <c r="AQ242" s="16" t="n">
        <f aca="false">IFERROR(IF(AND(INDEX(Mob_Demob!$D$6:$D$14,MATCH(AM242,Mob_Demob!$A$6:$A$14,0))="",INDEX(Mob_Demob!$G$6:$G$14,MATCH(AM242,Mob_Demob!$A$6:$A$14,0))=""),"",ROUND(MAX(N(INDEX(Mob_Demob!$G$6:$G$14,MATCH(AM242,Mob_Demob!$A$6:$A$14,0))),N(INDEX(Mob_Demob!$D$6:$D$14,MATCH(AM242,Mob_Demob!$A$6:$A$14,0)))*Settings!$B$6)+IF(AP242="Y",N(INDEX(Mob_Demob!$I$6:$I$14,MATCH(AM242,Mob_Demob!$A$6:$A$14,0)))*Settings!$B$19,0)+N(INDEX(Mob_Demob!$L$6:$L$14,MATCH(AM242,Mob_Demob!$A$6:$A$14,0)))*N(INDEX(Mob_Demob!$K$6:$K$14,MATCH(AM242,Mob_Demob!$A$6:$A$14,0)))*Settings!$B$6+N(INDEX(Mob_Demob!$M$6:$M$14,MATCH(AM242,Mob_Demob!$A$6:$A$14,0)))*N(INDEX(Mob_Demob!$N$6:$N$14,MATCH(AM242,Mob_Demob!$A$6:$A$14,0))),0)),"")</f>
        <v>500</v>
      </c>
      <c r="AR242" s="16" t="n">
        <f aca="false">IF(AQ242="","",ROUND(AQ242*Settings!$B$18,0))</f>
        <v>500</v>
      </c>
      <c r="AS242" s="13" t="s">
        <v>1793</v>
      </c>
      <c r="AT242" s="14" t="s">
        <v>1810</v>
      </c>
      <c r="AU242" s="14" t="s">
        <v>1381</v>
      </c>
    </row>
    <row r="243" customFormat="false" ht="64.15" hidden="false" customHeight="false" outlineLevel="0" collapsed="false">
      <c r="A243" s="11" t="s">
        <v>1811</v>
      </c>
      <c r="B243" s="11" t="s">
        <v>1660</v>
      </c>
      <c r="C243" s="11" t="s">
        <v>1787</v>
      </c>
      <c r="D243" s="11" t="s">
        <v>1812</v>
      </c>
      <c r="E243" s="12" t="s">
        <v>1813</v>
      </c>
      <c r="F243" s="13" t="s">
        <v>1790</v>
      </c>
      <c r="G243" s="13" t="n">
        <v>13.5</v>
      </c>
      <c r="H243" s="13" t="s">
        <v>1196</v>
      </c>
      <c r="I243" s="14"/>
      <c r="J243" s="15"/>
      <c r="K243" s="13"/>
      <c r="L243" s="13"/>
      <c r="M243" s="13"/>
      <c r="N243" s="13" t="s">
        <v>1163</v>
      </c>
      <c r="O243" s="13" t="s">
        <v>1164</v>
      </c>
      <c r="P243" s="13" t="s">
        <v>186</v>
      </c>
      <c r="Q243" s="20" t="n">
        <v>167</v>
      </c>
      <c r="R243" s="20" t="n">
        <v>557</v>
      </c>
      <c r="S243" s="20" t="n">
        <v>1452</v>
      </c>
      <c r="T243" s="20" t="n">
        <v>908</v>
      </c>
      <c r="U243" s="20" t="n">
        <v>1995</v>
      </c>
      <c r="V243" s="13" t="s">
        <v>187</v>
      </c>
      <c r="W243" s="17"/>
      <c r="X243" s="13"/>
      <c r="Y243" s="13" t="s">
        <v>1814</v>
      </c>
      <c r="Z243" s="13" t="s">
        <v>212</v>
      </c>
      <c r="AA243" s="13" t="s">
        <v>213</v>
      </c>
      <c r="AB243" s="13"/>
      <c r="AC243" s="17"/>
      <c r="AD243" s="13"/>
      <c r="AE243" s="19"/>
      <c r="AF243" s="19"/>
      <c r="AG243" s="19"/>
      <c r="AH243" s="13"/>
      <c r="AI243" s="17"/>
      <c r="AJ243" s="13" t="s">
        <v>188</v>
      </c>
      <c r="AK243" s="13" t="s">
        <v>188</v>
      </c>
      <c r="AL243" s="14" t="s">
        <v>194</v>
      </c>
      <c r="AM243" s="13" t="s">
        <v>1147</v>
      </c>
      <c r="AN243" s="15"/>
      <c r="AO243" s="13"/>
      <c r="AP243" s="13" t="s">
        <v>196</v>
      </c>
      <c r="AQ243" s="16" t="n">
        <f aca="false">IFERROR(IF(AND(INDEX(Mob_Demob!$D$6:$D$14,MATCH(AM243,Mob_Demob!$A$6:$A$14,0))="",INDEX(Mob_Demob!$G$6:$G$14,MATCH(AM243,Mob_Demob!$A$6:$A$14,0))=""),"",ROUND(MAX(N(INDEX(Mob_Demob!$G$6:$G$14,MATCH(AM243,Mob_Demob!$A$6:$A$14,0))),N(INDEX(Mob_Demob!$D$6:$D$14,MATCH(AM243,Mob_Demob!$A$6:$A$14,0)))*Settings!$B$6)+IF(AP243="Y",N(INDEX(Mob_Demob!$I$6:$I$14,MATCH(AM243,Mob_Demob!$A$6:$A$14,0)))*Settings!$B$19,0)+N(INDEX(Mob_Demob!$L$6:$L$14,MATCH(AM243,Mob_Demob!$A$6:$A$14,0)))*N(INDEX(Mob_Demob!$K$6:$K$14,MATCH(AM243,Mob_Demob!$A$6:$A$14,0)))*Settings!$B$6+N(INDEX(Mob_Demob!$M$6:$M$14,MATCH(AM243,Mob_Demob!$A$6:$A$14,0)))*N(INDEX(Mob_Demob!$N$6:$N$14,MATCH(AM243,Mob_Demob!$A$6:$A$14,0))),0)),"")</f>
        <v>200</v>
      </c>
      <c r="AR243" s="16" t="n">
        <f aca="false">IF(AQ243="","",ROUND(AQ243*Settings!$B$18,0))</f>
        <v>200</v>
      </c>
      <c r="AS243" s="13" t="s">
        <v>1793</v>
      </c>
      <c r="AT243" s="14" t="s">
        <v>1815</v>
      </c>
      <c r="AU243" s="14" t="s">
        <v>1054</v>
      </c>
    </row>
    <row r="244" customFormat="false" ht="64.15" hidden="false" customHeight="false" outlineLevel="0" collapsed="false">
      <c r="A244" s="11" t="s">
        <v>1816</v>
      </c>
      <c r="B244" s="11" t="s">
        <v>1660</v>
      </c>
      <c r="C244" s="11" t="s">
        <v>1817</v>
      </c>
      <c r="D244" s="11" t="s">
        <v>1818</v>
      </c>
      <c r="E244" s="12" t="s">
        <v>1817</v>
      </c>
      <c r="F244" s="13" t="s">
        <v>141</v>
      </c>
      <c r="G244" s="13" t="s">
        <v>1819</v>
      </c>
      <c r="H244" s="13"/>
      <c r="I244" s="14"/>
      <c r="J244" s="15"/>
      <c r="K244" s="13"/>
      <c r="L244" s="13"/>
      <c r="M244" s="13"/>
      <c r="N244" s="13" t="s">
        <v>1163</v>
      </c>
      <c r="O244" s="13" t="s">
        <v>1164</v>
      </c>
      <c r="P244" s="13" t="s">
        <v>186</v>
      </c>
      <c r="Q244" s="20" t="n">
        <v>149</v>
      </c>
      <c r="R244" s="16" t="n">
        <f aca="false">ROUND(Q244*Settings!$B$16,0)</f>
        <v>447</v>
      </c>
      <c r="S244" s="16" t="n">
        <f aca="false">ROUND(R244*Settings!$B$17,0)</f>
        <v>1296</v>
      </c>
      <c r="T244" s="16"/>
      <c r="U244" s="16"/>
      <c r="V244" s="13" t="s">
        <v>187</v>
      </c>
      <c r="W244" s="17"/>
      <c r="X244" s="13"/>
      <c r="Y244" s="13" t="s">
        <v>259</v>
      </c>
      <c r="Z244" s="13" t="s">
        <v>260</v>
      </c>
      <c r="AA244" s="13" t="s">
        <v>193</v>
      </c>
      <c r="AB244" s="13"/>
      <c r="AC244" s="17"/>
      <c r="AD244" s="13"/>
      <c r="AE244" s="19"/>
      <c r="AF244" s="19"/>
      <c r="AG244" s="19"/>
      <c r="AH244" s="13"/>
      <c r="AI244" s="17"/>
      <c r="AJ244" s="13" t="s">
        <v>188</v>
      </c>
      <c r="AK244" s="13" t="s">
        <v>188</v>
      </c>
      <c r="AL244" s="14" t="s">
        <v>194</v>
      </c>
      <c r="AM244" s="13" t="s">
        <v>195</v>
      </c>
      <c r="AN244" s="15"/>
      <c r="AO244" s="13"/>
      <c r="AP244" s="13" t="s">
        <v>196</v>
      </c>
      <c r="AQ244" s="16" t="n">
        <f aca="false">IFERROR(IF(AND(INDEX(Mob_Demob!$D$6:$D$14,MATCH(AM244,Mob_Demob!$A$6:$A$14,0))="",INDEX(Mob_Demob!$G$6:$G$14,MATCH(AM244,Mob_Demob!$A$6:$A$14,0))=""),"",ROUND(MAX(N(INDEX(Mob_Demob!$G$6:$G$14,MATCH(AM244,Mob_Demob!$A$6:$A$14,0))),N(INDEX(Mob_Demob!$D$6:$D$14,MATCH(AM244,Mob_Demob!$A$6:$A$14,0)))*Settings!$B$6)+IF(AP244="Y",N(INDEX(Mob_Demob!$I$6:$I$14,MATCH(AM244,Mob_Demob!$A$6:$A$14,0)))*Settings!$B$19,0)+N(INDEX(Mob_Demob!$L$6:$L$14,MATCH(AM244,Mob_Demob!$A$6:$A$14,0)))*N(INDEX(Mob_Demob!$K$6:$K$14,MATCH(AM244,Mob_Demob!$A$6:$A$14,0)))*Settings!$B$6+N(INDEX(Mob_Demob!$M$6:$M$14,MATCH(AM244,Mob_Demob!$A$6:$A$14,0)))*N(INDEX(Mob_Demob!$N$6:$N$14,MATCH(AM244,Mob_Demob!$A$6:$A$14,0))),0)),"")</f>
        <v>500</v>
      </c>
      <c r="AR244" s="16" t="n">
        <f aca="false">IF(AQ244="","",ROUND(AQ244*Settings!$B$18,0))</f>
        <v>500</v>
      </c>
      <c r="AS244" s="13" t="s">
        <v>1820</v>
      </c>
      <c r="AT244" s="14" t="s">
        <v>1821</v>
      </c>
      <c r="AU244" s="14" t="s">
        <v>1054</v>
      </c>
    </row>
    <row r="245" customFormat="false" ht="64.15" hidden="false" customHeight="false" outlineLevel="0" collapsed="false">
      <c r="A245" s="11" t="s">
        <v>1822</v>
      </c>
      <c r="B245" s="11" t="s">
        <v>1660</v>
      </c>
      <c r="C245" s="11" t="s">
        <v>1817</v>
      </c>
      <c r="D245" s="11" t="s">
        <v>1823</v>
      </c>
      <c r="E245" s="12" t="s">
        <v>1824</v>
      </c>
      <c r="F245" s="13" t="s">
        <v>149</v>
      </c>
      <c r="G245" s="13" t="n">
        <v>16</v>
      </c>
      <c r="H245" s="13" t="s">
        <v>1665</v>
      </c>
      <c r="I245" s="14"/>
      <c r="J245" s="15"/>
      <c r="K245" s="13"/>
      <c r="L245" s="13"/>
      <c r="M245" s="13"/>
      <c r="N245" s="13" t="s">
        <v>1163</v>
      </c>
      <c r="O245" s="13" t="s">
        <v>1164</v>
      </c>
      <c r="P245" s="13" t="s">
        <v>186</v>
      </c>
      <c r="Q245" s="20" t="n">
        <v>200</v>
      </c>
      <c r="R245" s="20" t="n">
        <v>800</v>
      </c>
      <c r="S245" s="20" t="n">
        <v>2400</v>
      </c>
      <c r="T245" s="16"/>
      <c r="U245" s="16"/>
      <c r="V245" s="13" t="s">
        <v>187</v>
      </c>
      <c r="W245" s="17"/>
      <c r="X245" s="13"/>
      <c r="Y245" s="13" t="s">
        <v>764</v>
      </c>
      <c r="Z245" s="13" t="s">
        <v>765</v>
      </c>
      <c r="AA245" s="13" t="s">
        <v>192</v>
      </c>
      <c r="AB245" s="13"/>
      <c r="AC245" s="17"/>
      <c r="AD245" s="13"/>
      <c r="AE245" s="19"/>
      <c r="AF245" s="19"/>
      <c r="AG245" s="19"/>
      <c r="AH245" s="13"/>
      <c r="AI245" s="17"/>
      <c r="AJ245" s="13" t="s">
        <v>188</v>
      </c>
      <c r="AK245" s="13" t="s">
        <v>188</v>
      </c>
      <c r="AL245" s="14" t="s">
        <v>194</v>
      </c>
      <c r="AM245" s="13" t="s">
        <v>195</v>
      </c>
      <c r="AN245" s="15"/>
      <c r="AO245" s="13"/>
      <c r="AP245" s="13" t="s">
        <v>196</v>
      </c>
      <c r="AQ245" s="16" t="n">
        <f aca="false">IFERROR(IF(AND(INDEX(Mob_Demob!$D$6:$D$14,MATCH(AM245,Mob_Demob!$A$6:$A$14,0))="",INDEX(Mob_Demob!$G$6:$G$14,MATCH(AM245,Mob_Demob!$A$6:$A$14,0))=""),"",ROUND(MAX(N(INDEX(Mob_Demob!$G$6:$G$14,MATCH(AM245,Mob_Demob!$A$6:$A$14,0))),N(INDEX(Mob_Demob!$D$6:$D$14,MATCH(AM245,Mob_Demob!$A$6:$A$14,0)))*Settings!$B$6)+IF(AP245="Y",N(INDEX(Mob_Demob!$I$6:$I$14,MATCH(AM245,Mob_Demob!$A$6:$A$14,0)))*Settings!$B$19,0)+N(INDEX(Mob_Demob!$L$6:$L$14,MATCH(AM245,Mob_Demob!$A$6:$A$14,0)))*N(INDEX(Mob_Demob!$K$6:$K$14,MATCH(AM245,Mob_Demob!$A$6:$A$14,0)))*Settings!$B$6+N(INDEX(Mob_Demob!$M$6:$M$14,MATCH(AM245,Mob_Demob!$A$6:$A$14,0)))*N(INDEX(Mob_Demob!$N$6:$N$14,MATCH(AM245,Mob_Demob!$A$6:$A$14,0))),0)),"")</f>
        <v>500</v>
      </c>
      <c r="AR245" s="16" t="n">
        <f aca="false">IF(AQ245="","",ROUND(AQ245*Settings!$B$18,0))</f>
        <v>500</v>
      </c>
      <c r="AS245" s="13" t="s">
        <v>1820</v>
      </c>
      <c r="AT245" s="14" t="s">
        <v>1825</v>
      </c>
      <c r="AU245" s="14" t="s">
        <v>1054</v>
      </c>
    </row>
    <row r="246" customFormat="false" ht="64.15" hidden="false" customHeight="false" outlineLevel="0" collapsed="false">
      <c r="A246" s="11" t="s">
        <v>1826</v>
      </c>
      <c r="B246" s="11" t="s">
        <v>1660</v>
      </c>
      <c r="C246" s="11" t="s">
        <v>1827</v>
      </c>
      <c r="D246" s="11" t="s">
        <v>1828</v>
      </c>
      <c r="E246" s="12" t="s">
        <v>1829</v>
      </c>
      <c r="F246" s="13" t="s">
        <v>1385</v>
      </c>
      <c r="G246" s="13"/>
      <c r="H246" s="13" t="s">
        <v>462</v>
      </c>
      <c r="I246" s="14"/>
      <c r="J246" s="15"/>
      <c r="K246" s="13"/>
      <c r="L246" s="13"/>
      <c r="M246" s="13"/>
      <c r="N246" s="13" t="s">
        <v>184</v>
      </c>
      <c r="O246" s="13" t="s">
        <v>1295</v>
      </c>
      <c r="P246" s="13" t="s">
        <v>186</v>
      </c>
      <c r="Q246" s="16"/>
      <c r="R246" s="16"/>
      <c r="S246" s="16"/>
      <c r="T246" s="16"/>
      <c r="U246" s="16"/>
      <c r="V246" s="13" t="s">
        <v>187</v>
      </c>
      <c r="W246" s="17"/>
      <c r="X246" s="13"/>
      <c r="Y246" s="13"/>
      <c r="Z246" s="13"/>
      <c r="AA246" s="13" t="s">
        <v>188</v>
      </c>
      <c r="AB246" s="13"/>
      <c r="AC246" s="17"/>
      <c r="AD246" s="13"/>
      <c r="AE246" s="19"/>
      <c r="AF246" s="19"/>
      <c r="AG246" s="19"/>
      <c r="AH246" s="13"/>
      <c r="AI246" s="17"/>
      <c r="AJ246" s="13" t="s">
        <v>188</v>
      </c>
      <c r="AK246" s="13" t="s">
        <v>188</v>
      </c>
      <c r="AL246" s="14" t="s">
        <v>194</v>
      </c>
      <c r="AM246" s="13" t="s">
        <v>286</v>
      </c>
      <c r="AN246" s="15"/>
      <c r="AO246" s="13"/>
      <c r="AP246" s="13" t="s">
        <v>269</v>
      </c>
      <c r="AQ246" s="16" t="n">
        <f aca="false">IFERROR(IF(AND(INDEX(Mob_Demob!$D$6:$D$14,MATCH(AM246,Mob_Demob!$A$6:$A$14,0))="",INDEX(Mob_Demob!$G$6:$G$14,MATCH(AM246,Mob_Demob!$A$6:$A$14,0))=""),"",ROUND(MAX(N(INDEX(Mob_Demob!$G$6:$G$14,MATCH(AM246,Mob_Demob!$A$6:$A$14,0))),N(INDEX(Mob_Demob!$D$6:$D$14,MATCH(AM246,Mob_Demob!$A$6:$A$14,0)))*Settings!$B$6)+IF(AP246="Y",N(INDEX(Mob_Demob!$I$6:$I$14,MATCH(AM246,Mob_Demob!$A$6:$A$14,0)))*Settings!$B$19,0)+N(INDEX(Mob_Demob!$L$6:$L$14,MATCH(AM246,Mob_Demob!$A$6:$A$14,0)))*N(INDEX(Mob_Demob!$K$6:$K$14,MATCH(AM246,Mob_Demob!$A$6:$A$14,0)))*Settings!$B$6+N(INDEX(Mob_Demob!$M$6:$M$14,MATCH(AM246,Mob_Demob!$A$6:$A$14,0)))*N(INDEX(Mob_Demob!$N$6:$N$14,MATCH(AM246,Mob_Demob!$A$6:$A$14,0))),0)),"")</f>
        <v>1913</v>
      </c>
      <c r="AR246" s="16" t="n">
        <f aca="false">IF(AQ246="","",ROUND(AQ246*Settings!$B$18,0))</f>
        <v>1913</v>
      </c>
      <c r="AS246" s="13" t="s">
        <v>1830</v>
      </c>
      <c r="AT246" s="14" t="s">
        <v>1831</v>
      </c>
      <c r="AU246" s="14" t="s">
        <v>1712</v>
      </c>
    </row>
    <row r="247" customFormat="false" ht="64.15" hidden="false" customHeight="false" outlineLevel="0" collapsed="false">
      <c r="A247" s="11" t="s">
        <v>1832</v>
      </c>
      <c r="B247" s="11" t="s">
        <v>1660</v>
      </c>
      <c r="C247" s="11" t="s">
        <v>1833</v>
      </c>
      <c r="D247" s="11" t="s">
        <v>1834</v>
      </c>
      <c r="E247" s="12" t="s">
        <v>1835</v>
      </c>
      <c r="F247" s="13" t="s">
        <v>1836</v>
      </c>
      <c r="G247" s="13"/>
      <c r="H247" s="13" t="s">
        <v>462</v>
      </c>
      <c r="I247" s="14"/>
      <c r="J247" s="15"/>
      <c r="K247" s="13"/>
      <c r="L247" s="13"/>
      <c r="M247" s="13"/>
      <c r="N247" s="13" t="s">
        <v>184</v>
      </c>
      <c r="O247" s="13" t="s">
        <v>1295</v>
      </c>
      <c r="P247" s="13" t="s">
        <v>186</v>
      </c>
      <c r="Q247" s="16"/>
      <c r="R247" s="16"/>
      <c r="S247" s="16"/>
      <c r="T247" s="16"/>
      <c r="U247" s="16"/>
      <c r="V247" s="13" t="s">
        <v>187</v>
      </c>
      <c r="W247" s="17"/>
      <c r="X247" s="13"/>
      <c r="Y247" s="13"/>
      <c r="Z247" s="13"/>
      <c r="AA247" s="13" t="s">
        <v>188</v>
      </c>
      <c r="AB247" s="13"/>
      <c r="AC247" s="17"/>
      <c r="AD247" s="13"/>
      <c r="AE247" s="19"/>
      <c r="AF247" s="19"/>
      <c r="AG247" s="19"/>
      <c r="AH247" s="13"/>
      <c r="AI247" s="17"/>
      <c r="AJ247" s="13" t="s">
        <v>188</v>
      </c>
      <c r="AK247" s="13" t="s">
        <v>188</v>
      </c>
      <c r="AL247" s="14" t="s">
        <v>194</v>
      </c>
      <c r="AM247" s="13" t="s">
        <v>216</v>
      </c>
      <c r="AN247" s="15"/>
      <c r="AO247" s="13"/>
      <c r="AP247" s="13" t="s">
        <v>241</v>
      </c>
      <c r="AQ247" s="16" t="n">
        <f aca="false">IFERROR(IF(AND(INDEX(Mob_Demob!$D$6:$D$14,MATCH(AM247,Mob_Demob!$A$6:$A$14,0))="",INDEX(Mob_Demob!$G$6:$G$14,MATCH(AM247,Mob_Demob!$A$6:$A$14,0))=""),"",ROUND(MAX(N(INDEX(Mob_Demob!$G$6:$G$14,MATCH(AM247,Mob_Demob!$A$6:$A$14,0))),N(INDEX(Mob_Demob!$D$6:$D$14,MATCH(AM247,Mob_Demob!$A$6:$A$14,0)))*Settings!$B$6)+IF(AP247="Y",N(INDEX(Mob_Demob!$I$6:$I$14,MATCH(AM247,Mob_Demob!$A$6:$A$14,0)))*Settings!$B$19,0)+N(INDEX(Mob_Demob!$L$6:$L$14,MATCH(AM247,Mob_Demob!$A$6:$A$14,0)))*N(INDEX(Mob_Demob!$K$6:$K$14,MATCH(AM247,Mob_Demob!$A$6:$A$14,0)))*Settings!$B$6+N(INDEX(Mob_Demob!$M$6:$M$14,MATCH(AM247,Mob_Demob!$A$6:$A$14,0)))*N(INDEX(Mob_Demob!$N$6:$N$14,MATCH(AM247,Mob_Demob!$A$6:$A$14,0))),0)),"")</f>
        <v>550</v>
      </c>
      <c r="AR247" s="16" t="n">
        <f aca="false">IF(AQ247="","",ROUND(AQ247*Settings!$B$18,0))</f>
        <v>550</v>
      </c>
      <c r="AS247" s="13" t="s">
        <v>1837</v>
      </c>
      <c r="AT247" s="14" t="s">
        <v>1838</v>
      </c>
      <c r="AU247" s="14" t="s">
        <v>1712</v>
      </c>
    </row>
    <row r="248" customFormat="false" ht="64.15" hidden="false" customHeight="false" outlineLevel="0" collapsed="false">
      <c r="A248" s="11" t="s">
        <v>1839</v>
      </c>
      <c r="B248" s="11" t="s">
        <v>1660</v>
      </c>
      <c r="C248" s="11" t="s">
        <v>1840</v>
      </c>
      <c r="D248" s="11" t="s">
        <v>1841</v>
      </c>
      <c r="E248" s="12" t="s">
        <v>1842</v>
      </c>
      <c r="F248" s="13" t="s">
        <v>141</v>
      </c>
      <c r="G248" s="13" t="s">
        <v>1843</v>
      </c>
      <c r="H248" s="13"/>
      <c r="I248" s="14"/>
      <c r="J248" s="15"/>
      <c r="K248" s="13"/>
      <c r="L248" s="13"/>
      <c r="M248" s="13"/>
      <c r="N248" s="13" t="s">
        <v>1737</v>
      </c>
      <c r="O248" s="13" t="s">
        <v>1844</v>
      </c>
      <c r="P248" s="13" t="s">
        <v>186</v>
      </c>
      <c r="Q248" s="20" t="n">
        <v>79</v>
      </c>
      <c r="R248" s="16" t="n">
        <f aca="false">ROUND(Q248*Settings!$B$16,0)</f>
        <v>237</v>
      </c>
      <c r="S248" s="16" t="n">
        <f aca="false">ROUND(R248*Settings!$B$17,0)</f>
        <v>687</v>
      </c>
      <c r="T248" s="16"/>
      <c r="U248" s="16"/>
      <c r="V248" s="13" t="s">
        <v>187</v>
      </c>
      <c r="W248" s="17"/>
      <c r="X248" s="13"/>
      <c r="Y248" s="13" t="s">
        <v>259</v>
      </c>
      <c r="Z248" s="13" t="s">
        <v>260</v>
      </c>
      <c r="AA248" s="13" t="s">
        <v>193</v>
      </c>
      <c r="AB248" s="13"/>
      <c r="AC248" s="17"/>
      <c r="AD248" s="13"/>
      <c r="AE248" s="19" t="n">
        <v>0</v>
      </c>
      <c r="AF248" s="19" t="n">
        <v>0</v>
      </c>
      <c r="AG248" s="19" t="n">
        <v>0</v>
      </c>
      <c r="AH248" s="13" t="s">
        <v>1739</v>
      </c>
      <c r="AI248" s="17"/>
      <c r="AJ248" s="13" t="s">
        <v>188</v>
      </c>
      <c r="AK248" s="13" t="s">
        <v>188</v>
      </c>
      <c r="AL248" s="14" t="s">
        <v>194</v>
      </c>
      <c r="AM248" s="13" t="s">
        <v>1147</v>
      </c>
      <c r="AN248" s="15"/>
      <c r="AO248" s="13"/>
      <c r="AP248" s="13" t="s">
        <v>196</v>
      </c>
      <c r="AQ248" s="16" t="n">
        <f aca="false">IFERROR(IF(AND(INDEX(Mob_Demob!$D$6:$D$14,MATCH(AM248,Mob_Demob!$A$6:$A$14,0))="",INDEX(Mob_Demob!$G$6:$G$14,MATCH(AM248,Mob_Demob!$A$6:$A$14,0))=""),"",ROUND(MAX(N(INDEX(Mob_Demob!$G$6:$G$14,MATCH(AM248,Mob_Demob!$A$6:$A$14,0))),N(INDEX(Mob_Demob!$D$6:$D$14,MATCH(AM248,Mob_Demob!$A$6:$A$14,0)))*Settings!$B$6)+IF(AP248="Y",N(INDEX(Mob_Demob!$I$6:$I$14,MATCH(AM248,Mob_Demob!$A$6:$A$14,0)))*Settings!$B$19,0)+N(INDEX(Mob_Demob!$L$6:$L$14,MATCH(AM248,Mob_Demob!$A$6:$A$14,0)))*N(INDEX(Mob_Demob!$K$6:$K$14,MATCH(AM248,Mob_Demob!$A$6:$A$14,0)))*Settings!$B$6+N(INDEX(Mob_Demob!$M$6:$M$14,MATCH(AM248,Mob_Demob!$A$6:$A$14,0)))*N(INDEX(Mob_Demob!$N$6:$N$14,MATCH(AM248,Mob_Demob!$A$6:$A$14,0))),0)),"")</f>
        <v>200</v>
      </c>
      <c r="AR248" s="16" t="n">
        <f aca="false">IF(AQ248="","",ROUND(AQ248*Settings!$B$18,0))</f>
        <v>200</v>
      </c>
      <c r="AS248" s="13"/>
      <c r="AT248" s="14" t="s">
        <v>1845</v>
      </c>
      <c r="AU248" s="14" t="s">
        <v>341</v>
      </c>
    </row>
    <row r="249" customFormat="false" ht="53.7" hidden="false" customHeight="false" outlineLevel="0" collapsed="false">
      <c r="A249" s="21" t="s">
        <v>1846</v>
      </c>
      <c r="B249" s="21" t="s">
        <v>1847</v>
      </c>
      <c r="C249" s="21" t="s">
        <v>1848</v>
      </c>
      <c r="D249" s="21" t="s">
        <v>1849</v>
      </c>
      <c r="E249" s="22" t="s">
        <v>1850</v>
      </c>
      <c r="F249" s="13" t="s">
        <v>1851</v>
      </c>
      <c r="G249" s="13" t="n">
        <v>10</v>
      </c>
      <c r="H249" s="13" t="s">
        <v>462</v>
      </c>
      <c r="I249" s="14" t="s">
        <v>1852</v>
      </c>
      <c r="J249" s="15"/>
      <c r="K249" s="13"/>
      <c r="L249" s="13"/>
      <c r="M249" s="13" t="n">
        <v>10</v>
      </c>
      <c r="N249" s="13" t="s">
        <v>1737</v>
      </c>
      <c r="O249" s="13" t="s">
        <v>1844</v>
      </c>
      <c r="P249" s="13" t="s">
        <v>186</v>
      </c>
      <c r="Q249" s="20" t="n">
        <v>200</v>
      </c>
      <c r="R249" s="20" t="n">
        <v>442</v>
      </c>
      <c r="S249" s="20" t="n">
        <v>514</v>
      </c>
      <c r="T249" s="16"/>
      <c r="U249" s="16"/>
      <c r="V249" s="13" t="s">
        <v>187</v>
      </c>
      <c r="W249" s="17"/>
      <c r="X249" s="13"/>
      <c r="Y249" s="13" t="s">
        <v>1853</v>
      </c>
      <c r="Z249" s="13" t="s">
        <v>1854</v>
      </c>
      <c r="AA249" s="13" t="s">
        <v>192</v>
      </c>
      <c r="AB249" s="13"/>
      <c r="AC249" s="17"/>
      <c r="AD249" s="13"/>
      <c r="AE249" s="19" t="n">
        <v>0</v>
      </c>
      <c r="AF249" s="19" t="n">
        <v>0</v>
      </c>
      <c r="AG249" s="19" t="n">
        <v>0</v>
      </c>
      <c r="AH249" s="13" t="s">
        <v>1739</v>
      </c>
      <c r="AI249" s="17"/>
      <c r="AJ249" s="13" t="s">
        <v>188</v>
      </c>
      <c r="AK249" s="13" t="s">
        <v>188</v>
      </c>
      <c r="AL249" s="14" t="s">
        <v>1855</v>
      </c>
      <c r="AM249" s="13" t="s">
        <v>1155</v>
      </c>
      <c r="AN249" s="15"/>
      <c r="AO249" s="13"/>
      <c r="AP249" s="13" t="s">
        <v>196</v>
      </c>
      <c r="AQ249" s="16" t="n">
        <f aca="false">IFERROR(IF(AND(INDEX(Mob_Demob!$D$6:$D$14,MATCH(AM249,Mob_Demob!$A$6:$A$14,0))="",INDEX(Mob_Demob!$G$6:$G$14,MATCH(AM249,Mob_Demob!$A$6:$A$14,0))=""),"",ROUND(MAX(N(INDEX(Mob_Demob!$G$6:$G$14,MATCH(AM249,Mob_Demob!$A$6:$A$14,0))),N(INDEX(Mob_Demob!$D$6:$D$14,MATCH(AM249,Mob_Demob!$A$6:$A$14,0)))*Settings!$B$6)+IF(AP249="Y",N(INDEX(Mob_Demob!$I$6:$I$14,MATCH(AM249,Mob_Demob!$A$6:$A$14,0)))*Settings!$B$19,0)+N(INDEX(Mob_Demob!$L$6:$L$14,MATCH(AM249,Mob_Demob!$A$6:$A$14,0)))*N(INDEX(Mob_Demob!$K$6:$K$14,MATCH(AM249,Mob_Demob!$A$6:$A$14,0)))*Settings!$B$6+N(INDEX(Mob_Demob!$M$6:$M$14,MATCH(AM249,Mob_Demob!$A$6:$A$14,0)))*N(INDEX(Mob_Demob!$N$6:$N$14,MATCH(AM249,Mob_Demob!$A$6:$A$14,0))),0)),"")</f>
        <v>200</v>
      </c>
      <c r="AR249" s="16" t="n">
        <f aca="false">IF(AQ249="","",ROUND(AQ249*Settings!$B$18,0))</f>
        <v>200</v>
      </c>
      <c r="AS249" s="13" t="s">
        <v>1856</v>
      </c>
      <c r="AT249" s="14" t="s">
        <v>1857</v>
      </c>
      <c r="AU249" s="14" t="s">
        <v>1858</v>
      </c>
    </row>
    <row r="250" customFormat="false" ht="53.7" hidden="false" customHeight="false" outlineLevel="0" collapsed="false">
      <c r="A250" s="21" t="s">
        <v>1859</v>
      </c>
      <c r="B250" s="21" t="s">
        <v>1847</v>
      </c>
      <c r="C250" s="21" t="s">
        <v>1860</v>
      </c>
      <c r="D250" s="21" t="s">
        <v>1861</v>
      </c>
      <c r="E250" s="22" t="s">
        <v>1862</v>
      </c>
      <c r="F250" s="13" t="s">
        <v>1863</v>
      </c>
      <c r="G250" s="13" t="n">
        <v>5</v>
      </c>
      <c r="H250" s="13" t="s">
        <v>462</v>
      </c>
      <c r="I250" s="14" t="s">
        <v>1864</v>
      </c>
      <c r="J250" s="15"/>
      <c r="K250" s="13"/>
      <c r="L250" s="13"/>
      <c r="M250" s="13" t="n">
        <v>5</v>
      </c>
      <c r="N250" s="13" t="s">
        <v>1737</v>
      </c>
      <c r="O250" s="13" t="s">
        <v>1844</v>
      </c>
      <c r="P250" s="13" t="s">
        <v>186</v>
      </c>
      <c r="Q250" s="16"/>
      <c r="R250" s="16"/>
      <c r="S250" s="16"/>
      <c r="T250" s="16"/>
      <c r="U250" s="16"/>
      <c r="V250" s="13" t="s">
        <v>187</v>
      </c>
      <c r="W250" s="17"/>
      <c r="X250" s="13"/>
      <c r="Y250" s="13"/>
      <c r="Z250" s="13"/>
      <c r="AA250" s="13" t="s">
        <v>188</v>
      </c>
      <c r="AB250" s="13"/>
      <c r="AC250" s="17"/>
      <c r="AD250" s="13"/>
      <c r="AE250" s="19" t="n">
        <v>0</v>
      </c>
      <c r="AF250" s="19" t="n">
        <v>0</v>
      </c>
      <c r="AG250" s="19" t="n">
        <v>0</v>
      </c>
      <c r="AH250" s="13" t="s">
        <v>1739</v>
      </c>
      <c r="AI250" s="17"/>
      <c r="AJ250" s="13" t="s">
        <v>188</v>
      </c>
      <c r="AK250" s="13" t="s">
        <v>188</v>
      </c>
      <c r="AL250" s="14" t="s">
        <v>1855</v>
      </c>
      <c r="AM250" s="13" t="s">
        <v>1155</v>
      </c>
      <c r="AN250" s="15"/>
      <c r="AO250" s="13"/>
      <c r="AP250" s="13" t="s">
        <v>196</v>
      </c>
      <c r="AQ250" s="16" t="n">
        <f aca="false">IFERROR(IF(AND(INDEX(Mob_Demob!$D$6:$D$14,MATCH(AM250,Mob_Demob!$A$6:$A$14,0))="",INDEX(Mob_Demob!$G$6:$G$14,MATCH(AM250,Mob_Demob!$A$6:$A$14,0))=""),"",ROUND(MAX(N(INDEX(Mob_Demob!$G$6:$G$14,MATCH(AM250,Mob_Demob!$A$6:$A$14,0))),N(INDEX(Mob_Demob!$D$6:$D$14,MATCH(AM250,Mob_Demob!$A$6:$A$14,0)))*Settings!$B$6)+IF(AP250="Y",N(INDEX(Mob_Demob!$I$6:$I$14,MATCH(AM250,Mob_Demob!$A$6:$A$14,0)))*Settings!$B$19,0)+N(INDEX(Mob_Demob!$L$6:$L$14,MATCH(AM250,Mob_Demob!$A$6:$A$14,0)))*N(INDEX(Mob_Demob!$K$6:$K$14,MATCH(AM250,Mob_Demob!$A$6:$A$14,0)))*Settings!$B$6+N(INDEX(Mob_Demob!$M$6:$M$14,MATCH(AM250,Mob_Demob!$A$6:$A$14,0)))*N(INDEX(Mob_Demob!$N$6:$N$14,MATCH(AM250,Mob_Demob!$A$6:$A$14,0))),0)),"")</f>
        <v>200</v>
      </c>
      <c r="AR250" s="16" t="n">
        <f aca="false">IF(AQ250="","",ROUND(AQ250*Settings!$B$18,0))</f>
        <v>200</v>
      </c>
      <c r="AS250" s="13" t="s">
        <v>1856</v>
      </c>
      <c r="AT250" s="14" t="s">
        <v>1865</v>
      </c>
      <c r="AU250" s="14" t="s">
        <v>251</v>
      </c>
    </row>
    <row r="251" customFormat="false" ht="53.7" hidden="false" customHeight="false" outlineLevel="0" collapsed="false">
      <c r="A251" s="21" t="s">
        <v>1866</v>
      </c>
      <c r="B251" s="21" t="s">
        <v>1847</v>
      </c>
      <c r="C251" s="21" t="s">
        <v>1860</v>
      </c>
      <c r="D251" s="21" t="s">
        <v>1861</v>
      </c>
      <c r="E251" s="22" t="s">
        <v>1867</v>
      </c>
      <c r="F251" s="13" t="s">
        <v>1863</v>
      </c>
      <c r="G251" s="13" t="n">
        <v>10</v>
      </c>
      <c r="H251" s="13" t="s">
        <v>462</v>
      </c>
      <c r="I251" s="14" t="s">
        <v>1864</v>
      </c>
      <c r="J251" s="15"/>
      <c r="K251" s="13"/>
      <c r="L251" s="13"/>
      <c r="M251" s="13" t="n">
        <v>10</v>
      </c>
      <c r="N251" s="13" t="s">
        <v>1737</v>
      </c>
      <c r="O251" s="13" t="s">
        <v>1844</v>
      </c>
      <c r="P251" s="13" t="s">
        <v>186</v>
      </c>
      <c r="Q251" s="16"/>
      <c r="R251" s="16"/>
      <c r="S251" s="16"/>
      <c r="T251" s="16"/>
      <c r="U251" s="16"/>
      <c r="V251" s="13" t="s">
        <v>187</v>
      </c>
      <c r="W251" s="17"/>
      <c r="X251" s="13"/>
      <c r="Y251" s="13"/>
      <c r="Z251" s="13"/>
      <c r="AA251" s="13" t="s">
        <v>188</v>
      </c>
      <c r="AB251" s="13"/>
      <c r="AC251" s="17"/>
      <c r="AD251" s="13"/>
      <c r="AE251" s="19" t="n">
        <v>0</v>
      </c>
      <c r="AF251" s="19" t="n">
        <v>0</v>
      </c>
      <c r="AG251" s="19" t="n">
        <v>0</v>
      </c>
      <c r="AH251" s="13" t="s">
        <v>1739</v>
      </c>
      <c r="AI251" s="17"/>
      <c r="AJ251" s="13" t="s">
        <v>188</v>
      </c>
      <c r="AK251" s="13" t="s">
        <v>188</v>
      </c>
      <c r="AL251" s="14" t="s">
        <v>1855</v>
      </c>
      <c r="AM251" s="13" t="s">
        <v>1155</v>
      </c>
      <c r="AN251" s="15"/>
      <c r="AO251" s="13"/>
      <c r="AP251" s="13" t="s">
        <v>196</v>
      </c>
      <c r="AQ251" s="16" t="n">
        <f aca="false">IFERROR(IF(AND(INDEX(Mob_Demob!$D$6:$D$14,MATCH(AM251,Mob_Demob!$A$6:$A$14,0))="",INDEX(Mob_Demob!$G$6:$G$14,MATCH(AM251,Mob_Demob!$A$6:$A$14,0))=""),"",ROUND(MAX(N(INDEX(Mob_Demob!$G$6:$G$14,MATCH(AM251,Mob_Demob!$A$6:$A$14,0))),N(INDEX(Mob_Demob!$D$6:$D$14,MATCH(AM251,Mob_Demob!$A$6:$A$14,0)))*Settings!$B$6)+IF(AP251="Y",N(INDEX(Mob_Demob!$I$6:$I$14,MATCH(AM251,Mob_Demob!$A$6:$A$14,0)))*Settings!$B$19,0)+N(INDEX(Mob_Demob!$L$6:$L$14,MATCH(AM251,Mob_Demob!$A$6:$A$14,0)))*N(INDEX(Mob_Demob!$K$6:$K$14,MATCH(AM251,Mob_Demob!$A$6:$A$14,0)))*Settings!$B$6+N(INDEX(Mob_Demob!$M$6:$M$14,MATCH(AM251,Mob_Demob!$A$6:$A$14,0)))*N(INDEX(Mob_Demob!$N$6:$N$14,MATCH(AM251,Mob_Demob!$A$6:$A$14,0))),0)),"")</f>
        <v>200</v>
      </c>
      <c r="AR251" s="16" t="n">
        <f aca="false">IF(AQ251="","",ROUND(AQ251*Settings!$B$18,0))</f>
        <v>200</v>
      </c>
      <c r="AS251" s="13" t="s">
        <v>1856</v>
      </c>
      <c r="AT251" s="14" t="s">
        <v>1865</v>
      </c>
      <c r="AU251" s="14" t="s">
        <v>251</v>
      </c>
    </row>
    <row r="252" customFormat="false" ht="53.7" hidden="false" customHeight="false" outlineLevel="0" collapsed="false">
      <c r="A252" s="21" t="s">
        <v>1868</v>
      </c>
      <c r="B252" s="21" t="s">
        <v>1847</v>
      </c>
      <c r="C252" s="21" t="s">
        <v>1860</v>
      </c>
      <c r="D252" s="21" t="s">
        <v>1861</v>
      </c>
      <c r="E252" s="22" t="s">
        <v>1869</v>
      </c>
      <c r="F252" s="13" t="s">
        <v>1863</v>
      </c>
      <c r="G252" s="13" t="n">
        <v>15</v>
      </c>
      <c r="H252" s="13" t="s">
        <v>462</v>
      </c>
      <c r="I252" s="14" t="s">
        <v>1864</v>
      </c>
      <c r="J252" s="15"/>
      <c r="K252" s="13"/>
      <c r="L252" s="13"/>
      <c r="M252" s="13" t="n">
        <v>15</v>
      </c>
      <c r="N252" s="13" t="s">
        <v>1737</v>
      </c>
      <c r="O252" s="13" t="s">
        <v>1844</v>
      </c>
      <c r="P252" s="13" t="s">
        <v>186</v>
      </c>
      <c r="Q252" s="16"/>
      <c r="R252" s="16"/>
      <c r="S252" s="16"/>
      <c r="T252" s="16"/>
      <c r="U252" s="16"/>
      <c r="V252" s="13" t="s">
        <v>187</v>
      </c>
      <c r="W252" s="17"/>
      <c r="X252" s="13"/>
      <c r="Y252" s="13"/>
      <c r="Z252" s="13"/>
      <c r="AA252" s="13" t="s">
        <v>188</v>
      </c>
      <c r="AB252" s="13"/>
      <c r="AC252" s="17"/>
      <c r="AD252" s="13"/>
      <c r="AE252" s="19" t="n">
        <v>0</v>
      </c>
      <c r="AF252" s="19" t="n">
        <v>0</v>
      </c>
      <c r="AG252" s="19" t="n">
        <v>0</v>
      </c>
      <c r="AH252" s="13" t="s">
        <v>1739</v>
      </c>
      <c r="AI252" s="17"/>
      <c r="AJ252" s="13" t="s">
        <v>188</v>
      </c>
      <c r="AK252" s="13" t="s">
        <v>188</v>
      </c>
      <c r="AL252" s="14" t="s">
        <v>1855</v>
      </c>
      <c r="AM252" s="13" t="s">
        <v>1155</v>
      </c>
      <c r="AN252" s="15"/>
      <c r="AO252" s="13"/>
      <c r="AP252" s="13" t="s">
        <v>196</v>
      </c>
      <c r="AQ252" s="16" t="n">
        <f aca="false">IFERROR(IF(AND(INDEX(Mob_Demob!$D$6:$D$14,MATCH(AM252,Mob_Demob!$A$6:$A$14,0))="",INDEX(Mob_Demob!$G$6:$G$14,MATCH(AM252,Mob_Demob!$A$6:$A$14,0))=""),"",ROUND(MAX(N(INDEX(Mob_Demob!$G$6:$G$14,MATCH(AM252,Mob_Demob!$A$6:$A$14,0))),N(INDEX(Mob_Demob!$D$6:$D$14,MATCH(AM252,Mob_Demob!$A$6:$A$14,0)))*Settings!$B$6)+IF(AP252="Y",N(INDEX(Mob_Demob!$I$6:$I$14,MATCH(AM252,Mob_Demob!$A$6:$A$14,0)))*Settings!$B$19,0)+N(INDEX(Mob_Demob!$L$6:$L$14,MATCH(AM252,Mob_Demob!$A$6:$A$14,0)))*N(INDEX(Mob_Demob!$K$6:$K$14,MATCH(AM252,Mob_Demob!$A$6:$A$14,0)))*Settings!$B$6+N(INDEX(Mob_Demob!$M$6:$M$14,MATCH(AM252,Mob_Demob!$A$6:$A$14,0)))*N(INDEX(Mob_Demob!$N$6:$N$14,MATCH(AM252,Mob_Demob!$A$6:$A$14,0))),0)),"")</f>
        <v>200</v>
      </c>
      <c r="AR252" s="16" t="n">
        <f aca="false">IF(AQ252="","",ROUND(AQ252*Settings!$B$18,0))</f>
        <v>200</v>
      </c>
      <c r="AS252" s="13" t="s">
        <v>1856</v>
      </c>
      <c r="AT252" s="14" t="s">
        <v>1865</v>
      </c>
      <c r="AU252" s="14" t="s">
        <v>251</v>
      </c>
    </row>
    <row r="253" customFormat="false" ht="53.7" hidden="false" customHeight="false" outlineLevel="0" collapsed="false">
      <c r="A253" s="21" t="s">
        <v>1870</v>
      </c>
      <c r="B253" s="21" t="s">
        <v>1847</v>
      </c>
      <c r="C253" s="21" t="s">
        <v>1848</v>
      </c>
      <c r="D253" s="21" t="s">
        <v>1849</v>
      </c>
      <c r="E253" s="22" t="s">
        <v>1871</v>
      </c>
      <c r="F253" s="13" t="s">
        <v>1851</v>
      </c>
      <c r="G253" s="13" t="n">
        <v>13</v>
      </c>
      <c r="H253" s="13" t="s">
        <v>462</v>
      </c>
      <c r="I253" s="14" t="s">
        <v>1872</v>
      </c>
      <c r="J253" s="15"/>
      <c r="K253" s="13"/>
      <c r="L253" s="13" t="s">
        <v>1873</v>
      </c>
      <c r="M253" s="13" t="n">
        <v>13</v>
      </c>
      <c r="N253" s="13" t="s">
        <v>1737</v>
      </c>
      <c r="O253" s="13" t="s">
        <v>1844</v>
      </c>
      <c r="P253" s="13" t="s">
        <v>186</v>
      </c>
      <c r="Q253" s="20" t="n">
        <v>201</v>
      </c>
      <c r="R253" s="20" t="n">
        <v>342</v>
      </c>
      <c r="S253" s="20" t="n">
        <v>494</v>
      </c>
      <c r="T253" s="16"/>
      <c r="U253" s="16"/>
      <c r="V253" s="13" t="s">
        <v>187</v>
      </c>
      <c r="W253" s="17"/>
      <c r="X253" s="13"/>
      <c r="Y253" s="13" t="s">
        <v>1853</v>
      </c>
      <c r="Z253" s="13" t="s">
        <v>1854</v>
      </c>
      <c r="AA253" s="13" t="s">
        <v>192</v>
      </c>
      <c r="AB253" s="13"/>
      <c r="AC253" s="17"/>
      <c r="AD253" s="13"/>
      <c r="AE253" s="19" t="n">
        <v>0</v>
      </c>
      <c r="AF253" s="19" t="n">
        <v>0</v>
      </c>
      <c r="AG253" s="19" t="n">
        <v>0</v>
      </c>
      <c r="AH253" s="13" t="s">
        <v>1739</v>
      </c>
      <c r="AI253" s="17"/>
      <c r="AJ253" s="13" t="s">
        <v>188</v>
      </c>
      <c r="AK253" s="13" t="s">
        <v>188</v>
      </c>
      <c r="AL253" s="14" t="s">
        <v>1855</v>
      </c>
      <c r="AM253" s="13" t="s">
        <v>1155</v>
      </c>
      <c r="AN253" s="15"/>
      <c r="AO253" s="13" t="n">
        <v>2.54</v>
      </c>
      <c r="AP253" s="13" t="s">
        <v>196</v>
      </c>
      <c r="AQ253" s="16" t="n">
        <f aca="false">IFERROR(IF(AND(INDEX(Mob_Demob!$D$6:$D$14,MATCH(AM253,Mob_Demob!$A$6:$A$14,0))="",INDEX(Mob_Demob!$G$6:$G$14,MATCH(AM253,Mob_Demob!$A$6:$A$14,0))=""),"",ROUND(MAX(N(INDEX(Mob_Demob!$G$6:$G$14,MATCH(AM253,Mob_Demob!$A$6:$A$14,0))),N(INDEX(Mob_Demob!$D$6:$D$14,MATCH(AM253,Mob_Demob!$A$6:$A$14,0)))*Settings!$B$6)+IF(AP253="Y",N(INDEX(Mob_Demob!$I$6:$I$14,MATCH(AM253,Mob_Demob!$A$6:$A$14,0)))*Settings!$B$19,0)+N(INDEX(Mob_Demob!$L$6:$L$14,MATCH(AM253,Mob_Demob!$A$6:$A$14,0)))*N(INDEX(Mob_Demob!$K$6:$K$14,MATCH(AM253,Mob_Demob!$A$6:$A$14,0)))*Settings!$B$6+N(INDEX(Mob_Demob!$M$6:$M$14,MATCH(AM253,Mob_Demob!$A$6:$A$14,0)))*N(INDEX(Mob_Demob!$N$6:$N$14,MATCH(AM253,Mob_Demob!$A$6:$A$14,0))),0)),"")</f>
        <v>200</v>
      </c>
      <c r="AR253" s="16" t="n">
        <f aca="false">IF(AQ253="","",ROUND(AQ253*Settings!$B$18,0))</f>
        <v>200</v>
      </c>
      <c r="AS253" s="13" t="s">
        <v>1856</v>
      </c>
      <c r="AT253" s="14" t="s">
        <v>1874</v>
      </c>
      <c r="AU253" s="14" t="s">
        <v>341</v>
      </c>
    </row>
    <row r="254" customFormat="false" ht="53.7" hidden="false" customHeight="false" outlineLevel="0" collapsed="false">
      <c r="A254" s="21" t="s">
        <v>1875</v>
      </c>
      <c r="B254" s="21" t="s">
        <v>1847</v>
      </c>
      <c r="C254" s="21" t="s">
        <v>1848</v>
      </c>
      <c r="D254" s="21" t="s">
        <v>1849</v>
      </c>
      <c r="E254" s="22" t="s">
        <v>1876</v>
      </c>
      <c r="F254" s="13" t="s">
        <v>1851</v>
      </c>
      <c r="G254" s="13" t="n">
        <v>15</v>
      </c>
      <c r="H254" s="13" t="s">
        <v>462</v>
      </c>
      <c r="I254" s="14" t="s">
        <v>1877</v>
      </c>
      <c r="J254" s="15"/>
      <c r="K254" s="13"/>
      <c r="L254" s="13" t="s">
        <v>1878</v>
      </c>
      <c r="M254" s="13" t="n">
        <v>15</v>
      </c>
      <c r="N254" s="13" t="s">
        <v>1737</v>
      </c>
      <c r="O254" s="13" t="s">
        <v>1844</v>
      </c>
      <c r="P254" s="13" t="s">
        <v>186</v>
      </c>
      <c r="Q254" s="20" t="n">
        <v>201</v>
      </c>
      <c r="R254" s="20" t="n">
        <v>342</v>
      </c>
      <c r="S254" s="20" t="n">
        <v>494</v>
      </c>
      <c r="T254" s="16"/>
      <c r="U254" s="16"/>
      <c r="V254" s="13" t="s">
        <v>187</v>
      </c>
      <c r="W254" s="17"/>
      <c r="X254" s="13"/>
      <c r="Y254" s="13" t="s">
        <v>1853</v>
      </c>
      <c r="Z254" s="13" t="s">
        <v>1854</v>
      </c>
      <c r="AA254" s="13" t="s">
        <v>192</v>
      </c>
      <c r="AB254" s="13"/>
      <c r="AC254" s="17"/>
      <c r="AD254" s="13"/>
      <c r="AE254" s="19" t="n">
        <v>0</v>
      </c>
      <c r="AF254" s="19" t="n">
        <v>0</v>
      </c>
      <c r="AG254" s="19" t="n">
        <v>0</v>
      </c>
      <c r="AH254" s="13" t="s">
        <v>1739</v>
      </c>
      <c r="AI254" s="17"/>
      <c r="AJ254" s="13" t="s">
        <v>188</v>
      </c>
      <c r="AK254" s="13" t="s">
        <v>188</v>
      </c>
      <c r="AL254" s="14" t="s">
        <v>1855</v>
      </c>
      <c r="AM254" s="13" t="s">
        <v>1155</v>
      </c>
      <c r="AN254" s="15"/>
      <c r="AO254" s="13" t="n">
        <v>2.5</v>
      </c>
      <c r="AP254" s="13" t="s">
        <v>196</v>
      </c>
      <c r="AQ254" s="16" t="n">
        <f aca="false">IFERROR(IF(AND(INDEX(Mob_Demob!$D$6:$D$14,MATCH(AM254,Mob_Demob!$A$6:$A$14,0))="",INDEX(Mob_Demob!$G$6:$G$14,MATCH(AM254,Mob_Demob!$A$6:$A$14,0))=""),"",ROUND(MAX(N(INDEX(Mob_Demob!$G$6:$G$14,MATCH(AM254,Mob_Demob!$A$6:$A$14,0))),N(INDEX(Mob_Demob!$D$6:$D$14,MATCH(AM254,Mob_Demob!$A$6:$A$14,0)))*Settings!$B$6)+IF(AP254="Y",N(INDEX(Mob_Demob!$I$6:$I$14,MATCH(AM254,Mob_Demob!$A$6:$A$14,0)))*Settings!$B$19,0)+N(INDEX(Mob_Demob!$L$6:$L$14,MATCH(AM254,Mob_Demob!$A$6:$A$14,0)))*N(INDEX(Mob_Demob!$K$6:$K$14,MATCH(AM254,Mob_Demob!$A$6:$A$14,0)))*Settings!$B$6+N(INDEX(Mob_Demob!$M$6:$M$14,MATCH(AM254,Mob_Demob!$A$6:$A$14,0)))*N(INDEX(Mob_Demob!$N$6:$N$14,MATCH(AM254,Mob_Demob!$A$6:$A$14,0))),0)),"")</f>
        <v>200</v>
      </c>
      <c r="AR254" s="16" t="n">
        <f aca="false">IF(AQ254="","",ROUND(AQ254*Settings!$B$18,0))</f>
        <v>200</v>
      </c>
      <c r="AS254" s="13" t="s">
        <v>1856</v>
      </c>
      <c r="AT254" s="14" t="s">
        <v>1879</v>
      </c>
      <c r="AU254" s="14" t="s">
        <v>1880</v>
      </c>
    </row>
    <row r="255" customFormat="false" ht="64.15" hidden="false" customHeight="false" outlineLevel="0" collapsed="false">
      <c r="A255" s="21" t="s">
        <v>1881</v>
      </c>
      <c r="B255" s="21" t="s">
        <v>1847</v>
      </c>
      <c r="C255" s="21" t="s">
        <v>1848</v>
      </c>
      <c r="D255" s="21" t="s">
        <v>1849</v>
      </c>
      <c r="E255" s="22" t="s">
        <v>1882</v>
      </c>
      <c r="F255" s="13" t="s">
        <v>1851</v>
      </c>
      <c r="G255" s="13" t="n">
        <v>19</v>
      </c>
      <c r="H255" s="13" t="s">
        <v>462</v>
      </c>
      <c r="I255" s="14" t="s">
        <v>1883</v>
      </c>
      <c r="J255" s="15"/>
      <c r="K255" s="13"/>
      <c r="L255" s="13" t="s">
        <v>1873</v>
      </c>
      <c r="M255" s="13" t="n">
        <v>19</v>
      </c>
      <c r="N255" s="13" t="s">
        <v>1737</v>
      </c>
      <c r="O255" s="13" t="s">
        <v>1844</v>
      </c>
      <c r="P255" s="13" t="s">
        <v>186</v>
      </c>
      <c r="Q255" s="20" t="n">
        <v>134</v>
      </c>
      <c r="R255" s="20" t="n">
        <v>324</v>
      </c>
      <c r="S255" s="20" t="n">
        <v>584</v>
      </c>
      <c r="T255" s="20" t="n">
        <v>500</v>
      </c>
      <c r="U255" s="20" t="n">
        <v>850</v>
      </c>
      <c r="V255" s="13" t="s">
        <v>187</v>
      </c>
      <c r="W255" s="17"/>
      <c r="X255" s="13"/>
      <c r="Y255" s="13" t="s">
        <v>1884</v>
      </c>
      <c r="Z255" s="13" t="s">
        <v>1885</v>
      </c>
      <c r="AA255" s="13" t="s">
        <v>213</v>
      </c>
      <c r="AB255" s="13"/>
      <c r="AC255" s="17"/>
      <c r="AD255" s="13"/>
      <c r="AE255" s="19" t="n">
        <v>0</v>
      </c>
      <c r="AF255" s="19" t="n">
        <v>0</v>
      </c>
      <c r="AG255" s="19" t="n">
        <v>0</v>
      </c>
      <c r="AH255" s="13" t="s">
        <v>1739</v>
      </c>
      <c r="AI255" s="17"/>
      <c r="AJ255" s="13" t="s">
        <v>188</v>
      </c>
      <c r="AK255" s="13" t="s">
        <v>188</v>
      </c>
      <c r="AL255" s="14" t="s">
        <v>1855</v>
      </c>
      <c r="AM255" s="13" t="s">
        <v>1155</v>
      </c>
      <c r="AN255" s="15"/>
      <c r="AO255" s="13" t="n">
        <v>2.5</v>
      </c>
      <c r="AP255" s="13" t="s">
        <v>196</v>
      </c>
      <c r="AQ255" s="16" t="n">
        <f aca="false">IFERROR(IF(AND(INDEX(Mob_Demob!$D$6:$D$14,MATCH(AM255,Mob_Demob!$A$6:$A$14,0))="",INDEX(Mob_Demob!$G$6:$G$14,MATCH(AM255,Mob_Demob!$A$6:$A$14,0))=""),"",ROUND(MAX(N(INDEX(Mob_Demob!$G$6:$G$14,MATCH(AM255,Mob_Demob!$A$6:$A$14,0))),N(INDEX(Mob_Demob!$D$6:$D$14,MATCH(AM255,Mob_Demob!$A$6:$A$14,0)))*Settings!$B$6)+IF(AP255="Y",N(INDEX(Mob_Demob!$I$6:$I$14,MATCH(AM255,Mob_Demob!$A$6:$A$14,0)))*Settings!$B$19,0)+N(INDEX(Mob_Demob!$L$6:$L$14,MATCH(AM255,Mob_Demob!$A$6:$A$14,0)))*N(INDEX(Mob_Demob!$K$6:$K$14,MATCH(AM255,Mob_Demob!$A$6:$A$14,0)))*Settings!$B$6+N(INDEX(Mob_Demob!$M$6:$M$14,MATCH(AM255,Mob_Demob!$A$6:$A$14,0)))*N(INDEX(Mob_Demob!$N$6:$N$14,MATCH(AM255,Mob_Demob!$A$6:$A$14,0))),0)),"")</f>
        <v>200</v>
      </c>
      <c r="AR255" s="16" t="n">
        <f aca="false">IF(AQ255="","",ROUND(AQ255*Settings!$B$18,0))</f>
        <v>200</v>
      </c>
      <c r="AS255" s="13" t="s">
        <v>1856</v>
      </c>
      <c r="AT255" s="14" t="s">
        <v>1886</v>
      </c>
      <c r="AU255" s="14" t="s">
        <v>341</v>
      </c>
    </row>
    <row r="256" customFormat="false" ht="53.7" hidden="false" customHeight="false" outlineLevel="0" collapsed="false">
      <c r="A256" s="21" t="s">
        <v>1887</v>
      </c>
      <c r="B256" s="21" t="s">
        <v>1847</v>
      </c>
      <c r="C256" s="21" t="s">
        <v>1848</v>
      </c>
      <c r="D256" s="21" t="s">
        <v>1849</v>
      </c>
      <c r="E256" s="22" t="s">
        <v>1888</v>
      </c>
      <c r="F256" s="13" t="s">
        <v>1851</v>
      </c>
      <c r="G256" s="13" t="n">
        <v>20</v>
      </c>
      <c r="H256" s="13" t="s">
        <v>462</v>
      </c>
      <c r="I256" s="14" t="s">
        <v>1889</v>
      </c>
      <c r="J256" s="15"/>
      <c r="K256" s="13"/>
      <c r="L256" s="13" t="s">
        <v>1890</v>
      </c>
      <c r="M256" s="13" t="n">
        <v>20</v>
      </c>
      <c r="N256" s="13" t="s">
        <v>1737</v>
      </c>
      <c r="O256" s="13" t="s">
        <v>1844</v>
      </c>
      <c r="P256" s="13" t="s">
        <v>186</v>
      </c>
      <c r="Q256" s="20" t="n">
        <v>194</v>
      </c>
      <c r="R256" s="20" t="n">
        <v>381</v>
      </c>
      <c r="S256" s="20" t="n">
        <v>630</v>
      </c>
      <c r="T256" s="16"/>
      <c r="U256" s="16"/>
      <c r="V256" s="13" t="s">
        <v>187</v>
      </c>
      <c r="W256" s="17"/>
      <c r="X256" s="13"/>
      <c r="Y256" s="13" t="s">
        <v>1853</v>
      </c>
      <c r="Z256" s="13" t="s">
        <v>1854</v>
      </c>
      <c r="AA256" s="13" t="s">
        <v>192</v>
      </c>
      <c r="AB256" s="13"/>
      <c r="AC256" s="17"/>
      <c r="AD256" s="13"/>
      <c r="AE256" s="19" t="n">
        <v>0</v>
      </c>
      <c r="AF256" s="19" t="n">
        <v>0</v>
      </c>
      <c r="AG256" s="19" t="n">
        <v>0</v>
      </c>
      <c r="AH256" s="13" t="s">
        <v>1739</v>
      </c>
      <c r="AI256" s="17"/>
      <c r="AJ256" s="13" t="s">
        <v>188</v>
      </c>
      <c r="AK256" s="13" t="s">
        <v>188</v>
      </c>
      <c r="AL256" s="14" t="s">
        <v>1855</v>
      </c>
      <c r="AM256" s="13" t="s">
        <v>1155</v>
      </c>
      <c r="AN256" s="15"/>
      <c r="AO256" s="13" t="n">
        <v>2.67</v>
      </c>
      <c r="AP256" s="13" t="s">
        <v>196</v>
      </c>
      <c r="AQ256" s="16" t="n">
        <f aca="false">IFERROR(IF(AND(INDEX(Mob_Demob!$D$6:$D$14,MATCH(AM256,Mob_Demob!$A$6:$A$14,0))="",INDEX(Mob_Demob!$G$6:$G$14,MATCH(AM256,Mob_Demob!$A$6:$A$14,0))=""),"",ROUND(MAX(N(INDEX(Mob_Demob!$G$6:$G$14,MATCH(AM256,Mob_Demob!$A$6:$A$14,0))),N(INDEX(Mob_Demob!$D$6:$D$14,MATCH(AM256,Mob_Demob!$A$6:$A$14,0)))*Settings!$B$6)+IF(AP256="Y",N(INDEX(Mob_Demob!$I$6:$I$14,MATCH(AM256,Mob_Demob!$A$6:$A$14,0)))*Settings!$B$19,0)+N(INDEX(Mob_Demob!$L$6:$L$14,MATCH(AM256,Mob_Demob!$A$6:$A$14,0)))*N(INDEX(Mob_Demob!$K$6:$K$14,MATCH(AM256,Mob_Demob!$A$6:$A$14,0)))*Settings!$B$6+N(INDEX(Mob_Demob!$M$6:$M$14,MATCH(AM256,Mob_Demob!$A$6:$A$14,0)))*N(INDEX(Mob_Demob!$N$6:$N$14,MATCH(AM256,Mob_Demob!$A$6:$A$14,0))),0)),"")</f>
        <v>200</v>
      </c>
      <c r="AR256" s="16" t="n">
        <f aca="false">IF(AQ256="","",ROUND(AQ256*Settings!$B$18,0))</f>
        <v>200</v>
      </c>
      <c r="AS256" s="13" t="s">
        <v>1856</v>
      </c>
      <c r="AT256" s="14" t="s">
        <v>1891</v>
      </c>
      <c r="AU256" s="14" t="s">
        <v>341</v>
      </c>
    </row>
    <row r="257" customFormat="false" ht="53.7" hidden="false" customHeight="false" outlineLevel="0" collapsed="false">
      <c r="A257" s="21" t="s">
        <v>1892</v>
      </c>
      <c r="B257" s="21" t="s">
        <v>1847</v>
      </c>
      <c r="C257" s="21" t="s">
        <v>1848</v>
      </c>
      <c r="D257" s="21" t="s">
        <v>1849</v>
      </c>
      <c r="E257" s="22" t="s">
        <v>1893</v>
      </c>
      <c r="F257" s="13" t="s">
        <v>1851</v>
      </c>
      <c r="G257" s="13" t="n">
        <v>26</v>
      </c>
      <c r="H257" s="13" t="s">
        <v>462</v>
      </c>
      <c r="I257" s="14" t="s">
        <v>1894</v>
      </c>
      <c r="J257" s="15"/>
      <c r="K257" s="13"/>
      <c r="L257" s="13" t="s">
        <v>1873</v>
      </c>
      <c r="M257" s="13" t="n">
        <v>26</v>
      </c>
      <c r="N257" s="13" t="s">
        <v>1737</v>
      </c>
      <c r="O257" s="13" t="s">
        <v>1844</v>
      </c>
      <c r="P257" s="13" t="s">
        <v>186</v>
      </c>
      <c r="Q257" s="20" t="n">
        <v>190</v>
      </c>
      <c r="R257" s="20" t="n">
        <v>467</v>
      </c>
      <c r="S257" s="20" t="n">
        <v>878</v>
      </c>
      <c r="T257" s="20" t="n">
        <v>795</v>
      </c>
      <c r="U257" s="20" t="n">
        <v>1100</v>
      </c>
      <c r="V257" s="13" t="s">
        <v>187</v>
      </c>
      <c r="W257" s="17"/>
      <c r="X257" s="13"/>
      <c r="Y257" s="13" t="s">
        <v>1884</v>
      </c>
      <c r="Z257" s="13" t="s">
        <v>1885</v>
      </c>
      <c r="AA257" s="13" t="s">
        <v>213</v>
      </c>
      <c r="AB257" s="13"/>
      <c r="AC257" s="17"/>
      <c r="AD257" s="13"/>
      <c r="AE257" s="19" t="n">
        <v>0</v>
      </c>
      <c r="AF257" s="19" t="n">
        <v>0</v>
      </c>
      <c r="AG257" s="19" t="n">
        <v>0</v>
      </c>
      <c r="AH257" s="13" t="s">
        <v>1739</v>
      </c>
      <c r="AI257" s="17"/>
      <c r="AJ257" s="13" t="s">
        <v>188</v>
      </c>
      <c r="AK257" s="13" t="s">
        <v>188</v>
      </c>
      <c r="AL257" s="14" t="s">
        <v>1855</v>
      </c>
      <c r="AM257" s="13" t="s">
        <v>1155</v>
      </c>
      <c r="AN257" s="15"/>
      <c r="AO257" s="13" t="n">
        <v>2.67</v>
      </c>
      <c r="AP257" s="13" t="s">
        <v>196</v>
      </c>
      <c r="AQ257" s="16" t="n">
        <f aca="false">IFERROR(IF(AND(INDEX(Mob_Demob!$D$6:$D$14,MATCH(AM257,Mob_Demob!$A$6:$A$14,0))="",INDEX(Mob_Demob!$G$6:$G$14,MATCH(AM257,Mob_Demob!$A$6:$A$14,0))=""),"",ROUND(MAX(N(INDEX(Mob_Demob!$G$6:$G$14,MATCH(AM257,Mob_Demob!$A$6:$A$14,0))),N(INDEX(Mob_Demob!$D$6:$D$14,MATCH(AM257,Mob_Demob!$A$6:$A$14,0)))*Settings!$B$6)+IF(AP257="Y",N(INDEX(Mob_Demob!$I$6:$I$14,MATCH(AM257,Mob_Demob!$A$6:$A$14,0)))*Settings!$B$19,0)+N(INDEX(Mob_Demob!$L$6:$L$14,MATCH(AM257,Mob_Demob!$A$6:$A$14,0)))*N(INDEX(Mob_Demob!$K$6:$K$14,MATCH(AM257,Mob_Demob!$A$6:$A$14,0)))*Settings!$B$6+N(INDEX(Mob_Demob!$M$6:$M$14,MATCH(AM257,Mob_Demob!$A$6:$A$14,0)))*N(INDEX(Mob_Demob!$N$6:$N$14,MATCH(AM257,Mob_Demob!$A$6:$A$14,0))),0)),"")</f>
        <v>200</v>
      </c>
      <c r="AR257" s="16" t="n">
        <f aca="false">IF(AQ257="","",ROUND(AQ257*Settings!$B$18,0))</f>
        <v>200</v>
      </c>
      <c r="AS257" s="13" t="s">
        <v>1856</v>
      </c>
      <c r="AT257" s="14" t="s">
        <v>1895</v>
      </c>
      <c r="AU257" s="14" t="s">
        <v>341</v>
      </c>
    </row>
    <row r="258" customFormat="false" ht="53.7" hidden="false" customHeight="false" outlineLevel="0" collapsed="false">
      <c r="A258" s="21" t="s">
        <v>1896</v>
      </c>
      <c r="B258" s="21" t="s">
        <v>1847</v>
      </c>
      <c r="C258" s="21" t="s">
        <v>1848</v>
      </c>
      <c r="D258" s="21" t="s">
        <v>1849</v>
      </c>
      <c r="E258" s="22" t="s">
        <v>1897</v>
      </c>
      <c r="F258" s="13" t="s">
        <v>1851</v>
      </c>
      <c r="G258" s="13" t="n">
        <v>26</v>
      </c>
      <c r="H258" s="13" t="s">
        <v>462</v>
      </c>
      <c r="I258" s="14" t="s">
        <v>1898</v>
      </c>
      <c r="J258" s="15"/>
      <c r="K258" s="13"/>
      <c r="L258" s="13" t="s">
        <v>1899</v>
      </c>
      <c r="M258" s="13" t="n">
        <v>26</v>
      </c>
      <c r="N258" s="13" t="s">
        <v>1737</v>
      </c>
      <c r="O258" s="13" t="s">
        <v>1844</v>
      </c>
      <c r="P258" s="13" t="s">
        <v>186</v>
      </c>
      <c r="Q258" s="20" t="n">
        <v>252</v>
      </c>
      <c r="R258" s="20" t="n">
        <v>463</v>
      </c>
      <c r="S258" s="20" t="n">
        <v>836</v>
      </c>
      <c r="T258" s="16"/>
      <c r="U258" s="16"/>
      <c r="V258" s="13" t="s">
        <v>187</v>
      </c>
      <c r="W258" s="17"/>
      <c r="X258" s="13"/>
      <c r="Y258" s="13" t="s">
        <v>1853</v>
      </c>
      <c r="Z258" s="13" t="s">
        <v>1854</v>
      </c>
      <c r="AA258" s="13" t="s">
        <v>192</v>
      </c>
      <c r="AB258" s="13"/>
      <c r="AC258" s="17"/>
      <c r="AD258" s="13"/>
      <c r="AE258" s="19" t="n">
        <v>0</v>
      </c>
      <c r="AF258" s="19" t="n">
        <v>0</v>
      </c>
      <c r="AG258" s="19" t="n">
        <v>0</v>
      </c>
      <c r="AH258" s="13" t="s">
        <v>1739</v>
      </c>
      <c r="AI258" s="17"/>
      <c r="AJ258" s="13" t="s">
        <v>188</v>
      </c>
      <c r="AK258" s="13" t="s">
        <v>188</v>
      </c>
      <c r="AL258" s="14" t="s">
        <v>1855</v>
      </c>
      <c r="AM258" s="13" t="s">
        <v>1155</v>
      </c>
      <c r="AN258" s="15"/>
      <c r="AO258" s="13" t="n">
        <v>3.83</v>
      </c>
      <c r="AP258" s="13" t="s">
        <v>196</v>
      </c>
      <c r="AQ258" s="16" t="n">
        <f aca="false">IFERROR(IF(AND(INDEX(Mob_Demob!$D$6:$D$14,MATCH(AM258,Mob_Demob!$A$6:$A$14,0))="",INDEX(Mob_Demob!$G$6:$G$14,MATCH(AM258,Mob_Demob!$A$6:$A$14,0))=""),"",ROUND(MAX(N(INDEX(Mob_Demob!$G$6:$G$14,MATCH(AM258,Mob_Demob!$A$6:$A$14,0))),N(INDEX(Mob_Demob!$D$6:$D$14,MATCH(AM258,Mob_Demob!$A$6:$A$14,0)))*Settings!$B$6)+IF(AP258="Y",N(INDEX(Mob_Demob!$I$6:$I$14,MATCH(AM258,Mob_Demob!$A$6:$A$14,0)))*Settings!$B$19,0)+N(INDEX(Mob_Demob!$L$6:$L$14,MATCH(AM258,Mob_Demob!$A$6:$A$14,0)))*N(INDEX(Mob_Demob!$K$6:$K$14,MATCH(AM258,Mob_Demob!$A$6:$A$14,0)))*Settings!$B$6+N(INDEX(Mob_Demob!$M$6:$M$14,MATCH(AM258,Mob_Demob!$A$6:$A$14,0)))*N(INDEX(Mob_Demob!$N$6:$N$14,MATCH(AM258,Mob_Demob!$A$6:$A$14,0))),0)),"")</f>
        <v>200</v>
      </c>
      <c r="AR258" s="16" t="n">
        <f aca="false">IF(AQ258="","",ROUND(AQ258*Settings!$B$18,0))</f>
        <v>200</v>
      </c>
      <c r="AS258" s="13" t="s">
        <v>1856</v>
      </c>
      <c r="AT258" s="14" t="s">
        <v>1900</v>
      </c>
      <c r="AU258" s="14" t="s">
        <v>341</v>
      </c>
    </row>
    <row r="259" customFormat="false" ht="53.7" hidden="false" customHeight="false" outlineLevel="0" collapsed="false">
      <c r="A259" s="21" t="s">
        <v>1901</v>
      </c>
      <c r="B259" s="21" t="s">
        <v>1847</v>
      </c>
      <c r="C259" s="21" t="s">
        <v>1848</v>
      </c>
      <c r="D259" s="21" t="s">
        <v>1849</v>
      </c>
      <c r="E259" s="22" t="s">
        <v>1902</v>
      </c>
      <c r="F259" s="13" t="s">
        <v>1851</v>
      </c>
      <c r="G259" s="13" t="n">
        <v>32</v>
      </c>
      <c r="H259" s="13" t="s">
        <v>462</v>
      </c>
      <c r="I259" s="14" t="s">
        <v>1903</v>
      </c>
      <c r="J259" s="15"/>
      <c r="K259" s="13"/>
      <c r="L259" s="13" t="s">
        <v>1873</v>
      </c>
      <c r="M259" s="13" t="n">
        <v>32</v>
      </c>
      <c r="N259" s="13" t="s">
        <v>1737</v>
      </c>
      <c r="O259" s="13" t="s">
        <v>1844</v>
      </c>
      <c r="P259" s="13" t="s">
        <v>186</v>
      </c>
      <c r="Q259" s="20" t="n">
        <v>250</v>
      </c>
      <c r="R259" s="20" t="n">
        <v>621</v>
      </c>
      <c r="S259" s="20" t="n">
        <v>1215</v>
      </c>
      <c r="T259" s="20" t="n">
        <v>1175</v>
      </c>
      <c r="U259" s="20" t="n">
        <v>1500</v>
      </c>
      <c r="V259" s="13" t="s">
        <v>187</v>
      </c>
      <c r="W259" s="17"/>
      <c r="X259" s="13"/>
      <c r="Y259" s="13" t="s">
        <v>1904</v>
      </c>
      <c r="Z259" s="13" t="s">
        <v>1905</v>
      </c>
      <c r="AA259" s="13" t="s">
        <v>213</v>
      </c>
      <c r="AB259" s="13"/>
      <c r="AC259" s="17"/>
      <c r="AD259" s="13"/>
      <c r="AE259" s="19" t="n">
        <v>0</v>
      </c>
      <c r="AF259" s="19" t="n">
        <v>0</v>
      </c>
      <c r="AG259" s="19" t="n">
        <v>0</v>
      </c>
      <c r="AH259" s="13" t="s">
        <v>1739</v>
      </c>
      <c r="AI259" s="17"/>
      <c r="AJ259" s="13" t="s">
        <v>188</v>
      </c>
      <c r="AK259" s="13" t="s">
        <v>188</v>
      </c>
      <c r="AL259" s="14" t="s">
        <v>1855</v>
      </c>
      <c r="AM259" s="13" t="s">
        <v>1155</v>
      </c>
      <c r="AN259" s="15"/>
      <c r="AO259" s="13" t="n">
        <v>2.67</v>
      </c>
      <c r="AP259" s="13" t="s">
        <v>196</v>
      </c>
      <c r="AQ259" s="16" t="n">
        <f aca="false">IFERROR(IF(AND(INDEX(Mob_Demob!$D$6:$D$14,MATCH(AM259,Mob_Demob!$A$6:$A$14,0))="",INDEX(Mob_Demob!$G$6:$G$14,MATCH(AM259,Mob_Demob!$A$6:$A$14,0))=""),"",ROUND(MAX(N(INDEX(Mob_Demob!$G$6:$G$14,MATCH(AM259,Mob_Demob!$A$6:$A$14,0))),N(INDEX(Mob_Demob!$D$6:$D$14,MATCH(AM259,Mob_Demob!$A$6:$A$14,0)))*Settings!$B$6)+IF(AP259="Y",N(INDEX(Mob_Demob!$I$6:$I$14,MATCH(AM259,Mob_Demob!$A$6:$A$14,0)))*Settings!$B$19,0)+N(INDEX(Mob_Demob!$L$6:$L$14,MATCH(AM259,Mob_Demob!$A$6:$A$14,0)))*N(INDEX(Mob_Demob!$K$6:$K$14,MATCH(AM259,Mob_Demob!$A$6:$A$14,0)))*Settings!$B$6+N(INDEX(Mob_Demob!$M$6:$M$14,MATCH(AM259,Mob_Demob!$A$6:$A$14,0)))*N(INDEX(Mob_Demob!$N$6:$N$14,MATCH(AM259,Mob_Demob!$A$6:$A$14,0))),0)),"")</f>
        <v>200</v>
      </c>
      <c r="AR259" s="16" t="n">
        <f aca="false">IF(AQ259="","",ROUND(AQ259*Settings!$B$18,0))</f>
        <v>200</v>
      </c>
      <c r="AS259" s="13" t="s">
        <v>1856</v>
      </c>
      <c r="AT259" s="14" t="s">
        <v>1906</v>
      </c>
      <c r="AU259" s="14" t="s">
        <v>341</v>
      </c>
    </row>
    <row r="260" customFormat="false" ht="53.7" hidden="false" customHeight="false" outlineLevel="0" collapsed="false">
      <c r="A260" s="21" t="s">
        <v>1907</v>
      </c>
      <c r="B260" s="21" t="s">
        <v>1847</v>
      </c>
      <c r="C260" s="21" t="s">
        <v>1848</v>
      </c>
      <c r="D260" s="21" t="s">
        <v>1849</v>
      </c>
      <c r="E260" s="22" t="s">
        <v>1908</v>
      </c>
      <c r="F260" s="13" t="s">
        <v>1851</v>
      </c>
      <c r="G260" s="13" t="n">
        <v>32</v>
      </c>
      <c r="H260" s="13" t="s">
        <v>462</v>
      </c>
      <c r="I260" s="14" t="s">
        <v>1909</v>
      </c>
      <c r="J260" s="15"/>
      <c r="K260" s="13"/>
      <c r="L260" s="13" t="s">
        <v>1910</v>
      </c>
      <c r="M260" s="13" t="n">
        <v>32</v>
      </c>
      <c r="N260" s="13" t="s">
        <v>1737</v>
      </c>
      <c r="O260" s="13" t="s">
        <v>1844</v>
      </c>
      <c r="P260" s="13" t="s">
        <v>186</v>
      </c>
      <c r="Q260" s="20" t="n">
        <v>294</v>
      </c>
      <c r="R260" s="20" t="n">
        <v>566</v>
      </c>
      <c r="S260" s="20" t="n">
        <v>1175</v>
      </c>
      <c r="T260" s="16"/>
      <c r="U260" s="16"/>
      <c r="V260" s="13" t="s">
        <v>187</v>
      </c>
      <c r="W260" s="17"/>
      <c r="X260" s="13"/>
      <c r="Y260" s="13" t="s">
        <v>1853</v>
      </c>
      <c r="Z260" s="13" t="s">
        <v>1854</v>
      </c>
      <c r="AA260" s="13" t="s">
        <v>192</v>
      </c>
      <c r="AB260" s="13"/>
      <c r="AC260" s="17"/>
      <c r="AD260" s="13"/>
      <c r="AE260" s="19" t="n">
        <v>0</v>
      </c>
      <c r="AF260" s="19" t="n">
        <v>0</v>
      </c>
      <c r="AG260" s="19" t="n">
        <v>0</v>
      </c>
      <c r="AH260" s="13" t="s">
        <v>1739</v>
      </c>
      <c r="AI260" s="17"/>
      <c r="AJ260" s="13" t="s">
        <v>188</v>
      </c>
      <c r="AK260" s="13" t="s">
        <v>188</v>
      </c>
      <c r="AL260" s="14" t="s">
        <v>1855</v>
      </c>
      <c r="AM260" s="13" t="s">
        <v>1155</v>
      </c>
      <c r="AN260" s="15"/>
      <c r="AO260" s="13" t="n">
        <v>3.83</v>
      </c>
      <c r="AP260" s="13" t="s">
        <v>196</v>
      </c>
      <c r="AQ260" s="16" t="n">
        <f aca="false">IFERROR(IF(AND(INDEX(Mob_Demob!$D$6:$D$14,MATCH(AM260,Mob_Demob!$A$6:$A$14,0))="",INDEX(Mob_Demob!$G$6:$G$14,MATCH(AM260,Mob_Demob!$A$6:$A$14,0))=""),"",ROUND(MAX(N(INDEX(Mob_Demob!$G$6:$G$14,MATCH(AM260,Mob_Demob!$A$6:$A$14,0))),N(INDEX(Mob_Demob!$D$6:$D$14,MATCH(AM260,Mob_Demob!$A$6:$A$14,0)))*Settings!$B$6)+IF(AP260="Y",N(INDEX(Mob_Demob!$I$6:$I$14,MATCH(AM260,Mob_Demob!$A$6:$A$14,0)))*Settings!$B$19,0)+N(INDEX(Mob_Demob!$L$6:$L$14,MATCH(AM260,Mob_Demob!$A$6:$A$14,0)))*N(INDEX(Mob_Demob!$K$6:$K$14,MATCH(AM260,Mob_Demob!$A$6:$A$14,0)))*Settings!$B$6+N(INDEX(Mob_Demob!$M$6:$M$14,MATCH(AM260,Mob_Demob!$A$6:$A$14,0)))*N(INDEX(Mob_Demob!$N$6:$N$14,MATCH(AM260,Mob_Demob!$A$6:$A$14,0))),0)),"")</f>
        <v>200</v>
      </c>
      <c r="AR260" s="16" t="n">
        <f aca="false">IF(AQ260="","",ROUND(AQ260*Settings!$B$18,0))</f>
        <v>200</v>
      </c>
      <c r="AS260" s="13" t="s">
        <v>1856</v>
      </c>
      <c r="AT260" s="14" t="s">
        <v>1911</v>
      </c>
      <c r="AU260" s="14" t="s">
        <v>341</v>
      </c>
    </row>
    <row r="261" customFormat="false" ht="74.6" hidden="false" customHeight="false" outlineLevel="0" collapsed="false">
      <c r="A261" s="21" t="s">
        <v>1912</v>
      </c>
      <c r="B261" s="21" t="s">
        <v>1847</v>
      </c>
      <c r="C261" s="21" t="s">
        <v>1848</v>
      </c>
      <c r="D261" s="21" t="s">
        <v>1849</v>
      </c>
      <c r="E261" s="22" t="s">
        <v>1913</v>
      </c>
      <c r="F261" s="13" t="s">
        <v>1851</v>
      </c>
      <c r="G261" s="13" t="n">
        <v>40</v>
      </c>
      <c r="H261" s="13" t="s">
        <v>462</v>
      </c>
      <c r="I261" s="14" t="s">
        <v>1914</v>
      </c>
      <c r="J261" s="15"/>
      <c r="K261" s="13"/>
      <c r="L261" s="13" t="s">
        <v>1915</v>
      </c>
      <c r="M261" s="13" t="n">
        <v>40</v>
      </c>
      <c r="N261" s="13" t="s">
        <v>1737</v>
      </c>
      <c r="O261" s="13" t="s">
        <v>1844</v>
      </c>
      <c r="P261" s="13" t="s">
        <v>186</v>
      </c>
      <c r="Q261" s="20" t="n">
        <v>330</v>
      </c>
      <c r="R261" s="20" t="n">
        <v>764</v>
      </c>
      <c r="S261" s="20" t="n">
        <v>1596</v>
      </c>
      <c r="T261" s="20" t="n">
        <v>1450</v>
      </c>
      <c r="U261" s="20" t="n">
        <v>1850</v>
      </c>
      <c r="V261" s="13" t="s">
        <v>187</v>
      </c>
      <c r="W261" s="17"/>
      <c r="X261" s="13"/>
      <c r="Y261" s="13" t="s">
        <v>1884</v>
      </c>
      <c r="Z261" s="13" t="s">
        <v>1885</v>
      </c>
      <c r="AA261" s="13" t="s">
        <v>213</v>
      </c>
      <c r="AB261" s="13"/>
      <c r="AC261" s="17"/>
      <c r="AD261" s="13"/>
      <c r="AE261" s="19" t="n">
        <v>0</v>
      </c>
      <c r="AF261" s="19" t="n">
        <v>0</v>
      </c>
      <c r="AG261" s="19" t="n">
        <v>0</v>
      </c>
      <c r="AH261" s="13" t="s">
        <v>1739</v>
      </c>
      <c r="AI261" s="17"/>
      <c r="AJ261" s="13" t="s">
        <v>188</v>
      </c>
      <c r="AK261" s="13" t="s">
        <v>188</v>
      </c>
      <c r="AL261" s="14" t="s">
        <v>1855</v>
      </c>
      <c r="AM261" s="13" t="s">
        <v>1155</v>
      </c>
      <c r="AN261" s="15"/>
      <c r="AO261" s="13" t="n">
        <v>3.83</v>
      </c>
      <c r="AP261" s="13" t="s">
        <v>196</v>
      </c>
      <c r="AQ261" s="16" t="n">
        <f aca="false">IFERROR(IF(AND(INDEX(Mob_Demob!$D$6:$D$14,MATCH(AM261,Mob_Demob!$A$6:$A$14,0))="",INDEX(Mob_Demob!$G$6:$G$14,MATCH(AM261,Mob_Demob!$A$6:$A$14,0))=""),"",ROUND(MAX(N(INDEX(Mob_Demob!$G$6:$G$14,MATCH(AM261,Mob_Demob!$A$6:$A$14,0))),N(INDEX(Mob_Demob!$D$6:$D$14,MATCH(AM261,Mob_Demob!$A$6:$A$14,0)))*Settings!$B$6)+IF(AP261="Y",N(INDEX(Mob_Demob!$I$6:$I$14,MATCH(AM261,Mob_Demob!$A$6:$A$14,0)))*Settings!$B$19,0)+N(INDEX(Mob_Demob!$L$6:$L$14,MATCH(AM261,Mob_Demob!$A$6:$A$14,0)))*N(INDEX(Mob_Demob!$K$6:$K$14,MATCH(AM261,Mob_Demob!$A$6:$A$14,0)))*Settings!$B$6+N(INDEX(Mob_Demob!$M$6:$M$14,MATCH(AM261,Mob_Demob!$A$6:$A$14,0)))*N(INDEX(Mob_Demob!$N$6:$N$14,MATCH(AM261,Mob_Demob!$A$6:$A$14,0))),0)),"")</f>
        <v>200</v>
      </c>
      <c r="AR261" s="16" t="n">
        <f aca="false">IF(AQ261="","",ROUND(AQ261*Settings!$B$18,0))</f>
        <v>200</v>
      </c>
      <c r="AS261" s="13" t="s">
        <v>1856</v>
      </c>
      <c r="AT261" s="14" t="s">
        <v>1916</v>
      </c>
      <c r="AU261" s="14" t="s">
        <v>341</v>
      </c>
    </row>
    <row r="262" customFormat="false" ht="53.7" hidden="false" customHeight="false" outlineLevel="0" collapsed="false">
      <c r="A262" s="21" t="s">
        <v>1917</v>
      </c>
      <c r="B262" s="21" t="s">
        <v>1847</v>
      </c>
      <c r="C262" s="21" t="s">
        <v>1848</v>
      </c>
      <c r="D262" s="21" t="s">
        <v>1849</v>
      </c>
      <c r="E262" s="22" t="s">
        <v>1918</v>
      </c>
      <c r="F262" s="13" t="s">
        <v>1851</v>
      </c>
      <c r="G262" s="13" t="n">
        <v>46</v>
      </c>
      <c r="H262" s="13" t="s">
        <v>462</v>
      </c>
      <c r="I262" s="14" t="s">
        <v>1919</v>
      </c>
      <c r="J262" s="15"/>
      <c r="K262" s="13"/>
      <c r="L262" s="13" t="s">
        <v>1915</v>
      </c>
      <c r="M262" s="13" t="n">
        <v>46</v>
      </c>
      <c r="N262" s="13" t="s">
        <v>1737</v>
      </c>
      <c r="O262" s="13" t="s">
        <v>1844</v>
      </c>
      <c r="P262" s="13" t="s">
        <v>186</v>
      </c>
      <c r="Q262" s="20" t="n">
        <v>371</v>
      </c>
      <c r="R262" s="20" t="n">
        <v>857</v>
      </c>
      <c r="S262" s="20" t="n">
        <v>1942</v>
      </c>
      <c r="T262" s="16"/>
      <c r="U262" s="16"/>
      <c r="V262" s="13" t="s">
        <v>187</v>
      </c>
      <c r="W262" s="17"/>
      <c r="X262" s="13"/>
      <c r="Y262" s="13" t="s">
        <v>1853</v>
      </c>
      <c r="Z262" s="13" t="s">
        <v>1854</v>
      </c>
      <c r="AA262" s="13" t="s">
        <v>192</v>
      </c>
      <c r="AB262" s="13"/>
      <c r="AC262" s="17"/>
      <c r="AD262" s="13"/>
      <c r="AE262" s="19" t="n">
        <v>0</v>
      </c>
      <c r="AF262" s="19" t="n">
        <v>0</v>
      </c>
      <c r="AG262" s="19" t="n">
        <v>0</v>
      </c>
      <c r="AH262" s="13" t="s">
        <v>1739</v>
      </c>
      <c r="AI262" s="17"/>
      <c r="AJ262" s="13" t="s">
        <v>188</v>
      </c>
      <c r="AK262" s="13" t="s">
        <v>188</v>
      </c>
      <c r="AL262" s="14" t="s">
        <v>1855</v>
      </c>
      <c r="AM262" s="13" t="s">
        <v>1155</v>
      </c>
      <c r="AN262" s="15"/>
      <c r="AO262" s="13" t="n">
        <v>4.58</v>
      </c>
      <c r="AP262" s="13" t="s">
        <v>196</v>
      </c>
      <c r="AQ262" s="16" t="n">
        <f aca="false">IFERROR(IF(AND(INDEX(Mob_Demob!$D$6:$D$14,MATCH(AM262,Mob_Demob!$A$6:$A$14,0))="",INDEX(Mob_Demob!$G$6:$G$14,MATCH(AM262,Mob_Demob!$A$6:$A$14,0))=""),"",ROUND(MAX(N(INDEX(Mob_Demob!$G$6:$G$14,MATCH(AM262,Mob_Demob!$A$6:$A$14,0))),N(INDEX(Mob_Demob!$D$6:$D$14,MATCH(AM262,Mob_Demob!$A$6:$A$14,0)))*Settings!$B$6)+IF(AP262="Y",N(INDEX(Mob_Demob!$I$6:$I$14,MATCH(AM262,Mob_Demob!$A$6:$A$14,0)))*Settings!$B$19,0)+N(INDEX(Mob_Demob!$L$6:$L$14,MATCH(AM262,Mob_Demob!$A$6:$A$14,0)))*N(INDEX(Mob_Demob!$K$6:$K$14,MATCH(AM262,Mob_Demob!$A$6:$A$14,0)))*Settings!$B$6+N(INDEX(Mob_Demob!$M$6:$M$14,MATCH(AM262,Mob_Demob!$A$6:$A$14,0)))*N(INDEX(Mob_Demob!$N$6:$N$14,MATCH(AM262,Mob_Demob!$A$6:$A$14,0))),0)),"")</f>
        <v>200</v>
      </c>
      <c r="AR262" s="16" t="n">
        <f aca="false">IF(AQ262="","",ROUND(AQ262*Settings!$B$18,0))</f>
        <v>200</v>
      </c>
      <c r="AS262" s="13" t="s">
        <v>1856</v>
      </c>
      <c r="AT262" s="14" t="s">
        <v>1920</v>
      </c>
      <c r="AU262" s="14" t="s">
        <v>341</v>
      </c>
    </row>
    <row r="263" customFormat="false" ht="64.15" hidden="false" customHeight="false" outlineLevel="0" collapsed="false">
      <c r="A263" s="21" t="s">
        <v>1921</v>
      </c>
      <c r="B263" s="21" t="s">
        <v>1847</v>
      </c>
      <c r="C263" s="21" t="s">
        <v>1922</v>
      </c>
      <c r="D263" s="21" t="s">
        <v>1923</v>
      </c>
      <c r="E263" s="22" t="s">
        <v>1924</v>
      </c>
      <c r="F263" s="13" t="s">
        <v>1851</v>
      </c>
      <c r="G263" s="13" t="n">
        <v>26</v>
      </c>
      <c r="H263" s="13" t="s">
        <v>462</v>
      </c>
      <c r="I263" s="14" t="s">
        <v>1925</v>
      </c>
      <c r="J263" s="15"/>
      <c r="K263" s="13"/>
      <c r="L263" s="13" t="s">
        <v>1926</v>
      </c>
      <c r="M263" s="13" t="n">
        <v>26</v>
      </c>
      <c r="N263" s="13" t="s">
        <v>1927</v>
      </c>
      <c r="O263" s="13" t="s">
        <v>1844</v>
      </c>
      <c r="P263" s="13" t="s">
        <v>186</v>
      </c>
      <c r="Q263" s="20" t="n">
        <v>310</v>
      </c>
      <c r="R263" s="20" t="n">
        <v>808</v>
      </c>
      <c r="S263" s="20" t="n">
        <v>1839</v>
      </c>
      <c r="T263" s="20" t="n">
        <v>1177</v>
      </c>
      <c r="U263" s="20" t="n">
        <v>2500</v>
      </c>
      <c r="V263" s="13" t="s">
        <v>187</v>
      </c>
      <c r="W263" s="17"/>
      <c r="X263" s="13"/>
      <c r="Y263" s="13" t="s">
        <v>1928</v>
      </c>
      <c r="Z263" s="13" t="s">
        <v>1929</v>
      </c>
      <c r="AA263" s="13" t="s">
        <v>192</v>
      </c>
      <c r="AB263" s="13"/>
      <c r="AC263" s="17"/>
      <c r="AD263" s="13"/>
      <c r="AE263" s="19"/>
      <c r="AF263" s="19"/>
      <c r="AG263" s="19"/>
      <c r="AH263" s="13"/>
      <c r="AI263" s="17"/>
      <c r="AJ263" s="13" t="s">
        <v>188</v>
      </c>
      <c r="AK263" s="13" t="s">
        <v>188</v>
      </c>
      <c r="AL263" s="14" t="s">
        <v>1855</v>
      </c>
      <c r="AM263" s="13" t="s">
        <v>1155</v>
      </c>
      <c r="AN263" s="15"/>
      <c r="AO263" s="13" t="n">
        <v>5.75</v>
      </c>
      <c r="AP263" s="13" t="s">
        <v>196</v>
      </c>
      <c r="AQ263" s="16" t="n">
        <f aca="false">IFERROR(IF(AND(INDEX(Mob_Demob!$D$6:$D$14,MATCH(AM263,Mob_Demob!$A$6:$A$14,0))="",INDEX(Mob_Demob!$G$6:$G$14,MATCH(AM263,Mob_Demob!$A$6:$A$14,0))=""),"",ROUND(MAX(N(INDEX(Mob_Demob!$G$6:$G$14,MATCH(AM263,Mob_Demob!$A$6:$A$14,0))),N(INDEX(Mob_Demob!$D$6:$D$14,MATCH(AM263,Mob_Demob!$A$6:$A$14,0)))*Settings!$B$6)+IF(AP263="Y",N(INDEX(Mob_Demob!$I$6:$I$14,MATCH(AM263,Mob_Demob!$A$6:$A$14,0)))*Settings!$B$19,0)+N(INDEX(Mob_Demob!$L$6:$L$14,MATCH(AM263,Mob_Demob!$A$6:$A$14,0)))*N(INDEX(Mob_Demob!$K$6:$K$14,MATCH(AM263,Mob_Demob!$A$6:$A$14,0)))*Settings!$B$6+N(INDEX(Mob_Demob!$M$6:$M$14,MATCH(AM263,Mob_Demob!$A$6:$A$14,0)))*N(INDEX(Mob_Demob!$N$6:$N$14,MATCH(AM263,Mob_Demob!$A$6:$A$14,0))),0)),"")</f>
        <v>200</v>
      </c>
      <c r="AR263" s="16" t="n">
        <f aca="false">IF(AQ263="","",ROUND(AQ263*Settings!$B$18,0))</f>
        <v>200</v>
      </c>
      <c r="AS263" s="13" t="s">
        <v>1856</v>
      </c>
      <c r="AT263" s="14" t="s">
        <v>1930</v>
      </c>
      <c r="AU263" s="14" t="s">
        <v>262</v>
      </c>
    </row>
    <row r="264" customFormat="false" ht="53.7" hidden="false" customHeight="false" outlineLevel="0" collapsed="false">
      <c r="A264" s="21" t="s">
        <v>1931</v>
      </c>
      <c r="B264" s="21" t="s">
        <v>1847</v>
      </c>
      <c r="C264" s="21" t="s">
        <v>1922</v>
      </c>
      <c r="D264" s="21" t="s">
        <v>1923</v>
      </c>
      <c r="E264" s="22" t="s">
        <v>1932</v>
      </c>
      <c r="F264" s="13" t="s">
        <v>1851</v>
      </c>
      <c r="G264" s="13" t="n">
        <v>33</v>
      </c>
      <c r="H264" s="13" t="s">
        <v>462</v>
      </c>
      <c r="I264" s="14" t="s">
        <v>1933</v>
      </c>
      <c r="J264" s="15"/>
      <c r="K264" s="13"/>
      <c r="L264" s="13" t="s">
        <v>1899</v>
      </c>
      <c r="M264" s="13" t="n">
        <v>33</v>
      </c>
      <c r="N264" s="13" t="s">
        <v>1927</v>
      </c>
      <c r="O264" s="13" t="s">
        <v>1844</v>
      </c>
      <c r="P264" s="13" t="s">
        <v>186</v>
      </c>
      <c r="Q264" s="20" t="n">
        <v>325</v>
      </c>
      <c r="R264" s="20" t="n">
        <v>851</v>
      </c>
      <c r="S264" s="20" t="n">
        <v>1931</v>
      </c>
      <c r="T264" s="20" t="n">
        <v>1362</v>
      </c>
      <c r="U264" s="20" t="n">
        <v>2500</v>
      </c>
      <c r="V264" s="13" t="s">
        <v>187</v>
      </c>
      <c r="W264" s="17"/>
      <c r="X264" s="13"/>
      <c r="Y264" s="13" t="s">
        <v>1928</v>
      </c>
      <c r="Z264" s="13" t="s">
        <v>1929</v>
      </c>
      <c r="AA264" s="13" t="s">
        <v>192</v>
      </c>
      <c r="AB264" s="13"/>
      <c r="AC264" s="17"/>
      <c r="AD264" s="13"/>
      <c r="AE264" s="19"/>
      <c r="AF264" s="19"/>
      <c r="AG264" s="19"/>
      <c r="AH264" s="13"/>
      <c r="AI264" s="17"/>
      <c r="AJ264" s="13" t="s">
        <v>188</v>
      </c>
      <c r="AK264" s="13" t="s">
        <v>188</v>
      </c>
      <c r="AL264" s="14" t="s">
        <v>1855</v>
      </c>
      <c r="AM264" s="13" t="s">
        <v>1155</v>
      </c>
      <c r="AN264" s="15"/>
      <c r="AO264" s="13" t="n">
        <v>5.75</v>
      </c>
      <c r="AP264" s="13" t="s">
        <v>196</v>
      </c>
      <c r="AQ264" s="16" t="n">
        <f aca="false">IFERROR(IF(AND(INDEX(Mob_Demob!$D$6:$D$14,MATCH(AM264,Mob_Demob!$A$6:$A$14,0))="",INDEX(Mob_Demob!$G$6:$G$14,MATCH(AM264,Mob_Demob!$A$6:$A$14,0))=""),"",ROUND(MAX(N(INDEX(Mob_Demob!$G$6:$G$14,MATCH(AM264,Mob_Demob!$A$6:$A$14,0))),N(INDEX(Mob_Demob!$D$6:$D$14,MATCH(AM264,Mob_Demob!$A$6:$A$14,0)))*Settings!$B$6)+IF(AP264="Y",N(INDEX(Mob_Demob!$I$6:$I$14,MATCH(AM264,Mob_Demob!$A$6:$A$14,0)))*Settings!$B$19,0)+N(INDEX(Mob_Demob!$L$6:$L$14,MATCH(AM264,Mob_Demob!$A$6:$A$14,0)))*N(INDEX(Mob_Demob!$K$6:$K$14,MATCH(AM264,Mob_Demob!$A$6:$A$14,0)))*Settings!$B$6+N(INDEX(Mob_Demob!$M$6:$M$14,MATCH(AM264,Mob_Demob!$A$6:$A$14,0)))*N(INDEX(Mob_Demob!$N$6:$N$14,MATCH(AM264,Mob_Demob!$A$6:$A$14,0))),0)),"")</f>
        <v>200</v>
      </c>
      <c r="AR264" s="16" t="n">
        <f aca="false">IF(AQ264="","",ROUND(AQ264*Settings!$B$18,0))</f>
        <v>200</v>
      </c>
      <c r="AS264" s="13" t="s">
        <v>1856</v>
      </c>
      <c r="AT264" s="14" t="s">
        <v>1934</v>
      </c>
      <c r="AU264" s="14" t="s">
        <v>262</v>
      </c>
    </row>
    <row r="265" customFormat="false" ht="53.7" hidden="false" customHeight="false" outlineLevel="0" collapsed="false">
      <c r="A265" s="21" t="s">
        <v>1935</v>
      </c>
      <c r="B265" s="21" t="s">
        <v>1847</v>
      </c>
      <c r="C265" s="21" t="s">
        <v>1922</v>
      </c>
      <c r="D265" s="21" t="s">
        <v>1923</v>
      </c>
      <c r="E265" s="22" t="s">
        <v>1936</v>
      </c>
      <c r="F265" s="13" t="s">
        <v>1851</v>
      </c>
      <c r="G265" s="13" t="n">
        <v>33</v>
      </c>
      <c r="H265" s="13" t="s">
        <v>462</v>
      </c>
      <c r="I265" s="14" t="s">
        <v>1937</v>
      </c>
      <c r="J265" s="15"/>
      <c r="K265" s="13"/>
      <c r="L265" s="13" t="s">
        <v>1938</v>
      </c>
      <c r="M265" s="13" t="n">
        <v>33</v>
      </c>
      <c r="N265" s="13" t="s">
        <v>184</v>
      </c>
      <c r="O265" s="13" t="s">
        <v>1844</v>
      </c>
      <c r="P265" s="13" t="s">
        <v>186</v>
      </c>
      <c r="Q265" s="16"/>
      <c r="R265" s="16"/>
      <c r="S265" s="16"/>
      <c r="T265" s="16"/>
      <c r="U265" s="16"/>
      <c r="V265" s="13" t="s">
        <v>187</v>
      </c>
      <c r="W265" s="17"/>
      <c r="X265" s="13"/>
      <c r="Y265" s="13"/>
      <c r="Z265" s="13"/>
      <c r="AA265" s="13" t="s">
        <v>188</v>
      </c>
      <c r="AB265" s="13"/>
      <c r="AC265" s="17"/>
      <c r="AD265" s="13"/>
      <c r="AE265" s="19"/>
      <c r="AF265" s="19"/>
      <c r="AG265" s="19"/>
      <c r="AH265" s="13"/>
      <c r="AI265" s="17"/>
      <c r="AJ265" s="13" t="s">
        <v>188</v>
      </c>
      <c r="AK265" s="13" t="s">
        <v>188</v>
      </c>
      <c r="AL265" s="14" t="s">
        <v>1855</v>
      </c>
      <c r="AM265" s="13" t="s">
        <v>1155</v>
      </c>
      <c r="AN265" s="15"/>
      <c r="AO265" s="13" t="n">
        <v>7.67</v>
      </c>
      <c r="AP265" s="13" t="s">
        <v>196</v>
      </c>
      <c r="AQ265" s="16" t="n">
        <f aca="false">IFERROR(IF(AND(INDEX(Mob_Demob!$D$6:$D$14,MATCH(AM265,Mob_Demob!$A$6:$A$14,0))="",INDEX(Mob_Demob!$G$6:$G$14,MATCH(AM265,Mob_Demob!$A$6:$A$14,0))=""),"",ROUND(MAX(N(INDEX(Mob_Demob!$G$6:$G$14,MATCH(AM265,Mob_Demob!$A$6:$A$14,0))),N(INDEX(Mob_Demob!$D$6:$D$14,MATCH(AM265,Mob_Demob!$A$6:$A$14,0)))*Settings!$B$6)+IF(AP265="Y",N(INDEX(Mob_Demob!$I$6:$I$14,MATCH(AM265,Mob_Demob!$A$6:$A$14,0)))*Settings!$B$19,0)+N(INDEX(Mob_Demob!$L$6:$L$14,MATCH(AM265,Mob_Demob!$A$6:$A$14,0)))*N(INDEX(Mob_Demob!$K$6:$K$14,MATCH(AM265,Mob_Demob!$A$6:$A$14,0)))*Settings!$B$6+N(INDEX(Mob_Demob!$M$6:$M$14,MATCH(AM265,Mob_Demob!$A$6:$A$14,0)))*N(INDEX(Mob_Demob!$N$6:$N$14,MATCH(AM265,Mob_Demob!$A$6:$A$14,0))),0)),"")</f>
        <v>200</v>
      </c>
      <c r="AR265" s="16" t="n">
        <f aca="false">IF(AQ265="","",ROUND(AQ265*Settings!$B$18,0))</f>
        <v>200</v>
      </c>
      <c r="AS265" s="13" t="s">
        <v>1856</v>
      </c>
      <c r="AT265" s="14" t="s">
        <v>1939</v>
      </c>
      <c r="AU265" s="14" t="s">
        <v>466</v>
      </c>
    </row>
    <row r="266" customFormat="false" ht="53.7" hidden="false" customHeight="false" outlineLevel="0" collapsed="false">
      <c r="A266" s="21" t="s">
        <v>1940</v>
      </c>
      <c r="B266" s="21" t="s">
        <v>1847</v>
      </c>
      <c r="C266" s="21" t="s">
        <v>1922</v>
      </c>
      <c r="D266" s="21" t="s">
        <v>1923</v>
      </c>
      <c r="E266" s="22" t="s">
        <v>1941</v>
      </c>
      <c r="F266" s="13" t="s">
        <v>1851</v>
      </c>
      <c r="G266" s="13" t="n">
        <v>40</v>
      </c>
      <c r="H266" s="13" t="s">
        <v>462</v>
      </c>
      <c r="I266" s="14" t="s">
        <v>1942</v>
      </c>
      <c r="J266" s="15"/>
      <c r="K266" s="13"/>
      <c r="L266" s="13" t="s">
        <v>1890</v>
      </c>
      <c r="M266" s="13" t="n">
        <v>40</v>
      </c>
      <c r="N266" s="13" t="s">
        <v>1927</v>
      </c>
      <c r="O266" s="13" t="s">
        <v>1844</v>
      </c>
      <c r="P266" s="13" t="s">
        <v>186</v>
      </c>
      <c r="Q266" s="20" t="n">
        <v>462</v>
      </c>
      <c r="R266" s="20" t="n">
        <v>1061</v>
      </c>
      <c r="S266" s="20" t="n">
        <v>2175</v>
      </c>
      <c r="T266" s="20" t="n">
        <v>1850</v>
      </c>
      <c r="U266" s="20" t="n">
        <v>2500</v>
      </c>
      <c r="V266" s="13" t="s">
        <v>187</v>
      </c>
      <c r="W266" s="17"/>
      <c r="X266" s="13"/>
      <c r="Y266" s="13" t="s">
        <v>1943</v>
      </c>
      <c r="Z266" s="13" t="s">
        <v>1944</v>
      </c>
      <c r="AA266" s="13" t="s">
        <v>213</v>
      </c>
      <c r="AB266" s="13"/>
      <c r="AC266" s="17"/>
      <c r="AD266" s="13"/>
      <c r="AE266" s="19"/>
      <c r="AF266" s="19"/>
      <c r="AG266" s="19"/>
      <c r="AH266" s="13"/>
      <c r="AI266" s="17"/>
      <c r="AJ266" s="13" t="s">
        <v>188</v>
      </c>
      <c r="AK266" s="13" t="s">
        <v>188</v>
      </c>
      <c r="AL266" s="14" t="s">
        <v>1855</v>
      </c>
      <c r="AM266" s="13" t="s">
        <v>1155</v>
      </c>
      <c r="AN266" s="15"/>
      <c r="AO266" s="13" t="n">
        <v>5.75</v>
      </c>
      <c r="AP266" s="13" t="s">
        <v>196</v>
      </c>
      <c r="AQ266" s="16" t="n">
        <f aca="false">IFERROR(IF(AND(INDEX(Mob_Demob!$D$6:$D$14,MATCH(AM266,Mob_Demob!$A$6:$A$14,0))="",INDEX(Mob_Demob!$G$6:$G$14,MATCH(AM266,Mob_Demob!$A$6:$A$14,0))=""),"",ROUND(MAX(N(INDEX(Mob_Demob!$G$6:$G$14,MATCH(AM266,Mob_Demob!$A$6:$A$14,0))),N(INDEX(Mob_Demob!$D$6:$D$14,MATCH(AM266,Mob_Demob!$A$6:$A$14,0)))*Settings!$B$6)+IF(AP266="Y",N(INDEX(Mob_Demob!$I$6:$I$14,MATCH(AM266,Mob_Demob!$A$6:$A$14,0)))*Settings!$B$19,0)+N(INDEX(Mob_Demob!$L$6:$L$14,MATCH(AM266,Mob_Demob!$A$6:$A$14,0)))*N(INDEX(Mob_Demob!$K$6:$K$14,MATCH(AM266,Mob_Demob!$A$6:$A$14,0)))*Settings!$B$6+N(INDEX(Mob_Demob!$M$6:$M$14,MATCH(AM266,Mob_Demob!$A$6:$A$14,0)))*N(INDEX(Mob_Demob!$N$6:$N$14,MATCH(AM266,Mob_Demob!$A$6:$A$14,0))),0)),"")</f>
        <v>200</v>
      </c>
      <c r="AR266" s="16" t="n">
        <f aca="false">IF(AQ266="","",ROUND(AQ266*Settings!$B$18,0))</f>
        <v>200</v>
      </c>
      <c r="AS266" s="13" t="s">
        <v>1856</v>
      </c>
      <c r="AT266" s="14" t="s">
        <v>1945</v>
      </c>
      <c r="AU266" s="14" t="s">
        <v>1946</v>
      </c>
    </row>
    <row r="267" customFormat="false" ht="53.7" hidden="false" customHeight="false" outlineLevel="0" collapsed="false">
      <c r="A267" s="21" t="s">
        <v>1947</v>
      </c>
      <c r="B267" s="21" t="s">
        <v>1847</v>
      </c>
      <c r="C267" s="21" t="s">
        <v>1922</v>
      </c>
      <c r="D267" s="21" t="s">
        <v>1923</v>
      </c>
      <c r="E267" s="22" t="s">
        <v>1948</v>
      </c>
      <c r="F267" s="13" t="s">
        <v>1851</v>
      </c>
      <c r="G267" s="13" t="n">
        <v>40</v>
      </c>
      <c r="H267" s="13" t="s">
        <v>462</v>
      </c>
      <c r="I267" s="14" t="s">
        <v>1949</v>
      </c>
      <c r="J267" s="15"/>
      <c r="K267" s="13"/>
      <c r="L267" s="13"/>
      <c r="M267" s="13" t="n">
        <v>40</v>
      </c>
      <c r="N267" s="13" t="s">
        <v>184</v>
      </c>
      <c r="O267" s="13" t="s">
        <v>1844</v>
      </c>
      <c r="P267" s="13" t="s">
        <v>186</v>
      </c>
      <c r="Q267" s="20" t="n">
        <v>416</v>
      </c>
      <c r="R267" s="20" t="n">
        <v>886</v>
      </c>
      <c r="S267" s="20" t="n">
        <v>1950</v>
      </c>
      <c r="T267" s="16"/>
      <c r="U267" s="16"/>
      <c r="V267" s="13" t="s">
        <v>187</v>
      </c>
      <c r="W267" s="17"/>
      <c r="X267" s="13"/>
      <c r="Y267" s="13" t="s">
        <v>1853</v>
      </c>
      <c r="Z267" s="13" t="s">
        <v>1854</v>
      </c>
      <c r="AA267" s="13" t="s">
        <v>192</v>
      </c>
      <c r="AB267" s="13"/>
      <c r="AC267" s="17"/>
      <c r="AD267" s="13"/>
      <c r="AE267" s="19"/>
      <c r="AF267" s="19"/>
      <c r="AG267" s="19"/>
      <c r="AH267" s="13"/>
      <c r="AI267" s="17"/>
      <c r="AJ267" s="13" t="s">
        <v>188</v>
      </c>
      <c r="AK267" s="13" t="s">
        <v>188</v>
      </c>
      <c r="AL267" s="14" t="s">
        <v>1855</v>
      </c>
      <c r="AM267" s="13" t="s">
        <v>1155</v>
      </c>
      <c r="AN267" s="15"/>
      <c r="AO267" s="13" t="n">
        <v>7.67</v>
      </c>
      <c r="AP267" s="13" t="s">
        <v>196</v>
      </c>
      <c r="AQ267" s="16" t="n">
        <f aca="false">IFERROR(IF(AND(INDEX(Mob_Demob!$D$6:$D$14,MATCH(AM267,Mob_Demob!$A$6:$A$14,0))="",INDEX(Mob_Demob!$G$6:$G$14,MATCH(AM267,Mob_Demob!$A$6:$A$14,0))=""),"",ROUND(MAX(N(INDEX(Mob_Demob!$G$6:$G$14,MATCH(AM267,Mob_Demob!$A$6:$A$14,0))),N(INDEX(Mob_Demob!$D$6:$D$14,MATCH(AM267,Mob_Demob!$A$6:$A$14,0)))*Settings!$B$6)+IF(AP267="Y",N(INDEX(Mob_Demob!$I$6:$I$14,MATCH(AM267,Mob_Demob!$A$6:$A$14,0)))*Settings!$B$19,0)+N(INDEX(Mob_Demob!$L$6:$L$14,MATCH(AM267,Mob_Demob!$A$6:$A$14,0)))*N(INDEX(Mob_Demob!$K$6:$K$14,MATCH(AM267,Mob_Demob!$A$6:$A$14,0)))*Settings!$B$6+N(INDEX(Mob_Demob!$M$6:$M$14,MATCH(AM267,Mob_Demob!$A$6:$A$14,0)))*N(INDEX(Mob_Demob!$N$6:$N$14,MATCH(AM267,Mob_Demob!$A$6:$A$14,0))),0)),"")</f>
        <v>200</v>
      </c>
      <c r="AR267" s="16" t="n">
        <f aca="false">IF(AQ267="","",ROUND(AQ267*Settings!$B$18,0))</f>
        <v>200</v>
      </c>
      <c r="AS267" s="13" t="s">
        <v>1856</v>
      </c>
      <c r="AT267" s="14" t="s">
        <v>1950</v>
      </c>
      <c r="AU267" s="14" t="s">
        <v>262</v>
      </c>
    </row>
    <row r="268" customFormat="false" ht="53.7" hidden="false" customHeight="false" outlineLevel="0" collapsed="false">
      <c r="A268" s="21" t="s">
        <v>1951</v>
      </c>
      <c r="B268" s="21" t="s">
        <v>1847</v>
      </c>
      <c r="C268" s="21" t="s">
        <v>1922</v>
      </c>
      <c r="D268" s="21" t="s">
        <v>1923</v>
      </c>
      <c r="E268" s="22" t="s">
        <v>1952</v>
      </c>
      <c r="F268" s="13" t="s">
        <v>1851</v>
      </c>
      <c r="G268" s="13" t="n">
        <v>43</v>
      </c>
      <c r="H268" s="13" t="s">
        <v>462</v>
      </c>
      <c r="I268" s="14" t="s">
        <v>1953</v>
      </c>
      <c r="J268" s="15"/>
      <c r="K268" s="13"/>
      <c r="L268" s="13" t="s">
        <v>1926</v>
      </c>
      <c r="M268" s="13" t="n">
        <v>43</v>
      </c>
      <c r="N268" s="13" t="s">
        <v>184</v>
      </c>
      <c r="O268" s="13" t="s">
        <v>1844</v>
      </c>
      <c r="P268" s="13" t="s">
        <v>186</v>
      </c>
      <c r="Q268" s="20" t="n">
        <v>525</v>
      </c>
      <c r="R268" s="20" t="n">
        <v>1375</v>
      </c>
      <c r="S268" s="20" t="n">
        <v>3125</v>
      </c>
      <c r="T268" s="20" t="n">
        <v>2500</v>
      </c>
      <c r="U268" s="20" t="n">
        <v>3750</v>
      </c>
      <c r="V268" s="13" t="s">
        <v>187</v>
      </c>
      <c r="W268" s="17"/>
      <c r="X268" s="13"/>
      <c r="Y268" s="13" t="s">
        <v>1954</v>
      </c>
      <c r="Z268" s="13" t="s">
        <v>1955</v>
      </c>
      <c r="AA268" s="13" t="s">
        <v>213</v>
      </c>
      <c r="AB268" s="13"/>
      <c r="AC268" s="17"/>
      <c r="AD268" s="13"/>
      <c r="AE268" s="19"/>
      <c r="AF268" s="19"/>
      <c r="AG268" s="19"/>
      <c r="AH268" s="13"/>
      <c r="AI268" s="17"/>
      <c r="AJ268" s="13" t="s">
        <v>188</v>
      </c>
      <c r="AK268" s="13" t="s">
        <v>188</v>
      </c>
      <c r="AL268" s="14" t="s">
        <v>1855</v>
      </c>
      <c r="AM268" s="13" t="s">
        <v>1155</v>
      </c>
      <c r="AN268" s="15"/>
      <c r="AO268" s="13" t="n">
        <v>7.67</v>
      </c>
      <c r="AP268" s="13" t="s">
        <v>196</v>
      </c>
      <c r="AQ268" s="16" t="n">
        <f aca="false">IFERROR(IF(AND(INDEX(Mob_Demob!$D$6:$D$14,MATCH(AM268,Mob_Demob!$A$6:$A$14,0))="",INDEX(Mob_Demob!$G$6:$G$14,MATCH(AM268,Mob_Demob!$A$6:$A$14,0))=""),"",ROUND(MAX(N(INDEX(Mob_Demob!$G$6:$G$14,MATCH(AM268,Mob_Demob!$A$6:$A$14,0))),N(INDEX(Mob_Demob!$D$6:$D$14,MATCH(AM268,Mob_Demob!$A$6:$A$14,0)))*Settings!$B$6)+IF(AP268="Y",N(INDEX(Mob_Demob!$I$6:$I$14,MATCH(AM268,Mob_Demob!$A$6:$A$14,0)))*Settings!$B$19,0)+N(INDEX(Mob_Demob!$L$6:$L$14,MATCH(AM268,Mob_Demob!$A$6:$A$14,0)))*N(INDEX(Mob_Demob!$K$6:$K$14,MATCH(AM268,Mob_Demob!$A$6:$A$14,0)))*Settings!$B$6+N(INDEX(Mob_Demob!$M$6:$M$14,MATCH(AM268,Mob_Demob!$A$6:$A$14,0)))*N(INDEX(Mob_Demob!$N$6:$N$14,MATCH(AM268,Mob_Demob!$A$6:$A$14,0))),0)),"")</f>
        <v>200</v>
      </c>
      <c r="AR268" s="16" t="n">
        <f aca="false">IF(AQ268="","",ROUND(AQ268*Settings!$B$18,0))</f>
        <v>200</v>
      </c>
      <c r="AS268" s="13" t="s">
        <v>1856</v>
      </c>
      <c r="AT268" s="14" t="s">
        <v>1956</v>
      </c>
      <c r="AU268" s="14" t="s">
        <v>1957</v>
      </c>
    </row>
    <row r="269" customFormat="false" ht="53.7" hidden="false" customHeight="false" outlineLevel="0" collapsed="false">
      <c r="A269" s="21" t="s">
        <v>1958</v>
      </c>
      <c r="B269" s="21" t="s">
        <v>1847</v>
      </c>
      <c r="C269" s="21" t="s">
        <v>1922</v>
      </c>
      <c r="D269" s="21" t="s">
        <v>1923</v>
      </c>
      <c r="E269" s="22" t="s">
        <v>1959</v>
      </c>
      <c r="F269" s="13" t="s">
        <v>1851</v>
      </c>
      <c r="G269" s="13" t="n">
        <v>50</v>
      </c>
      <c r="H269" s="13" t="s">
        <v>462</v>
      </c>
      <c r="I269" s="14" t="s">
        <v>1960</v>
      </c>
      <c r="J269" s="15"/>
      <c r="K269" s="13"/>
      <c r="L269" s="13" t="s">
        <v>1926</v>
      </c>
      <c r="M269" s="13" t="n">
        <v>50</v>
      </c>
      <c r="N269" s="13" t="s">
        <v>184</v>
      </c>
      <c r="O269" s="13" t="s">
        <v>1844</v>
      </c>
      <c r="P269" s="13" t="s">
        <v>186</v>
      </c>
      <c r="Q269" s="20" t="n">
        <v>523</v>
      </c>
      <c r="R269" s="20" t="n">
        <v>1250</v>
      </c>
      <c r="S269" s="20" t="n">
        <v>2500</v>
      </c>
      <c r="T269" s="20" t="n">
        <v>2255</v>
      </c>
      <c r="U269" s="20" t="n">
        <v>3750</v>
      </c>
      <c r="V269" s="13" t="s">
        <v>187</v>
      </c>
      <c r="W269" s="17"/>
      <c r="X269" s="13"/>
      <c r="Y269" s="13" t="s">
        <v>1961</v>
      </c>
      <c r="Z269" s="13" t="s">
        <v>1905</v>
      </c>
      <c r="AA269" s="13" t="s">
        <v>213</v>
      </c>
      <c r="AB269" s="13"/>
      <c r="AC269" s="17"/>
      <c r="AD269" s="13"/>
      <c r="AE269" s="19"/>
      <c r="AF269" s="19"/>
      <c r="AG269" s="19"/>
      <c r="AH269" s="13"/>
      <c r="AI269" s="17"/>
      <c r="AJ269" s="13" t="s">
        <v>188</v>
      </c>
      <c r="AK269" s="13" t="s">
        <v>188</v>
      </c>
      <c r="AL269" s="14" t="s">
        <v>1855</v>
      </c>
      <c r="AM269" s="13" t="s">
        <v>1155</v>
      </c>
      <c r="AN269" s="15"/>
      <c r="AO269" s="13" t="n">
        <v>7.67</v>
      </c>
      <c r="AP269" s="13" t="s">
        <v>196</v>
      </c>
      <c r="AQ269" s="16" t="n">
        <f aca="false">IFERROR(IF(AND(INDEX(Mob_Demob!$D$6:$D$14,MATCH(AM269,Mob_Demob!$A$6:$A$14,0))="",INDEX(Mob_Demob!$G$6:$G$14,MATCH(AM269,Mob_Demob!$A$6:$A$14,0))=""),"",ROUND(MAX(N(INDEX(Mob_Demob!$G$6:$G$14,MATCH(AM269,Mob_Demob!$A$6:$A$14,0))),N(INDEX(Mob_Demob!$D$6:$D$14,MATCH(AM269,Mob_Demob!$A$6:$A$14,0)))*Settings!$B$6)+IF(AP269="Y",N(INDEX(Mob_Demob!$I$6:$I$14,MATCH(AM269,Mob_Demob!$A$6:$A$14,0)))*Settings!$B$19,0)+N(INDEX(Mob_Demob!$L$6:$L$14,MATCH(AM269,Mob_Demob!$A$6:$A$14,0)))*N(INDEX(Mob_Demob!$K$6:$K$14,MATCH(AM269,Mob_Demob!$A$6:$A$14,0)))*Settings!$B$6+N(INDEX(Mob_Demob!$M$6:$M$14,MATCH(AM269,Mob_Demob!$A$6:$A$14,0)))*N(INDEX(Mob_Demob!$N$6:$N$14,MATCH(AM269,Mob_Demob!$A$6:$A$14,0))),0)),"")</f>
        <v>200</v>
      </c>
      <c r="AR269" s="16" t="n">
        <f aca="false">IF(AQ269="","",ROUND(AQ269*Settings!$B$18,0))</f>
        <v>200</v>
      </c>
      <c r="AS269" s="13" t="s">
        <v>1856</v>
      </c>
      <c r="AT269" s="14" t="s">
        <v>1962</v>
      </c>
      <c r="AU269" s="14" t="s">
        <v>262</v>
      </c>
    </row>
    <row r="270" customFormat="false" ht="53.7" hidden="false" customHeight="false" outlineLevel="0" collapsed="false">
      <c r="A270" s="21" t="s">
        <v>1963</v>
      </c>
      <c r="B270" s="21" t="s">
        <v>1847</v>
      </c>
      <c r="C270" s="21" t="s">
        <v>1964</v>
      </c>
      <c r="D270" s="21" t="s">
        <v>1965</v>
      </c>
      <c r="E270" s="22" t="s">
        <v>1966</v>
      </c>
      <c r="F270" s="13" t="s">
        <v>1851</v>
      </c>
      <c r="G270" s="13" t="n">
        <v>20</v>
      </c>
      <c r="H270" s="13" t="s">
        <v>462</v>
      </c>
      <c r="I270" s="14"/>
      <c r="J270" s="15"/>
      <c r="K270" s="13"/>
      <c r="L270" s="13"/>
      <c r="M270" s="13" t="n">
        <v>20</v>
      </c>
      <c r="N270" s="13" t="s">
        <v>1737</v>
      </c>
      <c r="O270" s="13" t="s">
        <v>1844</v>
      </c>
      <c r="P270" s="13" t="s">
        <v>186</v>
      </c>
      <c r="Q270" s="16"/>
      <c r="R270" s="16"/>
      <c r="S270" s="16"/>
      <c r="T270" s="16"/>
      <c r="U270" s="16"/>
      <c r="V270" s="13" t="s">
        <v>187</v>
      </c>
      <c r="W270" s="17"/>
      <c r="X270" s="13"/>
      <c r="Y270" s="13"/>
      <c r="Z270" s="13"/>
      <c r="AA270" s="13" t="s">
        <v>188</v>
      </c>
      <c r="AB270" s="13"/>
      <c r="AC270" s="17"/>
      <c r="AD270" s="13"/>
      <c r="AE270" s="19" t="n">
        <v>0</v>
      </c>
      <c r="AF270" s="19" t="n">
        <v>0</v>
      </c>
      <c r="AG270" s="19" t="n">
        <v>0</v>
      </c>
      <c r="AH270" s="13" t="s">
        <v>1739</v>
      </c>
      <c r="AI270" s="17"/>
      <c r="AJ270" s="13" t="s">
        <v>188</v>
      </c>
      <c r="AK270" s="13" t="s">
        <v>188</v>
      </c>
      <c r="AL270" s="14" t="s">
        <v>1855</v>
      </c>
      <c r="AM270" s="13" t="s">
        <v>1155</v>
      </c>
      <c r="AN270" s="15"/>
      <c r="AO270" s="13"/>
      <c r="AP270" s="13" t="s">
        <v>196</v>
      </c>
      <c r="AQ270" s="16" t="n">
        <f aca="false">IFERROR(IF(AND(INDEX(Mob_Demob!$D$6:$D$14,MATCH(AM270,Mob_Demob!$A$6:$A$14,0))="",INDEX(Mob_Demob!$G$6:$G$14,MATCH(AM270,Mob_Demob!$A$6:$A$14,0))=""),"",ROUND(MAX(N(INDEX(Mob_Demob!$G$6:$G$14,MATCH(AM270,Mob_Demob!$A$6:$A$14,0))),N(INDEX(Mob_Demob!$D$6:$D$14,MATCH(AM270,Mob_Demob!$A$6:$A$14,0)))*Settings!$B$6)+IF(AP270="Y",N(INDEX(Mob_Demob!$I$6:$I$14,MATCH(AM270,Mob_Demob!$A$6:$A$14,0)))*Settings!$B$19,0)+N(INDEX(Mob_Demob!$L$6:$L$14,MATCH(AM270,Mob_Demob!$A$6:$A$14,0)))*N(INDEX(Mob_Demob!$K$6:$K$14,MATCH(AM270,Mob_Demob!$A$6:$A$14,0)))*Settings!$B$6+N(INDEX(Mob_Demob!$M$6:$M$14,MATCH(AM270,Mob_Demob!$A$6:$A$14,0)))*N(INDEX(Mob_Demob!$N$6:$N$14,MATCH(AM270,Mob_Demob!$A$6:$A$14,0))),0)),"")</f>
        <v>200</v>
      </c>
      <c r="AR270" s="16" t="n">
        <f aca="false">IF(AQ270="","",ROUND(AQ270*Settings!$B$18,0))</f>
        <v>200</v>
      </c>
      <c r="AS270" s="13" t="s">
        <v>1856</v>
      </c>
      <c r="AT270" s="14" t="s">
        <v>1967</v>
      </c>
      <c r="AU270" s="14" t="s">
        <v>251</v>
      </c>
    </row>
    <row r="271" customFormat="false" ht="53.7" hidden="false" customHeight="false" outlineLevel="0" collapsed="false">
      <c r="A271" s="21" t="s">
        <v>1968</v>
      </c>
      <c r="B271" s="21" t="s">
        <v>1847</v>
      </c>
      <c r="C271" s="21" t="s">
        <v>1964</v>
      </c>
      <c r="D271" s="21" t="s">
        <v>1965</v>
      </c>
      <c r="E271" s="22" t="s">
        <v>1969</v>
      </c>
      <c r="F271" s="13" t="s">
        <v>1851</v>
      </c>
      <c r="G271" s="13" t="n">
        <v>30</v>
      </c>
      <c r="H271" s="13" t="s">
        <v>462</v>
      </c>
      <c r="I271" s="14" t="s">
        <v>1970</v>
      </c>
      <c r="J271" s="15"/>
      <c r="K271" s="13"/>
      <c r="L271" s="13" t="s">
        <v>1971</v>
      </c>
      <c r="M271" s="13" t="n">
        <v>30</v>
      </c>
      <c r="N271" s="13" t="s">
        <v>1737</v>
      </c>
      <c r="O271" s="13" t="s">
        <v>1844</v>
      </c>
      <c r="P271" s="13" t="s">
        <v>186</v>
      </c>
      <c r="Q271" s="20" t="n">
        <v>300</v>
      </c>
      <c r="R271" s="20" t="n">
        <v>850</v>
      </c>
      <c r="S271" s="20" t="n">
        <v>2076</v>
      </c>
      <c r="T271" s="20" t="n">
        <v>1850</v>
      </c>
      <c r="U271" s="20" t="n">
        <v>2200</v>
      </c>
      <c r="V271" s="13" t="s">
        <v>187</v>
      </c>
      <c r="W271" s="17"/>
      <c r="X271" s="13"/>
      <c r="Y271" s="13" t="s">
        <v>1972</v>
      </c>
      <c r="Z271" s="13" t="s">
        <v>1905</v>
      </c>
      <c r="AA271" s="13" t="s">
        <v>213</v>
      </c>
      <c r="AB271" s="13"/>
      <c r="AC271" s="17"/>
      <c r="AD271" s="13"/>
      <c r="AE271" s="19" t="n">
        <v>0</v>
      </c>
      <c r="AF271" s="19" t="n">
        <v>0</v>
      </c>
      <c r="AG271" s="19" t="n">
        <v>0</v>
      </c>
      <c r="AH271" s="13" t="s">
        <v>1739</v>
      </c>
      <c r="AI271" s="17"/>
      <c r="AJ271" s="13" t="s">
        <v>188</v>
      </c>
      <c r="AK271" s="13" t="s">
        <v>188</v>
      </c>
      <c r="AL271" s="14" t="s">
        <v>1855</v>
      </c>
      <c r="AM271" s="13" t="s">
        <v>1155</v>
      </c>
      <c r="AN271" s="15"/>
      <c r="AO271" s="13"/>
      <c r="AP271" s="13" t="s">
        <v>196</v>
      </c>
      <c r="AQ271" s="16" t="n">
        <f aca="false">IFERROR(IF(AND(INDEX(Mob_Demob!$D$6:$D$14,MATCH(AM271,Mob_Demob!$A$6:$A$14,0))="",INDEX(Mob_Demob!$G$6:$G$14,MATCH(AM271,Mob_Demob!$A$6:$A$14,0))=""),"",ROUND(MAX(N(INDEX(Mob_Demob!$G$6:$G$14,MATCH(AM271,Mob_Demob!$A$6:$A$14,0))),N(INDEX(Mob_Demob!$D$6:$D$14,MATCH(AM271,Mob_Demob!$A$6:$A$14,0)))*Settings!$B$6)+IF(AP271="Y",N(INDEX(Mob_Demob!$I$6:$I$14,MATCH(AM271,Mob_Demob!$A$6:$A$14,0)))*Settings!$B$19,0)+N(INDEX(Mob_Demob!$L$6:$L$14,MATCH(AM271,Mob_Demob!$A$6:$A$14,0)))*N(INDEX(Mob_Demob!$K$6:$K$14,MATCH(AM271,Mob_Demob!$A$6:$A$14,0)))*Settings!$B$6+N(INDEX(Mob_Demob!$M$6:$M$14,MATCH(AM271,Mob_Demob!$A$6:$A$14,0)))*N(INDEX(Mob_Demob!$N$6:$N$14,MATCH(AM271,Mob_Demob!$A$6:$A$14,0))),0)),"")</f>
        <v>200</v>
      </c>
      <c r="AR271" s="16" t="n">
        <f aca="false">IF(AQ271="","",ROUND(AQ271*Settings!$B$18,0))</f>
        <v>200</v>
      </c>
      <c r="AS271" s="13" t="s">
        <v>1856</v>
      </c>
      <c r="AT271" s="14" t="s">
        <v>1973</v>
      </c>
      <c r="AU271" s="14" t="s">
        <v>341</v>
      </c>
    </row>
    <row r="272" customFormat="false" ht="53.7" hidden="false" customHeight="false" outlineLevel="0" collapsed="false">
      <c r="A272" s="21" t="s">
        <v>1974</v>
      </c>
      <c r="B272" s="21" t="s">
        <v>1847</v>
      </c>
      <c r="C272" s="21" t="s">
        <v>1964</v>
      </c>
      <c r="D272" s="21" t="s">
        <v>1965</v>
      </c>
      <c r="E272" s="22" t="s">
        <v>1975</v>
      </c>
      <c r="F272" s="13" t="s">
        <v>1851</v>
      </c>
      <c r="G272" s="13" t="n">
        <v>34</v>
      </c>
      <c r="H272" s="13" t="s">
        <v>462</v>
      </c>
      <c r="I272" s="14"/>
      <c r="J272" s="15"/>
      <c r="K272" s="13"/>
      <c r="L272" s="13" t="s">
        <v>1971</v>
      </c>
      <c r="M272" s="13" t="n">
        <v>34</v>
      </c>
      <c r="N272" s="13" t="s">
        <v>1737</v>
      </c>
      <c r="O272" s="13" t="s">
        <v>1844</v>
      </c>
      <c r="P272" s="13" t="s">
        <v>186</v>
      </c>
      <c r="Q272" s="20" t="n">
        <v>300</v>
      </c>
      <c r="R272" s="20" t="n">
        <v>841</v>
      </c>
      <c r="S272" s="20" t="n">
        <v>2200</v>
      </c>
      <c r="T272" s="20" t="n">
        <v>1850</v>
      </c>
      <c r="U272" s="20" t="n">
        <v>2777</v>
      </c>
      <c r="V272" s="13" t="s">
        <v>187</v>
      </c>
      <c r="W272" s="17"/>
      <c r="X272" s="13"/>
      <c r="Y272" s="13" t="s">
        <v>1972</v>
      </c>
      <c r="Z272" s="13" t="s">
        <v>1905</v>
      </c>
      <c r="AA272" s="13" t="s">
        <v>213</v>
      </c>
      <c r="AB272" s="13"/>
      <c r="AC272" s="17"/>
      <c r="AD272" s="13"/>
      <c r="AE272" s="19" t="n">
        <v>0</v>
      </c>
      <c r="AF272" s="19" t="n">
        <v>0</v>
      </c>
      <c r="AG272" s="19" t="n">
        <v>0</v>
      </c>
      <c r="AH272" s="13" t="s">
        <v>1739</v>
      </c>
      <c r="AI272" s="17"/>
      <c r="AJ272" s="13" t="s">
        <v>188</v>
      </c>
      <c r="AK272" s="13" t="s">
        <v>188</v>
      </c>
      <c r="AL272" s="14" t="s">
        <v>1855</v>
      </c>
      <c r="AM272" s="13" t="s">
        <v>1155</v>
      </c>
      <c r="AN272" s="15"/>
      <c r="AO272" s="13"/>
      <c r="AP272" s="13" t="s">
        <v>196</v>
      </c>
      <c r="AQ272" s="16" t="n">
        <f aca="false">IFERROR(IF(AND(INDEX(Mob_Demob!$D$6:$D$14,MATCH(AM272,Mob_Demob!$A$6:$A$14,0))="",INDEX(Mob_Demob!$G$6:$G$14,MATCH(AM272,Mob_Demob!$A$6:$A$14,0))=""),"",ROUND(MAX(N(INDEX(Mob_Demob!$G$6:$G$14,MATCH(AM272,Mob_Demob!$A$6:$A$14,0))),N(INDEX(Mob_Demob!$D$6:$D$14,MATCH(AM272,Mob_Demob!$A$6:$A$14,0)))*Settings!$B$6)+IF(AP272="Y",N(INDEX(Mob_Demob!$I$6:$I$14,MATCH(AM272,Mob_Demob!$A$6:$A$14,0)))*Settings!$B$19,0)+N(INDEX(Mob_Demob!$L$6:$L$14,MATCH(AM272,Mob_Demob!$A$6:$A$14,0)))*N(INDEX(Mob_Demob!$K$6:$K$14,MATCH(AM272,Mob_Demob!$A$6:$A$14,0)))*Settings!$B$6+N(INDEX(Mob_Demob!$M$6:$M$14,MATCH(AM272,Mob_Demob!$A$6:$A$14,0)))*N(INDEX(Mob_Demob!$N$6:$N$14,MATCH(AM272,Mob_Demob!$A$6:$A$14,0))),0)),"")</f>
        <v>200</v>
      </c>
      <c r="AR272" s="16" t="n">
        <f aca="false">IF(AQ272="","",ROUND(AQ272*Settings!$B$18,0))</f>
        <v>200</v>
      </c>
      <c r="AS272" s="13" t="s">
        <v>1856</v>
      </c>
      <c r="AT272" s="14" t="s">
        <v>1976</v>
      </c>
      <c r="AU272" s="14" t="s">
        <v>341</v>
      </c>
    </row>
    <row r="273" customFormat="false" ht="64.15" hidden="false" customHeight="false" outlineLevel="0" collapsed="false">
      <c r="A273" s="21" t="s">
        <v>1977</v>
      </c>
      <c r="B273" s="21" t="s">
        <v>1847</v>
      </c>
      <c r="C273" s="21" t="s">
        <v>1964</v>
      </c>
      <c r="D273" s="21" t="s">
        <v>1965</v>
      </c>
      <c r="E273" s="22" t="s">
        <v>1978</v>
      </c>
      <c r="F273" s="13" t="s">
        <v>1851</v>
      </c>
      <c r="G273" s="13" t="n">
        <v>34</v>
      </c>
      <c r="H273" s="13" t="s">
        <v>462</v>
      </c>
      <c r="I273" s="14" t="s">
        <v>1979</v>
      </c>
      <c r="J273" s="15"/>
      <c r="K273" s="13" t="n">
        <v>25</v>
      </c>
      <c r="L273" s="13" t="s">
        <v>1971</v>
      </c>
      <c r="M273" s="13" t="n">
        <v>34</v>
      </c>
      <c r="N273" s="13" t="s">
        <v>184</v>
      </c>
      <c r="O273" s="13" t="s">
        <v>1844</v>
      </c>
      <c r="P273" s="13" t="s">
        <v>186</v>
      </c>
      <c r="Q273" s="20" t="n">
        <v>357</v>
      </c>
      <c r="R273" s="20" t="n">
        <v>931</v>
      </c>
      <c r="S273" s="20" t="n">
        <v>1973</v>
      </c>
      <c r="T273" s="20" t="n">
        <v>1850</v>
      </c>
      <c r="U273" s="20" t="n">
        <v>2096</v>
      </c>
      <c r="V273" s="13" t="s">
        <v>187</v>
      </c>
      <c r="W273" s="17"/>
      <c r="X273" s="13"/>
      <c r="Y273" s="13" t="s">
        <v>1980</v>
      </c>
      <c r="Z273" s="13" t="s">
        <v>1944</v>
      </c>
      <c r="AA273" s="13" t="s">
        <v>213</v>
      </c>
      <c r="AB273" s="13" t="s">
        <v>1981</v>
      </c>
      <c r="AC273" s="18" t="n">
        <v>38.27</v>
      </c>
      <c r="AD273" s="13" t="s">
        <v>190</v>
      </c>
      <c r="AE273" s="19" t="n">
        <f aca="false">ROUND(K273*Settings!$B$11*Settings!$B$13,2)</f>
        <v>0.43</v>
      </c>
      <c r="AF273" s="19" t="n">
        <f aca="false">ROUND(K273*Settings!$B$11*Settings!$B$14,2)</f>
        <v>0.56</v>
      </c>
      <c r="AG273" s="19" t="n">
        <f aca="false">ROUND(K273*Settings!$B$11*Settings!$B$15,2)</f>
        <v>0.73</v>
      </c>
      <c r="AH273" s="13" t="s">
        <v>191</v>
      </c>
      <c r="AI273" s="17" t="n">
        <f aca="false">IF(OR(AC273="",AF273="",Settings!$B$5=""),"",ROUND(AC273-AF273*Settings!$B$5,2))</f>
        <v>36.22</v>
      </c>
      <c r="AJ273" s="13" t="s">
        <v>192</v>
      </c>
      <c r="AK273" s="13" t="s">
        <v>193</v>
      </c>
      <c r="AL273" s="14" t="s">
        <v>1855</v>
      </c>
      <c r="AM273" s="13" t="s">
        <v>1155</v>
      </c>
      <c r="AN273" s="15"/>
      <c r="AO273" s="13"/>
      <c r="AP273" s="13" t="s">
        <v>196</v>
      </c>
      <c r="AQ273" s="16" t="n">
        <f aca="false">IFERROR(IF(AND(INDEX(Mob_Demob!$D$6:$D$14,MATCH(AM273,Mob_Demob!$A$6:$A$14,0))="",INDEX(Mob_Demob!$G$6:$G$14,MATCH(AM273,Mob_Demob!$A$6:$A$14,0))=""),"",ROUND(MAX(N(INDEX(Mob_Demob!$G$6:$G$14,MATCH(AM273,Mob_Demob!$A$6:$A$14,0))),N(INDEX(Mob_Demob!$D$6:$D$14,MATCH(AM273,Mob_Demob!$A$6:$A$14,0)))*Settings!$B$6)+IF(AP273="Y",N(INDEX(Mob_Demob!$I$6:$I$14,MATCH(AM273,Mob_Demob!$A$6:$A$14,0)))*Settings!$B$19,0)+N(INDEX(Mob_Demob!$L$6:$L$14,MATCH(AM273,Mob_Demob!$A$6:$A$14,0)))*N(INDEX(Mob_Demob!$K$6:$K$14,MATCH(AM273,Mob_Demob!$A$6:$A$14,0)))*Settings!$B$6+N(INDEX(Mob_Demob!$M$6:$M$14,MATCH(AM273,Mob_Demob!$A$6:$A$14,0)))*N(INDEX(Mob_Demob!$N$6:$N$14,MATCH(AM273,Mob_Demob!$A$6:$A$14,0))),0)),"")</f>
        <v>200</v>
      </c>
      <c r="AR273" s="16" t="n">
        <f aca="false">IF(AQ273="","",ROUND(AQ273*Settings!$B$18,0))</f>
        <v>200</v>
      </c>
      <c r="AS273" s="13" t="s">
        <v>1856</v>
      </c>
      <c r="AT273" s="14" t="s">
        <v>1982</v>
      </c>
      <c r="AU273" s="14"/>
    </row>
    <row r="274" customFormat="false" ht="64.15" hidden="false" customHeight="false" outlineLevel="0" collapsed="false">
      <c r="A274" s="21" t="s">
        <v>1983</v>
      </c>
      <c r="B274" s="21" t="s">
        <v>1847</v>
      </c>
      <c r="C274" s="21" t="s">
        <v>1964</v>
      </c>
      <c r="D274" s="21" t="s">
        <v>1965</v>
      </c>
      <c r="E274" s="22" t="s">
        <v>1984</v>
      </c>
      <c r="F274" s="13" t="s">
        <v>1851</v>
      </c>
      <c r="G274" s="13" t="n">
        <v>40</v>
      </c>
      <c r="H274" s="13" t="s">
        <v>462</v>
      </c>
      <c r="I274" s="14" t="s">
        <v>1985</v>
      </c>
      <c r="J274" s="15"/>
      <c r="K274" s="13"/>
      <c r="L274" s="13" t="s">
        <v>1971</v>
      </c>
      <c r="M274" s="13" t="n">
        <v>40</v>
      </c>
      <c r="N274" s="13" t="s">
        <v>1737</v>
      </c>
      <c r="O274" s="13" t="s">
        <v>1844</v>
      </c>
      <c r="P274" s="13" t="s">
        <v>186</v>
      </c>
      <c r="Q274" s="20" t="n">
        <v>402</v>
      </c>
      <c r="R274" s="20" t="n">
        <v>943</v>
      </c>
      <c r="S274" s="20" t="n">
        <v>2111</v>
      </c>
      <c r="T274" s="20" t="n">
        <v>1850</v>
      </c>
      <c r="U274" s="20" t="n">
        <v>2172</v>
      </c>
      <c r="V274" s="13" t="s">
        <v>187</v>
      </c>
      <c r="W274" s="17"/>
      <c r="X274" s="13"/>
      <c r="Y274" s="13" t="s">
        <v>1986</v>
      </c>
      <c r="Z274" s="13" t="s">
        <v>1987</v>
      </c>
      <c r="AA274" s="13" t="s">
        <v>213</v>
      </c>
      <c r="AB274" s="13"/>
      <c r="AC274" s="17"/>
      <c r="AD274" s="13"/>
      <c r="AE274" s="19" t="n">
        <v>0</v>
      </c>
      <c r="AF274" s="19" t="n">
        <v>0</v>
      </c>
      <c r="AG274" s="19" t="n">
        <v>0</v>
      </c>
      <c r="AH274" s="13" t="s">
        <v>1739</v>
      </c>
      <c r="AI274" s="17"/>
      <c r="AJ274" s="13" t="s">
        <v>188</v>
      </c>
      <c r="AK274" s="13" t="s">
        <v>188</v>
      </c>
      <c r="AL274" s="14" t="s">
        <v>1855</v>
      </c>
      <c r="AM274" s="13" t="s">
        <v>1155</v>
      </c>
      <c r="AN274" s="15"/>
      <c r="AO274" s="13"/>
      <c r="AP274" s="13" t="s">
        <v>196</v>
      </c>
      <c r="AQ274" s="16" t="n">
        <f aca="false">IFERROR(IF(AND(INDEX(Mob_Demob!$D$6:$D$14,MATCH(AM274,Mob_Demob!$A$6:$A$14,0))="",INDEX(Mob_Demob!$G$6:$G$14,MATCH(AM274,Mob_Demob!$A$6:$A$14,0))=""),"",ROUND(MAX(N(INDEX(Mob_Demob!$G$6:$G$14,MATCH(AM274,Mob_Demob!$A$6:$A$14,0))),N(INDEX(Mob_Demob!$D$6:$D$14,MATCH(AM274,Mob_Demob!$A$6:$A$14,0)))*Settings!$B$6)+IF(AP274="Y",N(INDEX(Mob_Demob!$I$6:$I$14,MATCH(AM274,Mob_Demob!$A$6:$A$14,0)))*Settings!$B$19,0)+N(INDEX(Mob_Demob!$L$6:$L$14,MATCH(AM274,Mob_Demob!$A$6:$A$14,0)))*N(INDEX(Mob_Demob!$K$6:$K$14,MATCH(AM274,Mob_Demob!$A$6:$A$14,0)))*Settings!$B$6+N(INDEX(Mob_Demob!$M$6:$M$14,MATCH(AM274,Mob_Demob!$A$6:$A$14,0)))*N(INDEX(Mob_Demob!$N$6:$N$14,MATCH(AM274,Mob_Demob!$A$6:$A$14,0))),0)),"")</f>
        <v>200</v>
      </c>
      <c r="AR274" s="16" t="n">
        <f aca="false">IF(AQ274="","",ROUND(AQ274*Settings!$B$18,0))</f>
        <v>200</v>
      </c>
      <c r="AS274" s="13" t="s">
        <v>1856</v>
      </c>
      <c r="AT274" s="14" t="s">
        <v>1988</v>
      </c>
      <c r="AU274" s="14" t="s">
        <v>341</v>
      </c>
    </row>
    <row r="275" customFormat="false" ht="53.7" hidden="false" customHeight="false" outlineLevel="0" collapsed="false">
      <c r="A275" s="21" t="s">
        <v>1989</v>
      </c>
      <c r="B275" s="21" t="s">
        <v>1847</v>
      </c>
      <c r="C275" s="21" t="s">
        <v>1964</v>
      </c>
      <c r="D275" s="21" t="s">
        <v>1965</v>
      </c>
      <c r="E275" s="22" t="s">
        <v>1990</v>
      </c>
      <c r="F275" s="13" t="s">
        <v>1851</v>
      </c>
      <c r="G275" s="13" t="n">
        <v>45</v>
      </c>
      <c r="H275" s="13" t="s">
        <v>462</v>
      </c>
      <c r="I275" s="14" t="s">
        <v>1991</v>
      </c>
      <c r="J275" s="15"/>
      <c r="K275" s="13"/>
      <c r="L275" s="13" t="s">
        <v>1971</v>
      </c>
      <c r="M275" s="13" t="n">
        <v>45</v>
      </c>
      <c r="N275" s="13" t="s">
        <v>1737</v>
      </c>
      <c r="O275" s="13" t="s">
        <v>1844</v>
      </c>
      <c r="P275" s="13" t="s">
        <v>186</v>
      </c>
      <c r="Q275" s="20" t="n">
        <v>419</v>
      </c>
      <c r="R275" s="20" t="n">
        <v>1022</v>
      </c>
      <c r="S275" s="20" t="n">
        <v>2349</v>
      </c>
      <c r="T275" s="20" t="n">
        <v>2159</v>
      </c>
      <c r="U275" s="20" t="n">
        <v>2900</v>
      </c>
      <c r="V275" s="13" t="s">
        <v>187</v>
      </c>
      <c r="W275" s="17"/>
      <c r="X275" s="13"/>
      <c r="Y275" s="13" t="s">
        <v>1992</v>
      </c>
      <c r="Z275" s="13" t="s">
        <v>1885</v>
      </c>
      <c r="AA275" s="13" t="s">
        <v>213</v>
      </c>
      <c r="AB275" s="13"/>
      <c r="AC275" s="17"/>
      <c r="AD275" s="13"/>
      <c r="AE275" s="19" t="n">
        <v>0</v>
      </c>
      <c r="AF275" s="19" t="n">
        <v>0</v>
      </c>
      <c r="AG275" s="19" t="n">
        <v>0</v>
      </c>
      <c r="AH275" s="13" t="s">
        <v>1739</v>
      </c>
      <c r="AI275" s="17"/>
      <c r="AJ275" s="13" t="s">
        <v>188</v>
      </c>
      <c r="AK275" s="13" t="s">
        <v>188</v>
      </c>
      <c r="AL275" s="14" t="s">
        <v>1855</v>
      </c>
      <c r="AM275" s="13" t="s">
        <v>1155</v>
      </c>
      <c r="AN275" s="15"/>
      <c r="AO275" s="13"/>
      <c r="AP275" s="13" t="s">
        <v>196</v>
      </c>
      <c r="AQ275" s="16" t="n">
        <f aca="false">IFERROR(IF(AND(INDEX(Mob_Demob!$D$6:$D$14,MATCH(AM275,Mob_Demob!$A$6:$A$14,0))="",INDEX(Mob_Demob!$G$6:$G$14,MATCH(AM275,Mob_Demob!$A$6:$A$14,0))=""),"",ROUND(MAX(N(INDEX(Mob_Demob!$G$6:$G$14,MATCH(AM275,Mob_Demob!$A$6:$A$14,0))),N(INDEX(Mob_Demob!$D$6:$D$14,MATCH(AM275,Mob_Demob!$A$6:$A$14,0)))*Settings!$B$6)+IF(AP275="Y",N(INDEX(Mob_Demob!$I$6:$I$14,MATCH(AM275,Mob_Demob!$A$6:$A$14,0)))*Settings!$B$19,0)+N(INDEX(Mob_Demob!$L$6:$L$14,MATCH(AM275,Mob_Demob!$A$6:$A$14,0)))*N(INDEX(Mob_Demob!$K$6:$K$14,MATCH(AM275,Mob_Demob!$A$6:$A$14,0)))*Settings!$B$6+N(INDEX(Mob_Demob!$M$6:$M$14,MATCH(AM275,Mob_Demob!$A$6:$A$14,0)))*N(INDEX(Mob_Demob!$N$6:$N$14,MATCH(AM275,Mob_Demob!$A$6:$A$14,0))),0)),"")</f>
        <v>200</v>
      </c>
      <c r="AR275" s="16" t="n">
        <f aca="false">IF(AQ275="","",ROUND(AQ275*Settings!$B$18,0))</f>
        <v>200</v>
      </c>
      <c r="AS275" s="13" t="s">
        <v>1856</v>
      </c>
      <c r="AT275" s="14" t="s">
        <v>1993</v>
      </c>
      <c r="AU275" s="14" t="s">
        <v>341</v>
      </c>
    </row>
    <row r="276" customFormat="false" ht="74.6" hidden="false" customHeight="false" outlineLevel="0" collapsed="false">
      <c r="A276" s="21" t="s">
        <v>1994</v>
      </c>
      <c r="B276" s="21" t="s">
        <v>1847</v>
      </c>
      <c r="C276" s="21" t="s">
        <v>1964</v>
      </c>
      <c r="D276" s="21" t="s">
        <v>1965</v>
      </c>
      <c r="E276" s="22" t="s">
        <v>1995</v>
      </c>
      <c r="F276" s="13" t="s">
        <v>1851</v>
      </c>
      <c r="G276" s="13" t="n">
        <v>45</v>
      </c>
      <c r="H276" s="13" t="s">
        <v>462</v>
      </c>
      <c r="I276" s="14" t="s">
        <v>1996</v>
      </c>
      <c r="J276" s="15"/>
      <c r="K276" s="13" t="n">
        <v>60</v>
      </c>
      <c r="L276" s="13" t="s">
        <v>1971</v>
      </c>
      <c r="M276" s="13" t="n">
        <v>45</v>
      </c>
      <c r="N276" s="13" t="s">
        <v>184</v>
      </c>
      <c r="O276" s="13" t="s">
        <v>1844</v>
      </c>
      <c r="P276" s="13" t="s">
        <v>186</v>
      </c>
      <c r="Q276" s="20" t="n">
        <v>430</v>
      </c>
      <c r="R276" s="20" t="n">
        <v>1028</v>
      </c>
      <c r="S276" s="20" t="n">
        <v>2349</v>
      </c>
      <c r="T276" s="20" t="n">
        <v>2062</v>
      </c>
      <c r="U276" s="20" t="n">
        <v>2900</v>
      </c>
      <c r="V276" s="13" t="s">
        <v>187</v>
      </c>
      <c r="W276" s="17"/>
      <c r="X276" s="13"/>
      <c r="Y276" s="13" t="s">
        <v>1992</v>
      </c>
      <c r="Z276" s="13" t="s">
        <v>1885</v>
      </c>
      <c r="AA276" s="13" t="s">
        <v>213</v>
      </c>
      <c r="AB276" s="13" t="s">
        <v>1997</v>
      </c>
      <c r="AC276" s="18" t="n">
        <v>48.28</v>
      </c>
      <c r="AD276" s="13" t="s">
        <v>190</v>
      </c>
      <c r="AE276" s="19" t="n">
        <f aca="false">ROUND(K276*Settings!$B$11*Settings!$B$13,2)</f>
        <v>1.02</v>
      </c>
      <c r="AF276" s="19" t="n">
        <f aca="false">ROUND(K276*Settings!$B$11*Settings!$B$14,2)</f>
        <v>1.34</v>
      </c>
      <c r="AG276" s="19" t="n">
        <f aca="false">ROUND(K276*Settings!$B$11*Settings!$B$15,2)</f>
        <v>1.75</v>
      </c>
      <c r="AH276" s="13" t="s">
        <v>191</v>
      </c>
      <c r="AI276" s="17" t="n">
        <f aca="false">IF(OR(AC276="",AF276="",Settings!$B$5=""),"",ROUND(AC276-AF276*Settings!$B$5,2))</f>
        <v>43.38</v>
      </c>
      <c r="AJ276" s="13" t="s">
        <v>192</v>
      </c>
      <c r="AK276" s="13" t="s">
        <v>193</v>
      </c>
      <c r="AL276" s="14" t="s">
        <v>1855</v>
      </c>
      <c r="AM276" s="13" t="s">
        <v>1155</v>
      </c>
      <c r="AN276" s="15"/>
      <c r="AO276" s="13"/>
      <c r="AP276" s="13" t="s">
        <v>196</v>
      </c>
      <c r="AQ276" s="16" t="n">
        <f aca="false">IFERROR(IF(AND(INDEX(Mob_Demob!$D$6:$D$14,MATCH(AM276,Mob_Demob!$A$6:$A$14,0))="",INDEX(Mob_Demob!$G$6:$G$14,MATCH(AM276,Mob_Demob!$A$6:$A$14,0))=""),"",ROUND(MAX(N(INDEX(Mob_Demob!$G$6:$G$14,MATCH(AM276,Mob_Demob!$A$6:$A$14,0))),N(INDEX(Mob_Demob!$D$6:$D$14,MATCH(AM276,Mob_Demob!$A$6:$A$14,0)))*Settings!$B$6)+IF(AP276="Y",N(INDEX(Mob_Demob!$I$6:$I$14,MATCH(AM276,Mob_Demob!$A$6:$A$14,0)))*Settings!$B$19,0)+N(INDEX(Mob_Demob!$L$6:$L$14,MATCH(AM276,Mob_Demob!$A$6:$A$14,0)))*N(INDEX(Mob_Demob!$K$6:$K$14,MATCH(AM276,Mob_Demob!$A$6:$A$14,0)))*Settings!$B$6+N(INDEX(Mob_Demob!$M$6:$M$14,MATCH(AM276,Mob_Demob!$A$6:$A$14,0)))*N(INDEX(Mob_Demob!$N$6:$N$14,MATCH(AM276,Mob_Demob!$A$6:$A$14,0))),0)),"")</f>
        <v>200</v>
      </c>
      <c r="AR276" s="16" t="n">
        <f aca="false">IF(AQ276="","",ROUND(AQ276*Settings!$B$18,0))</f>
        <v>200</v>
      </c>
      <c r="AS276" s="13" t="s">
        <v>1856</v>
      </c>
      <c r="AT276" s="14" t="s">
        <v>1998</v>
      </c>
      <c r="AU276" s="14"/>
    </row>
    <row r="277" customFormat="false" ht="53.7" hidden="false" customHeight="false" outlineLevel="0" collapsed="false">
      <c r="A277" s="21" t="s">
        <v>1999</v>
      </c>
      <c r="B277" s="21" t="s">
        <v>1847</v>
      </c>
      <c r="C277" s="21" t="s">
        <v>1964</v>
      </c>
      <c r="D277" s="21" t="s">
        <v>1965</v>
      </c>
      <c r="E277" s="22" t="s">
        <v>2000</v>
      </c>
      <c r="F277" s="13" t="s">
        <v>1851</v>
      </c>
      <c r="G277" s="13" t="n">
        <v>60</v>
      </c>
      <c r="H277" s="13" t="s">
        <v>462</v>
      </c>
      <c r="I277" s="14" t="s">
        <v>2001</v>
      </c>
      <c r="J277" s="15"/>
      <c r="K277" s="13"/>
      <c r="L277" s="13" t="s">
        <v>1971</v>
      </c>
      <c r="M277" s="13" t="n">
        <v>60</v>
      </c>
      <c r="N277" s="13" t="s">
        <v>247</v>
      </c>
      <c r="O277" s="13" t="s">
        <v>1844</v>
      </c>
      <c r="P277" s="13" t="s">
        <v>186</v>
      </c>
      <c r="Q277" s="20" t="n">
        <v>518</v>
      </c>
      <c r="R277" s="20" t="n">
        <v>1373</v>
      </c>
      <c r="S277" s="20" t="n">
        <v>2751</v>
      </c>
      <c r="T277" s="20" t="n">
        <v>2602</v>
      </c>
      <c r="U277" s="20" t="n">
        <v>2900</v>
      </c>
      <c r="V277" s="13" t="s">
        <v>187</v>
      </c>
      <c r="W277" s="17"/>
      <c r="X277" s="13"/>
      <c r="Y277" s="13" t="s">
        <v>1980</v>
      </c>
      <c r="Z277" s="13" t="s">
        <v>1944</v>
      </c>
      <c r="AA277" s="13" t="s">
        <v>213</v>
      </c>
      <c r="AB277" s="13"/>
      <c r="AC277" s="17"/>
      <c r="AD277" s="13"/>
      <c r="AE277" s="19"/>
      <c r="AF277" s="19"/>
      <c r="AG277" s="19"/>
      <c r="AH277" s="13"/>
      <c r="AI277" s="17"/>
      <c r="AJ277" s="13" t="s">
        <v>188</v>
      </c>
      <c r="AK277" s="13" t="s">
        <v>188</v>
      </c>
      <c r="AL277" s="14" t="s">
        <v>1855</v>
      </c>
      <c r="AM277" s="13" t="s">
        <v>1155</v>
      </c>
      <c r="AN277" s="15"/>
      <c r="AO277" s="13"/>
      <c r="AP277" s="13" t="s">
        <v>196</v>
      </c>
      <c r="AQ277" s="16" t="n">
        <f aca="false">IFERROR(IF(AND(INDEX(Mob_Demob!$D$6:$D$14,MATCH(AM277,Mob_Demob!$A$6:$A$14,0))="",INDEX(Mob_Demob!$G$6:$G$14,MATCH(AM277,Mob_Demob!$A$6:$A$14,0))=""),"",ROUND(MAX(N(INDEX(Mob_Demob!$G$6:$G$14,MATCH(AM277,Mob_Demob!$A$6:$A$14,0))),N(INDEX(Mob_Demob!$D$6:$D$14,MATCH(AM277,Mob_Demob!$A$6:$A$14,0)))*Settings!$B$6)+IF(AP277="Y",N(INDEX(Mob_Demob!$I$6:$I$14,MATCH(AM277,Mob_Demob!$A$6:$A$14,0)))*Settings!$B$19,0)+N(INDEX(Mob_Demob!$L$6:$L$14,MATCH(AM277,Mob_Demob!$A$6:$A$14,0)))*N(INDEX(Mob_Demob!$K$6:$K$14,MATCH(AM277,Mob_Demob!$A$6:$A$14,0)))*Settings!$B$6+N(INDEX(Mob_Demob!$M$6:$M$14,MATCH(AM277,Mob_Demob!$A$6:$A$14,0)))*N(INDEX(Mob_Demob!$N$6:$N$14,MATCH(AM277,Mob_Demob!$A$6:$A$14,0))),0)),"")</f>
        <v>200</v>
      </c>
      <c r="AR277" s="16" t="n">
        <f aca="false">IF(AQ277="","",ROUND(AQ277*Settings!$B$18,0))</f>
        <v>200</v>
      </c>
      <c r="AS277" s="13" t="s">
        <v>1856</v>
      </c>
      <c r="AT277" s="14" t="s">
        <v>2002</v>
      </c>
      <c r="AU277" s="14" t="s">
        <v>262</v>
      </c>
    </row>
    <row r="278" customFormat="false" ht="64.15" hidden="false" customHeight="false" outlineLevel="0" collapsed="false">
      <c r="A278" s="21" t="s">
        <v>2003</v>
      </c>
      <c r="B278" s="21" t="s">
        <v>1847</v>
      </c>
      <c r="C278" s="21" t="s">
        <v>1964</v>
      </c>
      <c r="D278" s="21" t="s">
        <v>1965</v>
      </c>
      <c r="E278" s="22" t="s">
        <v>2004</v>
      </c>
      <c r="F278" s="13" t="s">
        <v>1851</v>
      </c>
      <c r="G278" s="13" t="n">
        <v>60</v>
      </c>
      <c r="H278" s="13" t="s">
        <v>462</v>
      </c>
      <c r="I278" s="14" t="s">
        <v>2005</v>
      </c>
      <c r="J278" s="15"/>
      <c r="K278" s="13" t="n">
        <v>84</v>
      </c>
      <c r="L278" s="13" t="s">
        <v>1971</v>
      </c>
      <c r="M278" s="13" t="n">
        <v>60</v>
      </c>
      <c r="N278" s="13" t="s">
        <v>184</v>
      </c>
      <c r="O278" s="13" t="s">
        <v>1844</v>
      </c>
      <c r="P278" s="13" t="s">
        <v>186</v>
      </c>
      <c r="Q278" s="20" t="n">
        <v>563</v>
      </c>
      <c r="R278" s="20" t="n">
        <v>1370</v>
      </c>
      <c r="S278" s="20" t="n">
        <v>2766</v>
      </c>
      <c r="T278" s="20" t="n">
        <v>2632</v>
      </c>
      <c r="U278" s="20" t="n">
        <v>2900</v>
      </c>
      <c r="V278" s="13" t="s">
        <v>187</v>
      </c>
      <c r="W278" s="17"/>
      <c r="X278" s="13"/>
      <c r="Y278" s="13" t="s">
        <v>1980</v>
      </c>
      <c r="Z278" s="13" t="s">
        <v>1944</v>
      </c>
      <c r="AA278" s="13" t="s">
        <v>213</v>
      </c>
      <c r="AB278" s="13" t="s">
        <v>2006</v>
      </c>
      <c r="AC278" s="18" t="n">
        <v>59.1</v>
      </c>
      <c r="AD278" s="13" t="s">
        <v>190</v>
      </c>
      <c r="AE278" s="19" t="n">
        <f aca="false">ROUND(K278*Settings!$B$11*Settings!$B$13,2)</f>
        <v>1.43</v>
      </c>
      <c r="AF278" s="19" t="n">
        <f aca="false">ROUND(K278*Settings!$B$11*Settings!$B$14,2)</f>
        <v>1.88</v>
      </c>
      <c r="AG278" s="19" t="n">
        <f aca="false">ROUND(K278*Settings!$B$11*Settings!$B$15,2)</f>
        <v>2.45</v>
      </c>
      <c r="AH278" s="13" t="s">
        <v>191</v>
      </c>
      <c r="AI278" s="17" t="n">
        <f aca="false">IF(OR(AC278="",AF278="",Settings!$B$5=""),"",ROUND(AC278-AF278*Settings!$B$5,2))</f>
        <v>52.22</v>
      </c>
      <c r="AJ278" s="13" t="s">
        <v>192</v>
      </c>
      <c r="AK278" s="13" t="s">
        <v>193</v>
      </c>
      <c r="AL278" s="14" t="s">
        <v>1855</v>
      </c>
      <c r="AM278" s="13" t="s">
        <v>1155</v>
      </c>
      <c r="AN278" s="15"/>
      <c r="AO278" s="13"/>
      <c r="AP278" s="13" t="s">
        <v>196</v>
      </c>
      <c r="AQ278" s="16" t="n">
        <f aca="false">IFERROR(IF(AND(INDEX(Mob_Demob!$D$6:$D$14,MATCH(AM278,Mob_Demob!$A$6:$A$14,0))="",INDEX(Mob_Demob!$G$6:$G$14,MATCH(AM278,Mob_Demob!$A$6:$A$14,0))=""),"",ROUND(MAX(N(INDEX(Mob_Demob!$G$6:$G$14,MATCH(AM278,Mob_Demob!$A$6:$A$14,0))),N(INDEX(Mob_Demob!$D$6:$D$14,MATCH(AM278,Mob_Demob!$A$6:$A$14,0)))*Settings!$B$6)+IF(AP278="Y",N(INDEX(Mob_Demob!$I$6:$I$14,MATCH(AM278,Mob_Demob!$A$6:$A$14,0)))*Settings!$B$19,0)+N(INDEX(Mob_Demob!$L$6:$L$14,MATCH(AM278,Mob_Demob!$A$6:$A$14,0)))*N(INDEX(Mob_Demob!$K$6:$K$14,MATCH(AM278,Mob_Demob!$A$6:$A$14,0)))*Settings!$B$6+N(INDEX(Mob_Demob!$M$6:$M$14,MATCH(AM278,Mob_Demob!$A$6:$A$14,0)))*N(INDEX(Mob_Demob!$N$6:$N$14,MATCH(AM278,Mob_Demob!$A$6:$A$14,0))),0)),"")</f>
        <v>200</v>
      </c>
      <c r="AR278" s="16" t="n">
        <f aca="false">IF(AQ278="","",ROUND(AQ278*Settings!$B$18,0))</f>
        <v>200</v>
      </c>
      <c r="AS278" s="13" t="s">
        <v>1856</v>
      </c>
      <c r="AT278" s="14" t="s">
        <v>2007</v>
      </c>
      <c r="AU278" s="14"/>
    </row>
    <row r="279" customFormat="false" ht="53.7" hidden="false" customHeight="false" outlineLevel="0" collapsed="false">
      <c r="A279" s="21" t="s">
        <v>2008</v>
      </c>
      <c r="B279" s="21" t="s">
        <v>1847</v>
      </c>
      <c r="C279" s="21" t="s">
        <v>1964</v>
      </c>
      <c r="D279" s="21" t="s">
        <v>1965</v>
      </c>
      <c r="E279" s="22" t="s">
        <v>2009</v>
      </c>
      <c r="F279" s="13" t="s">
        <v>1851</v>
      </c>
      <c r="G279" s="13" t="n">
        <v>80</v>
      </c>
      <c r="H279" s="13" t="s">
        <v>462</v>
      </c>
      <c r="I279" s="14" t="s">
        <v>2010</v>
      </c>
      <c r="J279" s="15"/>
      <c r="K279" s="13" t="n">
        <v>84</v>
      </c>
      <c r="L279" s="13" t="s">
        <v>1971</v>
      </c>
      <c r="M279" s="13" t="n">
        <v>80</v>
      </c>
      <c r="N279" s="13" t="s">
        <v>184</v>
      </c>
      <c r="O279" s="13" t="s">
        <v>1844</v>
      </c>
      <c r="P279" s="13" t="s">
        <v>186</v>
      </c>
      <c r="Q279" s="20" t="n">
        <v>961</v>
      </c>
      <c r="R279" s="20" t="n">
        <v>2206</v>
      </c>
      <c r="S279" s="20" t="n">
        <v>4262</v>
      </c>
      <c r="T279" s="16"/>
      <c r="U279" s="16"/>
      <c r="V279" s="13" t="s">
        <v>187</v>
      </c>
      <c r="W279" s="17"/>
      <c r="X279" s="13"/>
      <c r="Y279" s="13" t="s">
        <v>1853</v>
      </c>
      <c r="Z279" s="13" t="s">
        <v>1854</v>
      </c>
      <c r="AA279" s="13" t="s">
        <v>192</v>
      </c>
      <c r="AB279" s="13" t="s">
        <v>2011</v>
      </c>
      <c r="AC279" s="18" t="n">
        <v>65.19</v>
      </c>
      <c r="AD279" s="13" t="s">
        <v>190</v>
      </c>
      <c r="AE279" s="19" t="n">
        <f aca="false">ROUND(K279*Settings!$B$11*Settings!$B$13,2)</f>
        <v>1.43</v>
      </c>
      <c r="AF279" s="19" t="n">
        <f aca="false">ROUND(K279*Settings!$B$11*Settings!$B$14,2)</f>
        <v>1.88</v>
      </c>
      <c r="AG279" s="19" t="n">
        <f aca="false">ROUND(K279*Settings!$B$11*Settings!$B$15,2)</f>
        <v>2.45</v>
      </c>
      <c r="AH279" s="13" t="s">
        <v>191</v>
      </c>
      <c r="AI279" s="17" t="n">
        <f aca="false">IF(OR(AC279="",AF279="",Settings!$B$5=""),"",ROUND(AC279-AF279*Settings!$B$5,2))</f>
        <v>58.31</v>
      </c>
      <c r="AJ279" s="13" t="s">
        <v>192</v>
      </c>
      <c r="AK279" s="13" t="s">
        <v>193</v>
      </c>
      <c r="AL279" s="14" t="s">
        <v>1855</v>
      </c>
      <c r="AM279" s="13" t="s">
        <v>216</v>
      </c>
      <c r="AN279" s="15"/>
      <c r="AO279" s="13"/>
      <c r="AP279" s="13" t="s">
        <v>241</v>
      </c>
      <c r="AQ279" s="16" t="n">
        <f aca="false">IFERROR(IF(AND(INDEX(Mob_Demob!$D$6:$D$14,MATCH(AM279,Mob_Demob!$A$6:$A$14,0))="",INDEX(Mob_Demob!$G$6:$G$14,MATCH(AM279,Mob_Demob!$A$6:$A$14,0))=""),"",ROUND(MAX(N(INDEX(Mob_Demob!$G$6:$G$14,MATCH(AM279,Mob_Demob!$A$6:$A$14,0))),N(INDEX(Mob_Demob!$D$6:$D$14,MATCH(AM279,Mob_Demob!$A$6:$A$14,0)))*Settings!$B$6)+IF(AP279="Y",N(INDEX(Mob_Demob!$I$6:$I$14,MATCH(AM279,Mob_Demob!$A$6:$A$14,0)))*Settings!$B$19,0)+N(INDEX(Mob_Demob!$L$6:$L$14,MATCH(AM279,Mob_Demob!$A$6:$A$14,0)))*N(INDEX(Mob_Demob!$K$6:$K$14,MATCH(AM279,Mob_Demob!$A$6:$A$14,0)))*Settings!$B$6+N(INDEX(Mob_Demob!$M$6:$M$14,MATCH(AM279,Mob_Demob!$A$6:$A$14,0)))*N(INDEX(Mob_Demob!$N$6:$N$14,MATCH(AM279,Mob_Demob!$A$6:$A$14,0))),0)),"")</f>
        <v>550</v>
      </c>
      <c r="AR279" s="16" t="n">
        <f aca="false">IF(AQ279="","",ROUND(AQ279*Settings!$B$18,0))</f>
        <v>550</v>
      </c>
      <c r="AS279" s="13" t="s">
        <v>1856</v>
      </c>
      <c r="AT279" s="14" t="s">
        <v>2012</v>
      </c>
      <c r="AU279" s="14"/>
    </row>
    <row r="280" customFormat="false" ht="53.7" hidden="false" customHeight="false" outlineLevel="0" collapsed="false">
      <c r="A280" s="21" t="s">
        <v>2013</v>
      </c>
      <c r="B280" s="21" t="s">
        <v>1847</v>
      </c>
      <c r="C280" s="21" t="s">
        <v>1964</v>
      </c>
      <c r="D280" s="21" t="s">
        <v>1965</v>
      </c>
      <c r="E280" s="22" t="s">
        <v>2014</v>
      </c>
      <c r="F280" s="13" t="s">
        <v>1851</v>
      </c>
      <c r="G280" s="13" t="n">
        <v>86</v>
      </c>
      <c r="H280" s="13" t="s">
        <v>462</v>
      </c>
      <c r="I280" s="14"/>
      <c r="J280" s="15"/>
      <c r="K280" s="13"/>
      <c r="L280" s="13"/>
      <c r="M280" s="13" t="n">
        <v>86</v>
      </c>
      <c r="N280" s="13" t="s">
        <v>184</v>
      </c>
      <c r="O280" s="13" t="s">
        <v>1844</v>
      </c>
      <c r="P280" s="13" t="s">
        <v>186</v>
      </c>
      <c r="Q280" s="16"/>
      <c r="R280" s="16"/>
      <c r="S280" s="16"/>
      <c r="T280" s="16"/>
      <c r="U280" s="16"/>
      <c r="V280" s="13" t="s">
        <v>187</v>
      </c>
      <c r="W280" s="17"/>
      <c r="X280" s="13"/>
      <c r="Y280" s="13"/>
      <c r="Z280" s="13"/>
      <c r="AA280" s="13" t="s">
        <v>188</v>
      </c>
      <c r="AB280" s="13"/>
      <c r="AC280" s="17"/>
      <c r="AD280" s="13"/>
      <c r="AE280" s="19"/>
      <c r="AF280" s="19"/>
      <c r="AG280" s="19"/>
      <c r="AH280" s="13"/>
      <c r="AI280" s="17"/>
      <c r="AJ280" s="13" t="s">
        <v>188</v>
      </c>
      <c r="AK280" s="13" t="s">
        <v>188</v>
      </c>
      <c r="AL280" s="14" t="s">
        <v>1855</v>
      </c>
      <c r="AM280" s="13" t="s">
        <v>216</v>
      </c>
      <c r="AN280" s="15"/>
      <c r="AO280" s="13"/>
      <c r="AP280" s="13" t="s">
        <v>241</v>
      </c>
      <c r="AQ280" s="16" t="n">
        <f aca="false">IFERROR(IF(AND(INDEX(Mob_Demob!$D$6:$D$14,MATCH(AM280,Mob_Demob!$A$6:$A$14,0))="",INDEX(Mob_Demob!$G$6:$G$14,MATCH(AM280,Mob_Demob!$A$6:$A$14,0))=""),"",ROUND(MAX(N(INDEX(Mob_Demob!$G$6:$G$14,MATCH(AM280,Mob_Demob!$A$6:$A$14,0))),N(INDEX(Mob_Demob!$D$6:$D$14,MATCH(AM280,Mob_Demob!$A$6:$A$14,0)))*Settings!$B$6)+IF(AP280="Y",N(INDEX(Mob_Demob!$I$6:$I$14,MATCH(AM280,Mob_Demob!$A$6:$A$14,0)))*Settings!$B$19,0)+N(INDEX(Mob_Demob!$L$6:$L$14,MATCH(AM280,Mob_Demob!$A$6:$A$14,0)))*N(INDEX(Mob_Demob!$K$6:$K$14,MATCH(AM280,Mob_Demob!$A$6:$A$14,0)))*Settings!$B$6+N(INDEX(Mob_Demob!$M$6:$M$14,MATCH(AM280,Mob_Demob!$A$6:$A$14,0)))*N(INDEX(Mob_Demob!$N$6:$N$14,MATCH(AM280,Mob_Demob!$A$6:$A$14,0))),0)),"")</f>
        <v>550</v>
      </c>
      <c r="AR280" s="16" t="n">
        <f aca="false">IF(AQ280="","",ROUND(AQ280*Settings!$B$18,0))</f>
        <v>550</v>
      </c>
      <c r="AS280" s="13" t="s">
        <v>1856</v>
      </c>
      <c r="AT280" s="14" t="s">
        <v>2015</v>
      </c>
      <c r="AU280" s="14" t="s">
        <v>466</v>
      </c>
    </row>
    <row r="281" customFormat="false" ht="53.7" hidden="false" customHeight="false" outlineLevel="0" collapsed="false">
      <c r="A281" s="21" t="s">
        <v>2016</v>
      </c>
      <c r="B281" s="21" t="s">
        <v>1847</v>
      </c>
      <c r="C281" s="21" t="s">
        <v>1964</v>
      </c>
      <c r="D281" s="21" t="s">
        <v>1965</v>
      </c>
      <c r="E281" s="22" t="s">
        <v>2017</v>
      </c>
      <c r="F281" s="13" t="s">
        <v>1851</v>
      </c>
      <c r="G281" s="13" t="n">
        <v>125</v>
      </c>
      <c r="H281" s="13" t="s">
        <v>462</v>
      </c>
      <c r="I281" s="14" t="s">
        <v>2018</v>
      </c>
      <c r="J281" s="15"/>
      <c r="K281" s="13" t="n">
        <v>75</v>
      </c>
      <c r="L281" s="13" t="s">
        <v>1971</v>
      </c>
      <c r="M281" s="13" t="n">
        <v>125</v>
      </c>
      <c r="N281" s="13" t="s">
        <v>184</v>
      </c>
      <c r="O281" s="13" t="s">
        <v>1844</v>
      </c>
      <c r="P281" s="13" t="s">
        <v>186</v>
      </c>
      <c r="Q281" s="16"/>
      <c r="R281" s="16"/>
      <c r="S281" s="16"/>
      <c r="T281" s="16"/>
      <c r="U281" s="16"/>
      <c r="V281" s="13" t="s">
        <v>187</v>
      </c>
      <c r="W281" s="17"/>
      <c r="X281" s="13"/>
      <c r="Y281" s="13"/>
      <c r="Z281" s="13"/>
      <c r="AA281" s="13" t="s">
        <v>188</v>
      </c>
      <c r="AB281" s="13" t="s">
        <v>2019</v>
      </c>
      <c r="AC281" s="18" t="n">
        <v>68.1</v>
      </c>
      <c r="AD281" s="13" t="s">
        <v>190</v>
      </c>
      <c r="AE281" s="19" t="n">
        <f aca="false">ROUND(K281*Settings!$B$11*Settings!$B$13,2)</f>
        <v>1.28</v>
      </c>
      <c r="AF281" s="19" t="n">
        <f aca="false">ROUND(K281*Settings!$B$11*Settings!$B$14,2)</f>
        <v>1.68</v>
      </c>
      <c r="AG281" s="19" t="n">
        <f aca="false">ROUND(K281*Settings!$B$11*Settings!$B$15,2)</f>
        <v>2.19</v>
      </c>
      <c r="AH281" s="13" t="s">
        <v>191</v>
      </c>
      <c r="AI281" s="17" t="n">
        <f aca="false">IF(OR(AC281="",AF281="",Settings!$B$5=""),"",ROUND(AC281-AF281*Settings!$B$5,2))</f>
        <v>61.95</v>
      </c>
      <c r="AJ281" s="13" t="s">
        <v>192</v>
      </c>
      <c r="AK281" s="13" t="s">
        <v>193</v>
      </c>
      <c r="AL281" s="14" t="s">
        <v>1855</v>
      </c>
      <c r="AM281" s="13" t="s">
        <v>216</v>
      </c>
      <c r="AN281" s="15"/>
      <c r="AO281" s="13"/>
      <c r="AP281" s="13" t="s">
        <v>241</v>
      </c>
      <c r="AQ281" s="16" t="n">
        <f aca="false">IFERROR(IF(AND(INDEX(Mob_Demob!$D$6:$D$14,MATCH(AM281,Mob_Demob!$A$6:$A$14,0))="",INDEX(Mob_Demob!$G$6:$G$14,MATCH(AM281,Mob_Demob!$A$6:$A$14,0))=""),"",ROUND(MAX(N(INDEX(Mob_Demob!$G$6:$G$14,MATCH(AM281,Mob_Demob!$A$6:$A$14,0))),N(INDEX(Mob_Demob!$D$6:$D$14,MATCH(AM281,Mob_Demob!$A$6:$A$14,0)))*Settings!$B$6)+IF(AP281="Y",N(INDEX(Mob_Demob!$I$6:$I$14,MATCH(AM281,Mob_Demob!$A$6:$A$14,0)))*Settings!$B$19,0)+N(INDEX(Mob_Demob!$L$6:$L$14,MATCH(AM281,Mob_Demob!$A$6:$A$14,0)))*N(INDEX(Mob_Demob!$K$6:$K$14,MATCH(AM281,Mob_Demob!$A$6:$A$14,0)))*Settings!$B$6+N(INDEX(Mob_Demob!$M$6:$M$14,MATCH(AM281,Mob_Demob!$A$6:$A$14,0)))*N(INDEX(Mob_Demob!$N$6:$N$14,MATCH(AM281,Mob_Demob!$A$6:$A$14,0))),0)),"")</f>
        <v>550</v>
      </c>
      <c r="AR281" s="16" t="n">
        <f aca="false">IF(AQ281="","",ROUND(AQ281*Settings!$B$18,0))</f>
        <v>550</v>
      </c>
      <c r="AS281" s="13" t="s">
        <v>1856</v>
      </c>
      <c r="AT281" s="14" t="s">
        <v>2020</v>
      </c>
      <c r="AU281" s="14" t="s">
        <v>2021</v>
      </c>
    </row>
    <row r="282" customFormat="false" ht="53.7" hidden="false" customHeight="false" outlineLevel="0" collapsed="false">
      <c r="A282" s="21" t="s">
        <v>2022</v>
      </c>
      <c r="B282" s="21" t="s">
        <v>1847</v>
      </c>
      <c r="C282" s="21" t="s">
        <v>1964</v>
      </c>
      <c r="D282" s="21" t="s">
        <v>1965</v>
      </c>
      <c r="E282" s="22" t="s">
        <v>2023</v>
      </c>
      <c r="F282" s="13" t="s">
        <v>1851</v>
      </c>
      <c r="G282" s="13" t="n">
        <v>135</v>
      </c>
      <c r="H282" s="13" t="s">
        <v>462</v>
      </c>
      <c r="I282" s="14" t="s">
        <v>2024</v>
      </c>
      <c r="J282" s="15"/>
      <c r="K282" s="13"/>
      <c r="L282" s="13" t="s">
        <v>1971</v>
      </c>
      <c r="M282" s="13" t="n">
        <v>135</v>
      </c>
      <c r="N282" s="13" t="s">
        <v>184</v>
      </c>
      <c r="O282" s="13" t="s">
        <v>1844</v>
      </c>
      <c r="P282" s="13" t="s">
        <v>186</v>
      </c>
      <c r="Q282" s="20" t="n">
        <v>2032</v>
      </c>
      <c r="R282" s="20" t="n">
        <v>4780</v>
      </c>
      <c r="S282" s="20" t="n">
        <v>11755</v>
      </c>
      <c r="T282" s="16"/>
      <c r="U282" s="16"/>
      <c r="V282" s="13" t="s">
        <v>187</v>
      </c>
      <c r="W282" s="17"/>
      <c r="X282" s="13"/>
      <c r="Y282" s="13" t="s">
        <v>1853</v>
      </c>
      <c r="Z282" s="13" t="s">
        <v>1854</v>
      </c>
      <c r="AA282" s="13" t="s">
        <v>192</v>
      </c>
      <c r="AB282" s="13"/>
      <c r="AC282" s="17"/>
      <c r="AD282" s="13"/>
      <c r="AE282" s="19"/>
      <c r="AF282" s="19"/>
      <c r="AG282" s="19"/>
      <c r="AH282" s="13"/>
      <c r="AI282" s="17"/>
      <c r="AJ282" s="13" t="s">
        <v>188</v>
      </c>
      <c r="AK282" s="13" t="s">
        <v>188</v>
      </c>
      <c r="AL282" s="14" t="s">
        <v>1855</v>
      </c>
      <c r="AM282" s="13" t="s">
        <v>216</v>
      </c>
      <c r="AN282" s="15"/>
      <c r="AO282" s="13"/>
      <c r="AP282" s="13" t="s">
        <v>241</v>
      </c>
      <c r="AQ282" s="16" t="n">
        <f aca="false">IFERROR(IF(AND(INDEX(Mob_Demob!$D$6:$D$14,MATCH(AM282,Mob_Demob!$A$6:$A$14,0))="",INDEX(Mob_Demob!$G$6:$G$14,MATCH(AM282,Mob_Demob!$A$6:$A$14,0))=""),"",ROUND(MAX(N(INDEX(Mob_Demob!$G$6:$G$14,MATCH(AM282,Mob_Demob!$A$6:$A$14,0))),N(INDEX(Mob_Demob!$D$6:$D$14,MATCH(AM282,Mob_Demob!$A$6:$A$14,0)))*Settings!$B$6)+IF(AP282="Y",N(INDEX(Mob_Demob!$I$6:$I$14,MATCH(AM282,Mob_Demob!$A$6:$A$14,0)))*Settings!$B$19,0)+N(INDEX(Mob_Demob!$L$6:$L$14,MATCH(AM282,Mob_Demob!$A$6:$A$14,0)))*N(INDEX(Mob_Demob!$K$6:$K$14,MATCH(AM282,Mob_Demob!$A$6:$A$14,0)))*Settings!$B$6+N(INDEX(Mob_Demob!$M$6:$M$14,MATCH(AM282,Mob_Demob!$A$6:$A$14,0)))*N(INDEX(Mob_Demob!$N$6:$N$14,MATCH(AM282,Mob_Demob!$A$6:$A$14,0))),0)),"")</f>
        <v>550</v>
      </c>
      <c r="AR282" s="16" t="n">
        <f aca="false">IF(AQ282="","",ROUND(AQ282*Settings!$B$18,0))</f>
        <v>550</v>
      </c>
      <c r="AS282" s="13" t="s">
        <v>1856</v>
      </c>
      <c r="AT282" s="14" t="s">
        <v>2025</v>
      </c>
      <c r="AU282" s="14" t="s">
        <v>262</v>
      </c>
    </row>
    <row r="283" customFormat="false" ht="64.15" hidden="false" customHeight="false" outlineLevel="0" collapsed="false">
      <c r="A283" s="21" t="s">
        <v>2026</v>
      </c>
      <c r="B283" s="21" t="s">
        <v>1847</v>
      </c>
      <c r="C283" s="21" t="s">
        <v>1964</v>
      </c>
      <c r="D283" s="21" t="s">
        <v>1965</v>
      </c>
      <c r="E283" s="22" t="s">
        <v>2027</v>
      </c>
      <c r="F283" s="13" t="s">
        <v>1851</v>
      </c>
      <c r="G283" s="13" t="n">
        <v>150</v>
      </c>
      <c r="H283" s="13" t="s">
        <v>462</v>
      </c>
      <c r="I283" s="14" t="s">
        <v>2028</v>
      </c>
      <c r="J283" s="15"/>
      <c r="K283" s="13" t="n">
        <v>100</v>
      </c>
      <c r="L283" s="13" t="s">
        <v>1971</v>
      </c>
      <c r="M283" s="13" t="n">
        <v>150</v>
      </c>
      <c r="N283" s="13" t="s">
        <v>184</v>
      </c>
      <c r="O283" s="13" t="s">
        <v>1844</v>
      </c>
      <c r="P283" s="13" t="s">
        <v>186</v>
      </c>
      <c r="Q283" s="20" t="n">
        <v>4598</v>
      </c>
      <c r="R283" s="20" t="n">
        <v>11489</v>
      </c>
      <c r="S283" s="20" t="n">
        <v>28435</v>
      </c>
      <c r="T283" s="16"/>
      <c r="U283" s="16"/>
      <c r="V283" s="13" t="s">
        <v>187</v>
      </c>
      <c r="W283" s="17"/>
      <c r="X283" s="13"/>
      <c r="Y283" s="13" t="s">
        <v>1853</v>
      </c>
      <c r="Z283" s="13" t="s">
        <v>1854</v>
      </c>
      <c r="AA283" s="13" t="s">
        <v>192</v>
      </c>
      <c r="AB283" s="13" t="s">
        <v>2029</v>
      </c>
      <c r="AC283" s="18" t="n">
        <v>104.55</v>
      </c>
      <c r="AD283" s="13" t="s">
        <v>190</v>
      </c>
      <c r="AE283" s="19" t="n">
        <f aca="false">ROUND(K283*Settings!$B$11*Settings!$B$13,2)</f>
        <v>1.7</v>
      </c>
      <c r="AF283" s="19" t="n">
        <f aca="false">ROUND(K283*Settings!$B$11*Settings!$B$14,2)</f>
        <v>2.24</v>
      </c>
      <c r="AG283" s="19" t="n">
        <f aca="false">ROUND(K283*Settings!$B$11*Settings!$B$15,2)</f>
        <v>2.92</v>
      </c>
      <c r="AH283" s="13" t="s">
        <v>191</v>
      </c>
      <c r="AI283" s="17" t="n">
        <f aca="false">IF(OR(AC283="",AF283="",Settings!$B$5=""),"",ROUND(AC283-AF283*Settings!$B$5,2))</f>
        <v>96.35</v>
      </c>
      <c r="AJ283" s="13" t="s">
        <v>192</v>
      </c>
      <c r="AK283" s="13" t="s">
        <v>193</v>
      </c>
      <c r="AL283" s="14" t="s">
        <v>1855</v>
      </c>
      <c r="AM283" s="13" t="s">
        <v>216</v>
      </c>
      <c r="AN283" s="15"/>
      <c r="AO283" s="13"/>
      <c r="AP283" s="13" t="s">
        <v>241</v>
      </c>
      <c r="AQ283" s="16" t="n">
        <f aca="false">IFERROR(IF(AND(INDEX(Mob_Demob!$D$6:$D$14,MATCH(AM283,Mob_Demob!$A$6:$A$14,0))="",INDEX(Mob_Demob!$G$6:$G$14,MATCH(AM283,Mob_Demob!$A$6:$A$14,0))=""),"",ROUND(MAX(N(INDEX(Mob_Demob!$G$6:$G$14,MATCH(AM283,Mob_Demob!$A$6:$A$14,0))),N(INDEX(Mob_Demob!$D$6:$D$14,MATCH(AM283,Mob_Demob!$A$6:$A$14,0)))*Settings!$B$6)+IF(AP283="Y",N(INDEX(Mob_Demob!$I$6:$I$14,MATCH(AM283,Mob_Demob!$A$6:$A$14,0)))*Settings!$B$19,0)+N(INDEX(Mob_Demob!$L$6:$L$14,MATCH(AM283,Mob_Demob!$A$6:$A$14,0)))*N(INDEX(Mob_Demob!$K$6:$K$14,MATCH(AM283,Mob_Demob!$A$6:$A$14,0)))*Settings!$B$6+N(INDEX(Mob_Demob!$M$6:$M$14,MATCH(AM283,Mob_Demob!$A$6:$A$14,0)))*N(INDEX(Mob_Demob!$N$6:$N$14,MATCH(AM283,Mob_Demob!$A$6:$A$14,0))),0)),"")</f>
        <v>550</v>
      </c>
      <c r="AR283" s="16" t="n">
        <f aca="false">IF(AQ283="","",ROUND(AQ283*Settings!$B$18,0))</f>
        <v>550</v>
      </c>
      <c r="AS283" s="13" t="s">
        <v>1856</v>
      </c>
      <c r="AT283" s="14" t="s">
        <v>2030</v>
      </c>
      <c r="AU283" s="14"/>
    </row>
    <row r="284" customFormat="false" ht="53.7" hidden="false" customHeight="false" outlineLevel="0" collapsed="false">
      <c r="A284" s="21" t="s">
        <v>2031</v>
      </c>
      <c r="B284" s="21" t="s">
        <v>1847</v>
      </c>
      <c r="C284" s="21" t="s">
        <v>2032</v>
      </c>
      <c r="D284" s="21" t="s">
        <v>2033</v>
      </c>
      <c r="E284" s="22" t="s">
        <v>2034</v>
      </c>
      <c r="F284" s="13" t="s">
        <v>1851</v>
      </c>
      <c r="G284" s="13" t="n">
        <v>40</v>
      </c>
      <c r="H284" s="13" t="s">
        <v>462</v>
      </c>
      <c r="I284" s="14" t="s">
        <v>2035</v>
      </c>
      <c r="J284" s="15"/>
      <c r="K284" s="13"/>
      <c r="L284" s="13" t="s">
        <v>2036</v>
      </c>
      <c r="M284" s="13" t="n">
        <v>40</v>
      </c>
      <c r="N284" s="13" t="s">
        <v>184</v>
      </c>
      <c r="O284" s="13" t="s">
        <v>1844</v>
      </c>
      <c r="P284" s="13" t="s">
        <v>186</v>
      </c>
      <c r="Q284" s="20" t="n">
        <v>362</v>
      </c>
      <c r="R284" s="20" t="n">
        <v>905</v>
      </c>
      <c r="S284" s="20" t="n">
        <v>1930</v>
      </c>
      <c r="T284" s="20" t="n">
        <v>1850</v>
      </c>
      <c r="U284" s="20" t="n">
        <v>2009</v>
      </c>
      <c r="V284" s="13" t="s">
        <v>187</v>
      </c>
      <c r="W284" s="17"/>
      <c r="X284" s="13"/>
      <c r="Y284" s="13" t="s">
        <v>1980</v>
      </c>
      <c r="Z284" s="13" t="s">
        <v>1944</v>
      </c>
      <c r="AA284" s="13" t="s">
        <v>213</v>
      </c>
      <c r="AB284" s="13"/>
      <c r="AC284" s="17"/>
      <c r="AD284" s="13"/>
      <c r="AE284" s="19"/>
      <c r="AF284" s="19"/>
      <c r="AG284" s="19"/>
      <c r="AH284" s="13"/>
      <c r="AI284" s="17"/>
      <c r="AJ284" s="13" t="s">
        <v>188</v>
      </c>
      <c r="AK284" s="13" t="s">
        <v>188</v>
      </c>
      <c r="AL284" s="14" t="s">
        <v>1855</v>
      </c>
      <c r="AM284" s="13" t="s">
        <v>1155</v>
      </c>
      <c r="AN284" s="15"/>
      <c r="AO284" s="13"/>
      <c r="AP284" s="13" t="s">
        <v>196</v>
      </c>
      <c r="AQ284" s="16" t="n">
        <f aca="false">IFERROR(IF(AND(INDEX(Mob_Demob!$D$6:$D$14,MATCH(AM284,Mob_Demob!$A$6:$A$14,0))="",INDEX(Mob_Demob!$G$6:$G$14,MATCH(AM284,Mob_Demob!$A$6:$A$14,0))=""),"",ROUND(MAX(N(INDEX(Mob_Demob!$G$6:$G$14,MATCH(AM284,Mob_Demob!$A$6:$A$14,0))),N(INDEX(Mob_Demob!$D$6:$D$14,MATCH(AM284,Mob_Demob!$A$6:$A$14,0)))*Settings!$B$6)+IF(AP284="Y",N(INDEX(Mob_Demob!$I$6:$I$14,MATCH(AM284,Mob_Demob!$A$6:$A$14,0)))*Settings!$B$19,0)+N(INDEX(Mob_Demob!$L$6:$L$14,MATCH(AM284,Mob_Demob!$A$6:$A$14,0)))*N(INDEX(Mob_Demob!$K$6:$K$14,MATCH(AM284,Mob_Demob!$A$6:$A$14,0)))*Settings!$B$6+N(INDEX(Mob_Demob!$M$6:$M$14,MATCH(AM284,Mob_Demob!$A$6:$A$14,0)))*N(INDEX(Mob_Demob!$N$6:$N$14,MATCH(AM284,Mob_Demob!$A$6:$A$14,0))),0)),"")</f>
        <v>200</v>
      </c>
      <c r="AR284" s="16" t="n">
        <f aca="false">IF(AQ284="","",ROUND(AQ284*Settings!$B$18,0))</f>
        <v>200</v>
      </c>
      <c r="AS284" s="13" t="s">
        <v>1856</v>
      </c>
      <c r="AT284" s="14" t="s">
        <v>2037</v>
      </c>
      <c r="AU284" s="14" t="s">
        <v>262</v>
      </c>
    </row>
    <row r="285" customFormat="false" ht="53.7" hidden="false" customHeight="false" outlineLevel="0" collapsed="false">
      <c r="A285" s="21" t="s">
        <v>2038</v>
      </c>
      <c r="B285" s="21" t="s">
        <v>1847</v>
      </c>
      <c r="C285" s="21" t="s">
        <v>2032</v>
      </c>
      <c r="D285" s="21" t="s">
        <v>2033</v>
      </c>
      <c r="E285" s="22" t="s">
        <v>2039</v>
      </c>
      <c r="F285" s="13" t="s">
        <v>1851</v>
      </c>
      <c r="G285" s="13" t="n">
        <v>60</v>
      </c>
      <c r="H285" s="13" t="s">
        <v>462</v>
      </c>
      <c r="I285" s="14" t="s">
        <v>2040</v>
      </c>
      <c r="J285" s="15" t="n">
        <v>22900</v>
      </c>
      <c r="K285" s="13"/>
      <c r="L285" s="13" t="s">
        <v>2036</v>
      </c>
      <c r="M285" s="13" t="n">
        <v>60</v>
      </c>
      <c r="N285" s="13" t="s">
        <v>184</v>
      </c>
      <c r="O285" s="13" t="s">
        <v>1844</v>
      </c>
      <c r="P285" s="13" t="s">
        <v>186</v>
      </c>
      <c r="Q285" s="20" t="n">
        <v>525</v>
      </c>
      <c r="R285" s="20" t="n">
        <v>1350</v>
      </c>
      <c r="S285" s="20" t="n">
        <v>2900</v>
      </c>
      <c r="T285" s="20" t="n">
        <v>2447</v>
      </c>
      <c r="U285" s="20" t="n">
        <v>3500</v>
      </c>
      <c r="V285" s="13" t="s">
        <v>187</v>
      </c>
      <c r="W285" s="17"/>
      <c r="X285" s="13"/>
      <c r="Y285" s="13" t="s">
        <v>2041</v>
      </c>
      <c r="Z285" s="13" t="s">
        <v>1905</v>
      </c>
      <c r="AA285" s="13" t="s">
        <v>213</v>
      </c>
      <c r="AB285" s="13"/>
      <c r="AC285" s="17"/>
      <c r="AD285" s="13"/>
      <c r="AE285" s="19"/>
      <c r="AF285" s="19"/>
      <c r="AG285" s="19"/>
      <c r="AH285" s="13"/>
      <c r="AI285" s="17"/>
      <c r="AJ285" s="13" t="s">
        <v>188</v>
      </c>
      <c r="AK285" s="13" t="s">
        <v>188</v>
      </c>
      <c r="AL285" s="14" t="s">
        <v>1855</v>
      </c>
      <c r="AM285" s="13" t="s">
        <v>1155</v>
      </c>
      <c r="AN285" s="15" t="n">
        <v>22900</v>
      </c>
      <c r="AO285" s="13"/>
      <c r="AP285" s="13" t="s">
        <v>196</v>
      </c>
      <c r="AQ285" s="16" t="n">
        <f aca="false">IFERROR(IF(AND(INDEX(Mob_Demob!$D$6:$D$14,MATCH(AM285,Mob_Demob!$A$6:$A$14,0))="",INDEX(Mob_Demob!$G$6:$G$14,MATCH(AM285,Mob_Demob!$A$6:$A$14,0))=""),"",ROUND(MAX(N(INDEX(Mob_Demob!$G$6:$G$14,MATCH(AM285,Mob_Demob!$A$6:$A$14,0))),N(INDEX(Mob_Demob!$D$6:$D$14,MATCH(AM285,Mob_Demob!$A$6:$A$14,0)))*Settings!$B$6)+IF(AP285="Y",N(INDEX(Mob_Demob!$I$6:$I$14,MATCH(AM285,Mob_Demob!$A$6:$A$14,0)))*Settings!$B$19,0)+N(INDEX(Mob_Demob!$L$6:$L$14,MATCH(AM285,Mob_Demob!$A$6:$A$14,0)))*N(INDEX(Mob_Demob!$K$6:$K$14,MATCH(AM285,Mob_Demob!$A$6:$A$14,0)))*Settings!$B$6+N(INDEX(Mob_Demob!$M$6:$M$14,MATCH(AM285,Mob_Demob!$A$6:$A$14,0)))*N(INDEX(Mob_Demob!$N$6:$N$14,MATCH(AM285,Mob_Demob!$A$6:$A$14,0))),0)),"")</f>
        <v>200</v>
      </c>
      <c r="AR285" s="16" t="n">
        <f aca="false">IF(AQ285="","",ROUND(AQ285*Settings!$B$18,0))</f>
        <v>200</v>
      </c>
      <c r="AS285" s="13" t="s">
        <v>1856</v>
      </c>
      <c r="AT285" s="14" t="s">
        <v>2042</v>
      </c>
      <c r="AU285" s="14" t="s">
        <v>2043</v>
      </c>
    </row>
    <row r="286" customFormat="false" ht="53.7" hidden="false" customHeight="false" outlineLevel="0" collapsed="false">
      <c r="A286" s="21" t="s">
        <v>2044</v>
      </c>
      <c r="B286" s="21" t="s">
        <v>1847</v>
      </c>
      <c r="C286" s="21" t="s">
        <v>2032</v>
      </c>
      <c r="D286" s="21" t="s">
        <v>2033</v>
      </c>
      <c r="E286" s="22" t="s">
        <v>2045</v>
      </c>
      <c r="F286" s="13" t="s">
        <v>1851</v>
      </c>
      <c r="G286" s="13" t="n">
        <v>60</v>
      </c>
      <c r="H286" s="13" t="s">
        <v>462</v>
      </c>
      <c r="I286" s="14"/>
      <c r="J286" s="15"/>
      <c r="K286" s="13"/>
      <c r="L286" s="13" t="s">
        <v>2036</v>
      </c>
      <c r="M286" s="13" t="n">
        <v>60</v>
      </c>
      <c r="N286" s="13" t="s">
        <v>1737</v>
      </c>
      <c r="O286" s="13" t="s">
        <v>1844</v>
      </c>
      <c r="P286" s="13" t="s">
        <v>186</v>
      </c>
      <c r="Q286" s="20" t="n">
        <v>666</v>
      </c>
      <c r="R286" s="20" t="n">
        <v>1568</v>
      </c>
      <c r="S286" s="20" t="n">
        <v>2541</v>
      </c>
      <c r="T286" s="16"/>
      <c r="U286" s="16"/>
      <c r="V286" s="13" t="s">
        <v>187</v>
      </c>
      <c r="W286" s="17"/>
      <c r="X286" s="13"/>
      <c r="Y286" s="13" t="s">
        <v>1853</v>
      </c>
      <c r="Z286" s="13" t="s">
        <v>1854</v>
      </c>
      <c r="AA286" s="13" t="s">
        <v>192</v>
      </c>
      <c r="AB286" s="13"/>
      <c r="AC286" s="17"/>
      <c r="AD286" s="13"/>
      <c r="AE286" s="19" t="n">
        <v>0</v>
      </c>
      <c r="AF286" s="19" t="n">
        <v>0</v>
      </c>
      <c r="AG286" s="19" t="n">
        <v>0</v>
      </c>
      <c r="AH286" s="13" t="s">
        <v>1739</v>
      </c>
      <c r="AI286" s="17"/>
      <c r="AJ286" s="13" t="s">
        <v>188</v>
      </c>
      <c r="AK286" s="13" t="s">
        <v>188</v>
      </c>
      <c r="AL286" s="14" t="s">
        <v>1855</v>
      </c>
      <c r="AM286" s="13" t="s">
        <v>1155</v>
      </c>
      <c r="AN286" s="15"/>
      <c r="AO286" s="13"/>
      <c r="AP286" s="13" t="s">
        <v>196</v>
      </c>
      <c r="AQ286" s="16" t="n">
        <f aca="false">IFERROR(IF(AND(INDEX(Mob_Demob!$D$6:$D$14,MATCH(AM286,Mob_Demob!$A$6:$A$14,0))="",INDEX(Mob_Demob!$G$6:$G$14,MATCH(AM286,Mob_Demob!$A$6:$A$14,0))=""),"",ROUND(MAX(N(INDEX(Mob_Demob!$G$6:$G$14,MATCH(AM286,Mob_Demob!$A$6:$A$14,0))),N(INDEX(Mob_Demob!$D$6:$D$14,MATCH(AM286,Mob_Demob!$A$6:$A$14,0)))*Settings!$B$6)+IF(AP286="Y",N(INDEX(Mob_Demob!$I$6:$I$14,MATCH(AM286,Mob_Demob!$A$6:$A$14,0)))*Settings!$B$19,0)+N(INDEX(Mob_Demob!$L$6:$L$14,MATCH(AM286,Mob_Demob!$A$6:$A$14,0)))*N(INDEX(Mob_Demob!$K$6:$K$14,MATCH(AM286,Mob_Demob!$A$6:$A$14,0)))*Settings!$B$6+N(INDEX(Mob_Demob!$M$6:$M$14,MATCH(AM286,Mob_Demob!$A$6:$A$14,0)))*N(INDEX(Mob_Demob!$N$6:$N$14,MATCH(AM286,Mob_Demob!$A$6:$A$14,0))),0)),"")</f>
        <v>200</v>
      </c>
      <c r="AR286" s="16" t="n">
        <f aca="false">IF(AQ286="","",ROUND(AQ286*Settings!$B$18,0))</f>
        <v>200</v>
      </c>
      <c r="AS286" s="13" t="s">
        <v>1856</v>
      </c>
      <c r="AT286" s="14" t="s">
        <v>2046</v>
      </c>
      <c r="AU286" s="14" t="s">
        <v>341</v>
      </c>
    </row>
    <row r="287" customFormat="false" ht="53.7" hidden="false" customHeight="false" outlineLevel="0" collapsed="false">
      <c r="A287" s="21" t="s">
        <v>2047</v>
      </c>
      <c r="B287" s="21" t="s">
        <v>1847</v>
      </c>
      <c r="C287" s="21" t="s">
        <v>2032</v>
      </c>
      <c r="D287" s="21" t="s">
        <v>2033</v>
      </c>
      <c r="E287" s="22" t="s">
        <v>2048</v>
      </c>
      <c r="F287" s="13" t="s">
        <v>1851</v>
      </c>
      <c r="G287" s="13" t="n">
        <v>66</v>
      </c>
      <c r="H287" s="13" t="s">
        <v>462</v>
      </c>
      <c r="I287" s="14" t="s">
        <v>2049</v>
      </c>
      <c r="J287" s="15" t="n">
        <v>25341</v>
      </c>
      <c r="K287" s="13"/>
      <c r="L287" s="13" t="s">
        <v>2036</v>
      </c>
      <c r="M287" s="13" t="n">
        <v>66</v>
      </c>
      <c r="N287" s="13" t="s">
        <v>184</v>
      </c>
      <c r="O287" s="13" t="s">
        <v>1844</v>
      </c>
      <c r="P287" s="13" t="s">
        <v>186</v>
      </c>
      <c r="Q287" s="16"/>
      <c r="R287" s="16"/>
      <c r="S287" s="16"/>
      <c r="T287" s="16"/>
      <c r="U287" s="16"/>
      <c r="V287" s="13" t="s">
        <v>187</v>
      </c>
      <c r="W287" s="17"/>
      <c r="X287" s="13"/>
      <c r="Y287" s="13"/>
      <c r="Z287" s="13"/>
      <c r="AA287" s="13" t="s">
        <v>188</v>
      </c>
      <c r="AB287" s="13"/>
      <c r="AC287" s="17"/>
      <c r="AD287" s="13"/>
      <c r="AE287" s="19"/>
      <c r="AF287" s="19"/>
      <c r="AG287" s="19"/>
      <c r="AH287" s="13"/>
      <c r="AI287" s="17"/>
      <c r="AJ287" s="13" t="s">
        <v>188</v>
      </c>
      <c r="AK287" s="13" t="s">
        <v>188</v>
      </c>
      <c r="AL287" s="14" t="s">
        <v>1855</v>
      </c>
      <c r="AM287" s="13" t="s">
        <v>1155</v>
      </c>
      <c r="AN287" s="15" t="n">
        <v>25341</v>
      </c>
      <c r="AO287" s="13"/>
      <c r="AP287" s="13" t="s">
        <v>196</v>
      </c>
      <c r="AQ287" s="16" t="n">
        <f aca="false">IFERROR(IF(AND(INDEX(Mob_Demob!$D$6:$D$14,MATCH(AM287,Mob_Demob!$A$6:$A$14,0))="",INDEX(Mob_Demob!$G$6:$G$14,MATCH(AM287,Mob_Demob!$A$6:$A$14,0))=""),"",ROUND(MAX(N(INDEX(Mob_Demob!$G$6:$G$14,MATCH(AM287,Mob_Demob!$A$6:$A$14,0))),N(INDEX(Mob_Demob!$D$6:$D$14,MATCH(AM287,Mob_Demob!$A$6:$A$14,0)))*Settings!$B$6)+IF(AP287="Y",N(INDEX(Mob_Demob!$I$6:$I$14,MATCH(AM287,Mob_Demob!$A$6:$A$14,0)))*Settings!$B$19,0)+N(INDEX(Mob_Demob!$L$6:$L$14,MATCH(AM287,Mob_Demob!$A$6:$A$14,0)))*N(INDEX(Mob_Demob!$K$6:$K$14,MATCH(AM287,Mob_Demob!$A$6:$A$14,0)))*Settings!$B$6+N(INDEX(Mob_Demob!$M$6:$M$14,MATCH(AM287,Mob_Demob!$A$6:$A$14,0)))*N(INDEX(Mob_Demob!$N$6:$N$14,MATCH(AM287,Mob_Demob!$A$6:$A$14,0))),0)),"")</f>
        <v>200</v>
      </c>
      <c r="AR287" s="16" t="n">
        <f aca="false">IF(AQ287="","",ROUND(AQ287*Settings!$B$18,0))</f>
        <v>200</v>
      </c>
      <c r="AS287" s="13" t="s">
        <v>1856</v>
      </c>
      <c r="AT287" s="14" t="s">
        <v>2050</v>
      </c>
      <c r="AU287" s="14" t="s">
        <v>466</v>
      </c>
    </row>
    <row r="288" customFormat="false" ht="53.7" hidden="false" customHeight="false" outlineLevel="0" collapsed="false">
      <c r="A288" s="21" t="s">
        <v>2051</v>
      </c>
      <c r="B288" s="21" t="s">
        <v>1847</v>
      </c>
      <c r="C288" s="21" t="s">
        <v>2032</v>
      </c>
      <c r="D288" s="21" t="s">
        <v>2033</v>
      </c>
      <c r="E288" s="22" t="s">
        <v>2052</v>
      </c>
      <c r="F288" s="13" t="s">
        <v>1851</v>
      </c>
      <c r="G288" s="13" t="n">
        <v>80</v>
      </c>
      <c r="H288" s="13" t="s">
        <v>462</v>
      </c>
      <c r="I288" s="14" t="s">
        <v>2053</v>
      </c>
      <c r="J288" s="15"/>
      <c r="K288" s="13"/>
      <c r="L288" s="13" t="s">
        <v>2036</v>
      </c>
      <c r="M288" s="13" t="n">
        <v>80</v>
      </c>
      <c r="N288" s="13" t="s">
        <v>184</v>
      </c>
      <c r="O288" s="13" t="s">
        <v>1844</v>
      </c>
      <c r="P288" s="13" t="s">
        <v>186</v>
      </c>
      <c r="Q288" s="20" t="n">
        <v>821</v>
      </c>
      <c r="R288" s="20" t="n">
        <v>2129</v>
      </c>
      <c r="S288" s="20" t="n">
        <v>4820</v>
      </c>
      <c r="T288" s="20" t="n">
        <v>4139</v>
      </c>
      <c r="U288" s="20" t="n">
        <v>5500</v>
      </c>
      <c r="V288" s="13" t="s">
        <v>187</v>
      </c>
      <c r="W288" s="17"/>
      <c r="X288" s="13"/>
      <c r="Y288" s="13" t="s">
        <v>1928</v>
      </c>
      <c r="Z288" s="13" t="s">
        <v>1929</v>
      </c>
      <c r="AA288" s="13" t="s">
        <v>192</v>
      </c>
      <c r="AB288" s="13"/>
      <c r="AC288" s="17"/>
      <c r="AD288" s="13"/>
      <c r="AE288" s="19"/>
      <c r="AF288" s="19"/>
      <c r="AG288" s="19"/>
      <c r="AH288" s="13"/>
      <c r="AI288" s="17"/>
      <c r="AJ288" s="13" t="s">
        <v>188</v>
      </c>
      <c r="AK288" s="13" t="s">
        <v>188</v>
      </c>
      <c r="AL288" s="14" t="s">
        <v>1855</v>
      </c>
      <c r="AM288" s="13" t="s">
        <v>216</v>
      </c>
      <c r="AN288" s="15"/>
      <c r="AO288" s="13"/>
      <c r="AP288" s="13" t="s">
        <v>241</v>
      </c>
      <c r="AQ288" s="16" t="n">
        <f aca="false">IFERROR(IF(AND(INDEX(Mob_Demob!$D$6:$D$14,MATCH(AM288,Mob_Demob!$A$6:$A$14,0))="",INDEX(Mob_Demob!$G$6:$G$14,MATCH(AM288,Mob_Demob!$A$6:$A$14,0))=""),"",ROUND(MAX(N(INDEX(Mob_Demob!$G$6:$G$14,MATCH(AM288,Mob_Demob!$A$6:$A$14,0))),N(INDEX(Mob_Demob!$D$6:$D$14,MATCH(AM288,Mob_Demob!$A$6:$A$14,0)))*Settings!$B$6)+IF(AP288="Y",N(INDEX(Mob_Demob!$I$6:$I$14,MATCH(AM288,Mob_Demob!$A$6:$A$14,0)))*Settings!$B$19,0)+N(INDEX(Mob_Demob!$L$6:$L$14,MATCH(AM288,Mob_Demob!$A$6:$A$14,0)))*N(INDEX(Mob_Demob!$K$6:$K$14,MATCH(AM288,Mob_Demob!$A$6:$A$14,0)))*Settings!$B$6+N(INDEX(Mob_Demob!$M$6:$M$14,MATCH(AM288,Mob_Demob!$A$6:$A$14,0)))*N(INDEX(Mob_Demob!$N$6:$N$14,MATCH(AM288,Mob_Demob!$A$6:$A$14,0))),0)),"")</f>
        <v>550</v>
      </c>
      <c r="AR288" s="16" t="n">
        <f aca="false">IF(AQ288="","",ROUND(AQ288*Settings!$B$18,0))</f>
        <v>550</v>
      </c>
      <c r="AS288" s="13" t="s">
        <v>1856</v>
      </c>
      <c r="AT288" s="14" t="s">
        <v>2054</v>
      </c>
      <c r="AU288" s="14" t="s">
        <v>262</v>
      </c>
    </row>
    <row r="289" customFormat="false" ht="53.7" hidden="false" customHeight="false" outlineLevel="0" collapsed="false">
      <c r="A289" s="21" t="s">
        <v>2055</v>
      </c>
      <c r="B289" s="21" t="s">
        <v>1847</v>
      </c>
      <c r="C289" s="21" t="s">
        <v>2032</v>
      </c>
      <c r="D289" s="21" t="s">
        <v>2033</v>
      </c>
      <c r="E289" s="22" t="s">
        <v>2056</v>
      </c>
      <c r="F289" s="13" t="s">
        <v>1851</v>
      </c>
      <c r="G289" s="13" t="n">
        <v>85</v>
      </c>
      <c r="H289" s="13" t="s">
        <v>462</v>
      </c>
      <c r="I289" s="14"/>
      <c r="J289" s="15"/>
      <c r="K289" s="13"/>
      <c r="L289" s="13" t="s">
        <v>2036</v>
      </c>
      <c r="M289" s="13" t="n">
        <v>85</v>
      </c>
      <c r="N289" s="13" t="s">
        <v>184</v>
      </c>
      <c r="O289" s="13" t="s">
        <v>1844</v>
      </c>
      <c r="P289" s="13" t="s">
        <v>186</v>
      </c>
      <c r="Q289" s="16"/>
      <c r="R289" s="16"/>
      <c r="S289" s="16"/>
      <c r="T289" s="16"/>
      <c r="U289" s="16"/>
      <c r="V289" s="13" t="s">
        <v>187</v>
      </c>
      <c r="W289" s="17"/>
      <c r="X289" s="13"/>
      <c r="Y289" s="13"/>
      <c r="Z289" s="13"/>
      <c r="AA289" s="13" t="s">
        <v>188</v>
      </c>
      <c r="AB289" s="13"/>
      <c r="AC289" s="17"/>
      <c r="AD289" s="13"/>
      <c r="AE289" s="19"/>
      <c r="AF289" s="19"/>
      <c r="AG289" s="19"/>
      <c r="AH289" s="13"/>
      <c r="AI289" s="17"/>
      <c r="AJ289" s="13" t="s">
        <v>188</v>
      </c>
      <c r="AK289" s="13" t="s">
        <v>188</v>
      </c>
      <c r="AL289" s="14" t="s">
        <v>1855</v>
      </c>
      <c r="AM289" s="13" t="s">
        <v>216</v>
      </c>
      <c r="AN289" s="15"/>
      <c r="AO289" s="13"/>
      <c r="AP289" s="13" t="s">
        <v>241</v>
      </c>
      <c r="AQ289" s="16" t="n">
        <f aca="false">IFERROR(IF(AND(INDEX(Mob_Demob!$D$6:$D$14,MATCH(AM289,Mob_Demob!$A$6:$A$14,0))="",INDEX(Mob_Demob!$G$6:$G$14,MATCH(AM289,Mob_Demob!$A$6:$A$14,0))=""),"",ROUND(MAX(N(INDEX(Mob_Demob!$G$6:$G$14,MATCH(AM289,Mob_Demob!$A$6:$A$14,0))),N(INDEX(Mob_Demob!$D$6:$D$14,MATCH(AM289,Mob_Demob!$A$6:$A$14,0)))*Settings!$B$6)+IF(AP289="Y",N(INDEX(Mob_Demob!$I$6:$I$14,MATCH(AM289,Mob_Demob!$A$6:$A$14,0)))*Settings!$B$19,0)+N(INDEX(Mob_Demob!$L$6:$L$14,MATCH(AM289,Mob_Demob!$A$6:$A$14,0)))*N(INDEX(Mob_Demob!$K$6:$K$14,MATCH(AM289,Mob_Demob!$A$6:$A$14,0)))*Settings!$B$6+N(INDEX(Mob_Demob!$M$6:$M$14,MATCH(AM289,Mob_Demob!$A$6:$A$14,0)))*N(INDEX(Mob_Demob!$N$6:$N$14,MATCH(AM289,Mob_Demob!$A$6:$A$14,0))),0)),"")</f>
        <v>550</v>
      </c>
      <c r="AR289" s="16" t="n">
        <f aca="false">IF(AQ289="","",ROUND(AQ289*Settings!$B$18,0))</f>
        <v>550</v>
      </c>
      <c r="AS289" s="13" t="s">
        <v>1856</v>
      </c>
      <c r="AT289" s="14" t="s">
        <v>2057</v>
      </c>
      <c r="AU289" s="14" t="s">
        <v>466</v>
      </c>
    </row>
    <row r="290" customFormat="false" ht="64.15" hidden="false" customHeight="false" outlineLevel="0" collapsed="false">
      <c r="A290" s="21" t="s">
        <v>2058</v>
      </c>
      <c r="B290" s="21" t="s">
        <v>1847</v>
      </c>
      <c r="C290" s="21" t="s">
        <v>2032</v>
      </c>
      <c r="D290" s="21" t="s">
        <v>2033</v>
      </c>
      <c r="E290" s="22" t="s">
        <v>2059</v>
      </c>
      <c r="F290" s="13" t="s">
        <v>1851</v>
      </c>
      <c r="G290" s="13" t="n">
        <v>120</v>
      </c>
      <c r="H290" s="13" t="s">
        <v>462</v>
      </c>
      <c r="I290" s="14" t="s">
        <v>2060</v>
      </c>
      <c r="J290" s="15"/>
      <c r="K290" s="13"/>
      <c r="L290" s="13" t="s">
        <v>2036</v>
      </c>
      <c r="M290" s="13" t="n">
        <v>120</v>
      </c>
      <c r="N290" s="13" t="s">
        <v>184</v>
      </c>
      <c r="O290" s="13" t="s">
        <v>1844</v>
      </c>
      <c r="P290" s="13" t="s">
        <v>186</v>
      </c>
      <c r="Q290" s="20" t="n">
        <v>1608</v>
      </c>
      <c r="R290" s="20" t="n">
        <v>4673</v>
      </c>
      <c r="S290" s="20" t="n">
        <v>10143</v>
      </c>
      <c r="T290" s="20" t="n">
        <v>10000</v>
      </c>
      <c r="U290" s="20" t="n">
        <v>10285</v>
      </c>
      <c r="V290" s="13" t="s">
        <v>187</v>
      </c>
      <c r="W290" s="17"/>
      <c r="X290" s="13"/>
      <c r="Y290" s="13" t="s">
        <v>1928</v>
      </c>
      <c r="Z290" s="13" t="s">
        <v>1929</v>
      </c>
      <c r="AA290" s="13" t="s">
        <v>192</v>
      </c>
      <c r="AB290" s="13"/>
      <c r="AC290" s="17"/>
      <c r="AD290" s="13"/>
      <c r="AE290" s="19"/>
      <c r="AF290" s="19"/>
      <c r="AG290" s="19"/>
      <c r="AH290" s="13"/>
      <c r="AI290" s="17"/>
      <c r="AJ290" s="13" t="s">
        <v>188</v>
      </c>
      <c r="AK290" s="13" t="s">
        <v>188</v>
      </c>
      <c r="AL290" s="14" t="s">
        <v>1855</v>
      </c>
      <c r="AM290" s="13" t="s">
        <v>216</v>
      </c>
      <c r="AN290" s="15"/>
      <c r="AO290" s="13"/>
      <c r="AP290" s="13" t="s">
        <v>241</v>
      </c>
      <c r="AQ290" s="16" t="n">
        <f aca="false">IFERROR(IF(AND(INDEX(Mob_Demob!$D$6:$D$14,MATCH(AM290,Mob_Demob!$A$6:$A$14,0))="",INDEX(Mob_Demob!$G$6:$G$14,MATCH(AM290,Mob_Demob!$A$6:$A$14,0))=""),"",ROUND(MAX(N(INDEX(Mob_Demob!$G$6:$G$14,MATCH(AM290,Mob_Demob!$A$6:$A$14,0))),N(INDEX(Mob_Demob!$D$6:$D$14,MATCH(AM290,Mob_Demob!$A$6:$A$14,0)))*Settings!$B$6)+IF(AP290="Y",N(INDEX(Mob_Demob!$I$6:$I$14,MATCH(AM290,Mob_Demob!$A$6:$A$14,0)))*Settings!$B$19,0)+N(INDEX(Mob_Demob!$L$6:$L$14,MATCH(AM290,Mob_Demob!$A$6:$A$14,0)))*N(INDEX(Mob_Demob!$K$6:$K$14,MATCH(AM290,Mob_Demob!$A$6:$A$14,0)))*Settings!$B$6+N(INDEX(Mob_Demob!$M$6:$M$14,MATCH(AM290,Mob_Demob!$A$6:$A$14,0)))*N(INDEX(Mob_Demob!$N$6:$N$14,MATCH(AM290,Mob_Demob!$A$6:$A$14,0))),0)),"")</f>
        <v>550</v>
      </c>
      <c r="AR290" s="16" t="n">
        <f aca="false">IF(AQ290="","",ROUND(AQ290*Settings!$B$18,0))</f>
        <v>550</v>
      </c>
      <c r="AS290" s="13" t="s">
        <v>1856</v>
      </c>
      <c r="AT290" s="14" t="s">
        <v>2061</v>
      </c>
      <c r="AU290" s="14" t="s">
        <v>262</v>
      </c>
    </row>
    <row r="291" customFormat="false" ht="53.7" hidden="false" customHeight="false" outlineLevel="0" collapsed="false">
      <c r="A291" s="21" t="s">
        <v>2062</v>
      </c>
      <c r="B291" s="21" t="s">
        <v>1847</v>
      </c>
      <c r="C291" s="21" t="s">
        <v>2032</v>
      </c>
      <c r="D291" s="21" t="s">
        <v>2033</v>
      </c>
      <c r="E291" s="22" t="s">
        <v>2063</v>
      </c>
      <c r="F291" s="13" t="s">
        <v>1851</v>
      </c>
      <c r="G291" s="13" t="n">
        <v>125</v>
      </c>
      <c r="H291" s="13" t="s">
        <v>462</v>
      </c>
      <c r="I291" s="14"/>
      <c r="J291" s="15"/>
      <c r="K291" s="13"/>
      <c r="L291" s="13" t="s">
        <v>2036</v>
      </c>
      <c r="M291" s="13" t="n">
        <v>125</v>
      </c>
      <c r="N291" s="13" t="s">
        <v>184</v>
      </c>
      <c r="O291" s="13" t="s">
        <v>1844</v>
      </c>
      <c r="P291" s="13" t="s">
        <v>186</v>
      </c>
      <c r="Q291" s="16"/>
      <c r="R291" s="16"/>
      <c r="S291" s="16"/>
      <c r="T291" s="16"/>
      <c r="U291" s="16"/>
      <c r="V291" s="13" t="s">
        <v>187</v>
      </c>
      <c r="W291" s="17"/>
      <c r="X291" s="13"/>
      <c r="Y291" s="13"/>
      <c r="Z291" s="13"/>
      <c r="AA291" s="13" t="s">
        <v>188</v>
      </c>
      <c r="AB291" s="13"/>
      <c r="AC291" s="17"/>
      <c r="AD291" s="13"/>
      <c r="AE291" s="19"/>
      <c r="AF291" s="19"/>
      <c r="AG291" s="19"/>
      <c r="AH291" s="13"/>
      <c r="AI291" s="17"/>
      <c r="AJ291" s="13" t="s">
        <v>188</v>
      </c>
      <c r="AK291" s="13" t="s">
        <v>188</v>
      </c>
      <c r="AL291" s="14" t="s">
        <v>1855</v>
      </c>
      <c r="AM291" s="13" t="s">
        <v>216</v>
      </c>
      <c r="AN291" s="15"/>
      <c r="AO291" s="13"/>
      <c r="AP291" s="13" t="s">
        <v>241</v>
      </c>
      <c r="AQ291" s="16" t="n">
        <f aca="false">IFERROR(IF(AND(INDEX(Mob_Demob!$D$6:$D$14,MATCH(AM291,Mob_Demob!$A$6:$A$14,0))="",INDEX(Mob_Demob!$G$6:$G$14,MATCH(AM291,Mob_Demob!$A$6:$A$14,0))=""),"",ROUND(MAX(N(INDEX(Mob_Demob!$G$6:$G$14,MATCH(AM291,Mob_Demob!$A$6:$A$14,0))),N(INDEX(Mob_Demob!$D$6:$D$14,MATCH(AM291,Mob_Demob!$A$6:$A$14,0)))*Settings!$B$6)+IF(AP291="Y",N(INDEX(Mob_Demob!$I$6:$I$14,MATCH(AM291,Mob_Demob!$A$6:$A$14,0)))*Settings!$B$19,0)+N(INDEX(Mob_Demob!$L$6:$L$14,MATCH(AM291,Mob_Demob!$A$6:$A$14,0)))*N(INDEX(Mob_Demob!$K$6:$K$14,MATCH(AM291,Mob_Demob!$A$6:$A$14,0)))*Settings!$B$6+N(INDEX(Mob_Demob!$M$6:$M$14,MATCH(AM291,Mob_Demob!$A$6:$A$14,0)))*N(INDEX(Mob_Demob!$N$6:$N$14,MATCH(AM291,Mob_Demob!$A$6:$A$14,0))),0)),"")</f>
        <v>550</v>
      </c>
      <c r="AR291" s="16" t="n">
        <f aca="false">IF(AQ291="","",ROUND(AQ291*Settings!$B$18,0))</f>
        <v>550</v>
      </c>
      <c r="AS291" s="13" t="s">
        <v>1856</v>
      </c>
      <c r="AT291" s="14" t="s">
        <v>2064</v>
      </c>
      <c r="AU291" s="14" t="s">
        <v>466</v>
      </c>
    </row>
    <row r="292" customFormat="false" ht="53.7" hidden="false" customHeight="false" outlineLevel="0" collapsed="false">
      <c r="A292" s="21" t="s">
        <v>2065</v>
      </c>
      <c r="B292" s="21" t="s">
        <v>1847</v>
      </c>
      <c r="C292" s="21" t="s">
        <v>2032</v>
      </c>
      <c r="D292" s="21" t="s">
        <v>2033</v>
      </c>
      <c r="E292" s="22" t="s">
        <v>2066</v>
      </c>
      <c r="F292" s="13" t="s">
        <v>1851</v>
      </c>
      <c r="G292" s="13" t="n">
        <v>135</v>
      </c>
      <c r="H292" s="13" t="s">
        <v>462</v>
      </c>
      <c r="I292" s="14" t="s">
        <v>2067</v>
      </c>
      <c r="J292" s="15"/>
      <c r="K292" s="13"/>
      <c r="L292" s="13" t="s">
        <v>2036</v>
      </c>
      <c r="M292" s="13" t="n">
        <v>135</v>
      </c>
      <c r="N292" s="13" t="s">
        <v>184</v>
      </c>
      <c r="O292" s="13" t="s">
        <v>1844</v>
      </c>
      <c r="P292" s="13" t="s">
        <v>186</v>
      </c>
      <c r="Q292" s="20" t="n">
        <v>1250</v>
      </c>
      <c r="R292" s="20" t="n">
        <v>3750</v>
      </c>
      <c r="S292" s="20" t="n">
        <v>10000</v>
      </c>
      <c r="T292" s="16"/>
      <c r="U292" s="16"/>
      <c r="V292" s="13" t="s">
        <v>187</v>
      </c>
      <c r="W292" s="17"/>
      <c r="X292" s="13"/>
      <c r="Y292" s="13" t="s">
        <v>2068</v>
      </c>
      <c r="Z292" s="13" t="s">
        <v>2069</v>
      </c>
      <c r="AA292" s="13" t="s">
        <v>192</v>
      </c>
      <c r="AB292" s="13"/>
      <c r="AC292" s="17"/>
      <c r="AD292" s="13"/>
      <c r="AE292" s="19"/>
      <c r="AF292" s="19"/>
      <c r="AG292" s="19"/>
      <c r="AH292" s="13"/>
      <c r="AI292" s="17"/>
      <c r="AJ292" s="13" t="s">
        <v>188</v>
      </c>
      <c r="AK292" s="13" t="s">
        <v>188</v>
      </c>
      <c r="AL292" s="14" t="s">
        <v>1855</v>
      </c>
      <c r="AM292" s="13" t="s">
        <v>216</v>
      </c>
      <c r="AN292" s="15"/>
      <c r="AO292" s="13"/>
      <c r="AP292" s="13" t="s">
        <v>241</v>
      </c>
      <c r="AQ292" s="16" t="n">
        <f aca="false">IFERROR(IF(AND(INDEX(Mob_Demob!$D$6:$D$14,MATCH(AM292,Mob_Demob!$A$6:$A$14,0))="",INDEX(Mob_Demob!$G$6:$G$14,MATCH(AM292,Mob_Demob!$A$6:$A$14,0))=""),"",ROUND(MAX(N(INDEX(Mob_Demob!$G$6:$G$14,MATCH(AM292,Mob_Demob!$A$6:$A$14,0))),N(INDEX(Mob_Demob!$D$6:$D$14,MATCH(AM292,Mob_Demob!$A$6:$A$14,0)))*Settings!$B$6)+IF(AP292="Y",N(INDEX(Mob_Demob!$I$6:$I$14,MATCH(AM292,Mob_Demob!$A$6:$A$14,0)))*Settings!$B$19,0)+N(INDEX(Mob_Demob!$L$6:$L$14,MATCH(AM292,Mob_Demob!$A$6:$A$14,0)))*N(INDEX(Mob_Demob!$K$6:$K$14,MATCH(AM292,Mob_Demob!$A$6:$A$14,0)))*Settings!$B$6+N(INDEX(Mob_Demob!$M$6:$M$14,MATCH(AM292,Mob_Demob!$A$6:$A$14,0)))*N(INDEX(Mob_Demob!$N$6:$N$14,MATCH(AM292,Mob_Demob!$A$6:$A$14,0))),0)),"")</f>
        <v>550</v>
      </c>
      <c r="AR292" s="16" t="n">
        <f aca="false">IF(AQ292="","",ROUND(AQ292*Settings!$B$18,0))</f>
        <v>550</v>
      </c>
      <c r="AS292" s="13" t="s">
        <v>1856</v>
      </c>
      <c r="AT292" s="14" t="s">
        <v>2070</v>
      </c>
      <c r="AU292" s="14" t="s">
        <v>262</v>
      </c>
    </row>
    <row r="293" customFormat="false" ht="53.7" hidden="false" customHeight="false" outlineLevel="0" collapsed="false">
      <c r="A293" s="21" t="s">
        <v>2071</v>
      </c>
      <c r="B293" s="21" t="s">
        <v>1847</v>
      </c>
      <c r="C293" s="21" t="s">
        <v>2032</v>
      </c>
      <c r="D293" s="21" t="s">
        <v>2033</v>
      </c>
      <c r="E293" s="22" t="s">
        <v>2072</v>
      </c>
      <c r="F293" s="13" t="s">
        <v>1851</v>
      </c>
      <c r="G293" s="13" t="n">
        <v>150</v>
      </c>
      <c r="H293" s="13" t="s">
        <v>462</v>
      </c>
      <c r="I293" s="14" t="s">
        <v>2073</v>
      </c>
      <c r="J293" s="15"/>
      <c r="K293" s="13"/>
      <c r="L293" s="13" t="s">
        <v>2036</v>
      </c>
      <c r="M293" s="13" t="n">
        <v>150</v>
      </c>
      <c r="N293" s="13" t="s">
        <v>184</v>
      </c>
      <c r="O293" s="13" t="s">
        <v>1844</v>
      </c>
      <c r="P293" s="13" t="s">
        <v>186</v>
      </c>
      <c r="Q293" s="20" t="n">
        <v>2721</v>
      </c>
      <c r="R293" s="20" t="n">
        <v>8190</v>
      </c>
      <c r="S293" s="20" t="n">
        <v>15057</v>
      </c>
      <c r="T293" s="16"/>
      <c r="U293" s="16"/>
      <c r="V293" s="13" t="s">
        <v>187</v>
      </c>
      <c r="W293" s="17"/>
      <c r="X293" s="13"/>
      <c r="Y293" s="13" t="s">
        <v>1853</v>
      </c>
      <c r="Z293" s="13" t="s">
        <v>1854</v>
      </c>
      <c r="AA293" s="13" t="s">
        <v>192</v>
      </c>
      <c r="AB293" s="13"/>
      <c r="AC293" s="17"/>
      <c r="AD293" s="13"/>
      <c r="AE293" s="19"/>
      <c r="AF293" s="19"/>
      <c r="AG293" s="19"/>
      <c r="AH293" s="13"/>
      <c r="AI293" s="17"/>
      <c r="AJ293" s="13" t="s">
        <v>188</v>
      </c>
      <c r="AK293" s="13" t="s">
        <v>188</v>
      </c>
      <c r="AL293" s="14" t="s">
        <v>1855</v>
      </c>
      <c r="AM293" s="13" t="s">
        <v>216</v>
      </c>
      <c r="AN293" s="15"/>
      <c r="AO293" s="13"/>
      <c r="AP293" s="13" t="s">
        <v>241</v>
      </c>
      <c r="AQ293" s="16" t="n">
        <f aca="false">IFERROR(IF(AND(INDEX(Mob_Demob!$D$6:$D$14,MATCH(AM293,Mob_Demob!$A$6:$A$14,0))="",INDEX(Mob_Demob!$G$6:$G$14,MATCH(AM293,Mob_Demob!$A$6:$A$14,0))=""),"",ROUND(MAX(N(INDEX(Mob_Demob!$G$6:$G$14,MATCH(AM293,Mob_Demob!$A$6:$A$14,0))),N(INDEX(Mob_Demob!$D$6:$D$14,MATCH(AM293,Mob_Demob!$A$6:$A$14,0)))*Settings!$B$6)+IF(AP293="Y",N(INDEX(Mob_Demob!$I$6:$I$14,MATCH(AM293,Mob_Demob!$A$6:$A$14,0)))*Settings!$B$19,0)+N(INDEX(Mob_Demob!$L$6:$L$14,MATCH(AM293,Mob_Demob!$A$6:$A$14,0)))*N(INDEX(Mob_Demob!$K$6:$K$14,MATCH(AM293,Mob_Demob!$A$6:$A$14,0)))*Settings!$B$6+N(INDEX(Mob_Demob!$M$6:$M$14,MATCH(AM293,Mob_Demob!$A$6:$A$14,0)))*N(INDEX(Mob_Demob!$N$6:$N$14,MATCH(AM293,Mob_Demob!$A$6:$A$14,0))),0)),"")</f>
        <v>550</v>
      </c>
      <c r="AR293" s="16" t="n">
        <f aca="false">IF(AQ293="","",ROUND(AQ293*Settings!$B$18,0))</f>
        <v>550</v>
      </c>
      <c r="AS293" s="13" t="s">
        <v>1856</v>
      </c>
      <c r="AT293" s="14" t="s">
        <v>2074</v>
      </c>
      <c r="AU293" s="14" t="s">
        <v>262</v>
      </c>
    </row>
    <row r="294" customFormat="false" ht="53.7" hidden="false" customHeight="false" outlineLevel="0" collapsed="false">
      <c r="A294" s="21" t="s">
        <v>2075</v>
      </c>
      <c r="B294" s="21" t="s">
        <v>1847</v>
      </c>
      <c r="C294" s="21" t="s">
        <v>2032</v>
      </c>
      <c r="D294" s="21" t="s">
        <v>2033</v>
      </c>
      <c r="E294" s="22" t="s">
        <v>2076</v>
      </c>
      <c r="F294" s="13" t="s">
        <v>1851</v>
      </c>
      <c r="G294" s="13" t="n">
        <v>185</v>
      </c>
      <c r="H294" s="13" t="s">
        <v>462</v>
      </c>
      <c r="I294" s="14" t="s">
        <v>2077</v>
      </c>
      <c r="J294" s="15"/>
      <c r="K294" s="13"/>
      <c r="L294" s="13" t="s">
        <v>2036</v>
      </c>
      <c r="M294" s="13" t="n">
        <v>185</v>
      </c>
      <c r="N294" s="13" t="s">
        <v>184</v>
      </c>
      <c r="O294" s="13" t="s">
        <v>1844</v>
      </c>
      <c r="P294" s="13" t="s">
        <v>186</v>
      </c>
      <c r="Q294" s="20" t="n">
        <v>4477</v>
      </c>
      <c r="R294" s="20" t="n">
        <v>9499</v>
      </c>
      <c r="S294" s="20" t="n">
        <v>20328</v>
      </c>
      <c r="T294" s="16"/>
      <c r="U294" s="16"/>
      <c r="V294" s="13" t="s">
        <v>187</v>
      </c>
      <c r="W294" s="17"/>
      <c r="X294" s="13"/>
      <c r="Y294" s="13" t="s">
        <v>1853</v>
      </c>
      <c r="Z294" s="13" t="s">
        <v>1854</v>
      </c>
      <c r="AA294" s="13" t="s">
        <v>192</v>
      </c>
      <c r="AB294" s="13"/>
      <c r="AC294" s="17"/>
      <c r="AD294" s="13"/>
      <c r="AE294" s="19"/>
      <c r="AF294" s="19"/>
      <c r="AG294" s="19"/>
      <c r="AH294" s="13"/>
      <c r="AI294" s="17"/>
      <c r="AJ294" s="13" t="s">
        <v>188</v>
      </c>
      <c r="AK294" s="13" t="s">
        <v>188</v>
      </c>
      <c r="AL294" s="14" t="s">
        <v>1855</v>
      </c>
      <c r="AM294" s="13" t="s">
        <v>216</v>
      </c>
      <c r="AN294" s="15"/>
      <c r="AO294" s="13"/>
      <c r="AP294" s="13" t="s">
        <v>241</v>
      </c>
      <c r="AQ294" s="16" t="n">
        <f aca="false">IFERROR(IF(AND(INDEX(Mob_Demob!$D$6:$D$14,MATCH(AM294,Mob_Demob!$A$6:$A$14,0))="",INDEX(Mob_Demob!$G$6:$G$14,MATCH(AM294,Mob_Demob!$A$6:$A$14,0))=""),"",ROUND(MAX(N(INDEX(Mob_Demob!$G$6:$G$14,MATCH(AM294,Mob_Demob!$A$6:$A$14,0))),N(INDEX(Mob_Demob!$D$6:$D$14,MATCH(AM294,Mob_Demob!$A$6:$A$14,0)))*Settings!$B$6)+IF(AP294="Y",N(INDEX(Mob_Demob!$I$6:$I$14,MATCH(AM294,Mob_Demob!$A$6:$A$14,0)))*Settings!$B$19,0)+N(INDEX(Mob_Demob!$L$6:$L$14,MATCH(AM294,Mob_Demob!$A$6:$A$14,0)))*N(INDEX(Mob_Demob!$K$6:$K$14,MATCH(AM294,Mob_Demob!$A$6:$A$14,0)))*Settings!$B$6+N(INDEX(Mob_Demob!$M$6:$M$14,MATCH(AM294,Mob_Demob!$A$6:$A$14,0)))*N(INDEX(Mob_Demob!$N$6:$N$14,MATCH(AM294,Mob_Demob!$A$6:$A$14,0))),0)),"")</f>
        <v>550</v>
      </c>
      <c r="AR294" s="16" t="n">
        <f aca="false">IF(AQ294="","",ROUND(AQ294*Settings!$B$18,0))</f>
        <v>550</v>
      </c>
      <c r="AS294" s="13" t="s">
        <v>1856</v>
      </c>
      <c r="AT294" s="14" t="s">
        <v>2078</v>
      </c>
      <c r="AU294" s="14" t="s">
        <v>262</v>
      </c>
    </row>
    <row r="295" customFormat="false" ht="53.7" hidden="false" customHeight="false" outlineLevel="0" collapsed="false">
      <c r="A295" s="21" t="s">
        <v>2079</v>
      </c>
      <c r="B295" s="21" t="s">
        <v>1847</v>
      </c>
      <c r="C295" s="21" t="s">
        <v>2080</v>
      </c>
      <c r="D295" s="21" t="s">
        <v>2081</v>
      </c>
      <c r="E295" s="22" t="s">
        <v>2082</v>
      </c>
      <c r="F295" s="13" t="s">
        <v>1851</v>
      </c>
      <c r="G295" s="13" t="n">
        <v>34</v>
      </c>
      <c r="H295" s="13" t="s">
        <v>462</v>
      </c>
      <c r="I295" s="14" t="s">
        <v>2082</v>
      </c>
      <c r="J295" s="15"/>
      <c r="K295" s="13"/>
      <c r="L295" s="13"/>
      <c r="M295" s="13" t="n">
        <v>34</v>
      </c>
      <c r="N295" s="13" t="s">
        <v>1927</v>
      </c>
      <c r="O295" s="13" t="s">
        <v>1844</v>
      </c>
      <c r="P295" s="13" t="s">
        <v>186</v>
      </c>
      <c r="Q295" s="20" t="n">
        <v>250</v>
      </c>
      <c r="R295" s="20" t="n">
        <v>750</v>
      </c>
      <c r="S295" s="20" t="n">
        <v>1850</v>
      </c>
      <c r="T295" s="20" t="n">
        <v>1600</v>
      </c>
      <c r="U295" s="20" t="n">
        <v>2403</v>
      </c>
      <c r="V295" s="13" t="s">
        <v>187</v>
      </c>
      <c r="W295" s="17"/>
      <c r="X295" s="13"/>
      <c r="Y295" s="13" t="s">
        <v>2041</v>
      </c>
      <c r="Z295" s="13" t="s">
        <v>1905</v>
      </c>
      <c r="AA295" s="13" t="s">
        <v>213</v>
      </c>
      <c r="AB295" s="13"/>
      <c r="AC295" s="17"/>
      <c r="AD295" s="13"/>
      <c r="AE295" s="19"/>
      <c r="AF295" s="19"/>
      <c r="AG295" s="19"/>
      <c r="AH295" s="13"/>
      <c r="AI295" s="17"/>
      <c r="AJ295" s="13" t="s">
        <v>188</v>
      </c>
      <c r="AK295" s="13" t="s">
        <v>188</v>
      </c>
      <c r="AL295" s="14" t="s">
        <v>1855</v>
      </c>
      <c r="AM295" s="13" t="s">
        <v>1147</v>
      </c>
      <c r="AN295" s="15"/>
      <c r="AO295" s="13"/>
      <c r="AP295" s="13" t="s">
        <v>196</v>
      </c>
      <c r="AQ295" s="16" t="n">
        <f aca="false">IFERROR(IF(AND(INDEX(Mob_Demob!$D$6:$D$14,MATCH(AM295,Mob_Demob!$A$6:$A$14,0))="",INDEX(Mob_Demob!$G$6:$G$14,MATCH(AM295,Mob_Demob!$A$6:$A$14,0))=""),"",ROUND(MAX(N(INDEX(Mob_Demob!$G$6:$G$14,MATCH(AM295,Mob_Demob!$A$6:$A$14,0))),N(INDEX(Mob_Demob!$D$6:$D$14,MATCH(AM295,Mob_Demob!$A$6:$A$14,0)))*Settings!$B$6)+IF(AP295="Y",N(INDEX(Mob_Demob!$I$6:$I$14,MATCH(AM295,Mob_Demob!$A$6:$A$14,0)))*Settings!$B$19,0)+N(INDEX(Mob_Demob!$L$6:$L$14,MATCH(AM295,Mob_Demob!$A$6:$A$14,0)))*N(INDEX(Mob_Demob!$K$6:$K$14,MATCH(AM295,Mob_Demob!$A$6:$A$14,0)))*Settings!$B$6+N(INDEX(Mob_Demob!$M$6:$M$14,MATCH(AM295,Mob_Demob!$A$6:$A$14,0)))*N(INDEX(Mob_Demob!$N$6:$N$14,MATCH(AM295,Mob_Demob!$A$6:$A$14,0))),0)),"")</f>
        <v>200</v>
      </c>
      <c r="AR295" s="16" t="n">
        <f aca="false">IF(AQ295="","",ROUND(AQ295*Settings!$B$18,0))</f>
        <v>200</v>
      </c>
      <c r="AS295" s="13" t="s">
        <v>1856</v>
      </c>
      <c r="AT295" s="14" t="s">
        <v>2083</v>
      </c>
      <c r="AU295" s="14" t="s">
        <v>262</v>
      </c>
    </row>
    <row r="296" customFormat="false" ht="53.7" hidden="false" customHeight="false" outlineLevel="0" collapsed="false">
      <c r="A296" s="21" t="s">
        <v>2084</v>
      </c>
      <c r="B296" s="21" t="s">
        <v>1847</v>
      </c>
      <c r="C296" s="21" t="s">
        <v>2080</v>
      </c>
      <c r="D296" s="21" t="s">
        <v>2081</v>
      </c>
      <c r="E296" s="22" t="s">
        <v>2085</v>
      </c>
      <c r="F296" s="13" t="s">
        <v>1851</v>
      </c>
      <c r="G296" s="13" t="n">
        <v>50</v>
      </c>
      <c r="H296" s="13" t="s">
        <v>462</v>
      </c>
      <c r="I296" s="14" t="s">
        <v>2085</v>
      </c>
      <c r="J296" s="15"/>
      <c r="K296" s="13"/>
      <c r="L296" s="13"/>
      <c r="M296" s="13" t="n">
        <v>50</v>
      </c>
      <c r="N296" s="13" t="s">
        <v>1927</v>
      </c>
      <c r="O296" s="13" t="s">
        <v>1844</v>
      </c>
      <c r="P296" s="13" t="s">
        <v>186</v>
      </c>
      <c r="Q296" s="20" t="n">
        <v>350</v>
      </c>
      <c r="R296" s="20" t="n">
        <v>950</v>
      </c>
      <c r="S296" s="20" t="n">
        <v>2412</v>
      </c>
      <c r="T296" s="20" t="n">
        <v>1600</v>
      </c>
      <c r="U296" s="20" t="n">
        <v>2500</v>
      </c>
      <c r="V296" s="13" t="s">
        <v>187</v>
      </c>
      <c r="W296" s="17"/>
      <c r="X296" s="13"/>
      <c r="Y296" s="13" t="s">
        <v>2041</v>
      </c>
      <c r="Z296" s="13" t="s">
        <v>1905</v>
      </c>
      <c r="AA296" s="13" t="s">
        <v>213</v>
      </c>
      <c r="AB296" s="13"/>
      <c r="AC296" s="17"/>
      <c r="AD296" s="13"/>
      <c r="AE296" s="19"/>
      <c r="AF296" s="19"/>
      <c r="AG296" s="19"/>
      <c r="AH296" s="13"/>
      <c r="AI296" s="17"/>
      <c r="AJ296" s="13" t="s">
        <v>188</v>
      </c>
      <c r="AK296" s="13" t="s">
        <v>188</v>
      </c>
      <c r="AL296" s="14" t="s">
        <v>1855</v>
      </c>
      <c r="AM296" s="13" t="s">
        <v>1147</v>
      </c>
      <c r="AN296" s="15"/>
      <c r="AO296" s="13"/>
      <c r="AP296" s="13" t="s">
        <v>196</v>
      </c>
      <c r="AQ296" s="16" t="n">
        <f aca="false">IFERROR(IF(AND(INDEX(Mob_Demob!$D$6:$D$14,MATCH(AM296,Mob_Demob!$A$6:$A$14,0))="",INDEX(Mob_Demob!$G$6:$G$14,MATCH(AM296,Mob_Demob!$A$6:$A$14,0))=""),"",ROUND(MAX(N(INDEX(Mob_Demob!$G$6:$G$14,MATCH(AM296,Mob_Demob!$A$6:$A$14,0))),N(INDEX(Mob_Demob!$D$6:$D$14,MATCH(AM296,Mob_Demob!$A$6:$A$14,0)))*Settings!$B$6)+IF(AP296="Y",N(INDEX(Mob_Demob!$I$6:$I$14,MATCH(AM296,Mob_Demob!$A$6:$A$14,0)))*Settings!$B$19,0)+N(INDEX(Mob_Demob!$L$6:$L$14,MATCH(AM296,Mob_Demob!$A$6:$A$14,0)))*N(INDEX(Mob_Demob!$K$6:$K$14,MATCH(AM296,Mob_Demob!$A$6:$A$14,0)))*Settings!$B$6+N(INDEX(Mob_Demob!$M$6:$M$14,MATCH(AM296,Mob_Demob!$A$6:$A$14,0)))*N(INDEX(Mob_Demob!$N$6:$N$14,MATCH(AM296,Mob_Demob!$A$6:$A$14,0))),0)),"")</f>
        <v>200</v>
      </c>
      <c r="AR296" s="16" t="n">
        <f aca="false">IF(AQ296="","",ROUND(AQ296*Settings!$B$18,0))</f>
        <v>200</v>
      </c>
      <c r="AS296" s="13" t="s">
        <v>1856</v>
      </c>
      <c r="AT296" s="14" t="s">
        <v>2086</v>
      </c>
      <c r="AU296" s="14" t="s">
        <v>262</v>
      </c>
    </row>
    <row r="297" customFormat="false" ht="53.7" hidden="false" customHeight="false" outlineLevel="0" collapsed="false">
      <c r="A297" s="21" t="s">
        <v>2087</v>
      </c>
      <c r="B297" s="21" t="s">
        <v>1847</v>
      </c>
      <c r="C297" s="21" t="s">
        <v>2088</v>
      </c>
      <c r="D297" s="21" t="s">
        <v>2089</v>
      </c>
      <c r="E297" s="22" t="s">
        <v>2090</v>
      </c>
      <c r="F297" s="13" t="s">
        <v>2091</v>
      </c>
      <c r="G297" s="13" t="n">
        <v>34</v>
      </c>
      <c r="H297" s="13" t="s">
        <v>462</v>
      </c>
      <c r="I297" s="14" t="s">
        <v>2092</v>
      </c>
      <c r="J297" s="15"/>
      <c r="K297" s="13"/>
      <c r="L297" s="13"/>
      <c r="M297" s="13" t="n">
        <v>34</v>
      </c>
      <c r="N297" s="13" t="s">
        <v>1927</v>
      </c>
      <c r="O297" s="13" t="s">
        <v>1844</v>
      </c>
      <c r="P297" s="13" t="s">
        <v>186</v>
      </c>
      <c r="Q297" s="20" t="n">
        <v>744</v>
      </c>
      <c r="R297" s="20" t="n">
        <v>1845</v>
      </c>
      <c r="S297" s="20" t="n">
        <v>4114</v>
      </c>
      <c r="T297" s="16"/>
      <c r="U297" s="16"/>
      <c r="V297" s="13" t="s">
        <v>187</v>
      </c>
      <c r="W297" s="17"/>
      <c r="X297" s="13"/>
      <c r="Y297" s="13" t="s">
        <v>1853</v>
      </c>
      <c r="Z297" s="13" t="s">
        <v>1854</v>
      </c>
      <c r="AA297" s="13" t="s">
        <v>192</v>
      </c>
      <c r="AB297" s="13"/>
      <c r="AC297" s="17"/>
      <c r="AD297" s="13"/>
      <c r="AE297" s="19"/>
      <c r="AF297" s="19"/>
      <c r="AG297" s="19"/>
      <c r="AH297" s="13"/>
      <c r="AI297" s="17"/>
      <c r="AJ297" s="13" t="s">
        <v>188</v>
      </c>
      <c r="AK297" s="13" t="s">
        <v>188</v>
      </c>
      <c r="AL297" s="14" t="s">
        <v>1855</v>
      </c>
      <c r="AM297" s="13" t="s">
        <v>195</v>
      </c>
      <c r="AN297" s="15"/>
      <c r="AO297" s="13"/>
      <c r="AP297" s="13" t="s">
        <v>196</v>
      </c>
      <c r="AQ297" s="16" t="n">
        <f aca="false">IFERROR(IF(AND(INDEX(Mob_Demob!$D$6:$D$14,MATCH(AM297,Mob_Demob!$A$6:$A$14,0))="",INDEX(Mob_Demob!$G$6:$G$14,MATCH(AM297,Mob_Demob!$A$6:$A$14,0))=""),"",ROUND(MAX(N(INDEX(Mob_Demob!$G$6:$G$14,MATCH(AM297,Mob_Demob!$A$6:$A$14,0))),N(INDEX(Mob_Demob!$D$6:$D$14,MATCH(AM297,Mob_Demob!$A$6:$A$14,0)))*Settings!$B$6)+IF(AP297="Y",N(INDEX(Mob_Demob!$I$6:$I$14,MATCH(AM297,Mob_Demob!$A$6:$A$14,0)))*Settings!$B$19,0)+N(INDEX(Mob_Demob!$L$6:$L$14,MATCH(AM297,Mob_Demob!$A$6:$A$14,0)))*N(INDEX(Mob_Demob!$K$6:$K$14,MATCH(AM297,Mob_Demob!$A$6:$A$14,0)))*Settings!$B$6+N(INDEX(Mob_Demob!$M$6:$M$14,MATCH(AM297,Mob_Demob!$A$6:$A$14,0)))*N(INDEX(Mob_Demob!$N$6:$N$14,MATCH(AM297,Mob_Demob!$A$6:$A$14,0))),0)),"")</f>
        <v>500</v>
      </c>
      <c r="AR297" s="16" t="n">
        <f aca="false">IF(AQ297="","",ROUND(AQ297*Settings!$B$18,0))</f>
        <v>500</v>
      </c>
      <c r="AS297" s="13" t="s">
        <v>1856</v>
      </c>
      <c r="AT297" s="14" t="s">
        <v>2093</v>
      </c>
      <c r="AU297" s="14" t="s">
        <v>262</v>
      </c>
    </row>
    <row r="298" customFormat="false" ht="53.7" hidden="false" customHeight="false" outlineLevel="0" collapsed="false">
      <c r="A298" s="21" t="s">
        <v>2094</v>
      </c>
      <c r="B298" s="21" t="s">
        <v>1847</v>
      </c>
      <c r="C298" s="21" t="s">
        <v>2088</v>
      </c>
      <c r="D298" s="21" t="s">
        <v>2089</v>
      </c>
      <c r="E298" s="22" t="s">
        <v>2095</v>
      </c>
      <c r="F298" s="13" t="s">
        <v>2091</v>
      </c>
      <c r="G298" s="13" t="n">
        <v>51</v>
      </c>
      <c r="H298" s="13" t="s">
        <v>462</v>
      </c>
      <c r="I298" s="14" t="s">
        <v>2092</v>
      </c>
      <c r="J298" s="15"/>
      <c r="K298" s="13"/>
      <c r="L298" s="13"/>
      <c r="M298" s="13" t="n">
        <v>51</v>
      </c>
      <c r="N298" s="13" t="s">
        <v>1927</v>
      </c>
      <c r="O298" s="13" t="s">
        <v>1844</v>
      </c>
      <c r="P298" s="13" t="s">
        <v>186</v>
      </c>
      <c r="Q298" s="20" t="n">
        <v>1673</v>
      </c>
      <c r="R298" s="20" t="n">
        <v>3086</v>
      </c>
      <c r="S298" s="20" t="n">
        <v>6470</v>
      </c>
      <c r="T298" s="16"/>
      <c r="U298" s="16"/>
      <c r="V298" s="13" t="s">
        <v>187</v>
      </c>
      <c r="W298" s="17"/>
      <c r="X298" s="13"/>
      <c r="Y298" s="13" t="s">
        <v>1853</v>
      </c>
      <c r="Z298" s="13" t="s">
        <v>1854</v>
      </c>
      <c r="AA298" s="13" t="s">
        <v>192</v>
      </c>
      <c r="AB298" s="13"/>
      <c r="AC298" s="17"/>
      <c r="AD298" s="13"/>
      <c r="AE298" s="19"/>
      <c r="AF298" s="19"/>
      <c r="AG298" s="19"/>
      <c r="AH298" s="13"/>
      <c r="AI298" s="17"/>
      <c r="AJ298" s="13" t="s">
        <v>188</v>
      </c>
      <c r="AK298" s="13" t="s">
        <v>188</v>
      </c>
      <c r="AL298" s="14" t="s">
        <v>1855</v>
      </c>
      <c r="AM298" s="13" t="s">
        <v>195</v>
      </c>
      <c r="AN298" s="15"/>
      <c r="AO298" s="13"/>
      <c r="AP298" s="13" t="s">
        <v>196</v>
      </c>
      <c r="AQ298" s="16" t="n">
        <f aca="false">IFERROR(IF(AND(INDEX(Mob_Demob!$D$6:$D$14,MATCH(AM298,Mob_Demob!$A$6:$A$14,0))="",INDEX(Mob_Demob!$G$6:$G$14,MATCH(AM298,Mob_Demob!$A$6:$A$14,0))=""),"",ROUND(MAX(N(INDEX(Mob_Demob!$G$6:$G$14,MATCH(AM298,Mob_Demob!$A$6:$A$14,0))),N(INDEX(Mob_Demob!$D$6:$D$14,MATCH(AM298,Mob_Demob!$A$6:$A$14,0)))*Settings!$B$6)+IF(AP298="Y",N(INDEX(Mob_Demob!$I$6:$I$14,MATCH(AM298,Mob_Demob!$A$6:$A$14,0)))*Settings!$B$19,0)+N(INDEX(Mob_Demob!$L$6:$L$14,MATCH(AM298,Mob_Demob!$A$6:$A$14,0)))*N(INDEX(Mob_Demob!$K$6:$K$14,MATCH(AM298,Mob_Demob!$A$6:$A$14,0)))*Settings!$B$6+N(INDEX(Mob_Demob!$M$6:$M$14,MATCH(AM298,Mob_Demob!$A$6:$A$14,0)))*N(INDEX(Mob_Demob!$N$6:$N$14,MATCH(AM298,Mob_Demob!$A$6:$A$14,0))),0)),"")</f>
        <v>500</v>
      </c>
      <c r="AR298" s="16" t="n">
        <f aca="false">IF(AQ298="","",ROUND(AQ298*Settings!$B$18,0))</f>
        <v>500</v>
      </c>
      <c r="AS298" s="13" t="s">
        <v>1856</v>
      </c>
      <c r="AT298" s="14" t="s">
        <v>2096</v>
      </c>
      <c r="AU298" s="14" t="s">
        <v>262</v>
      </c>
    </row>
    <row r="299" customFormat="false" ht="53.7" hidden="false" customHeight="false" outlineLevel="0" collapsed="false">
      <c r="A299" s="21" t="s">
        <v>2097</v>
      </c>
      <c r="B299" s="21" t="s">
        <v>1847</v>
      </c>
      <c r="C299" s="21" t="s">
        <v>2088</v>
      </c>
      <c r="D299" s="21" t="s">
        <v>2089</v>
      </c>
      <c r="E299" s="22" t="s">
        <v>2098</v>
      </c>
      <c r="F299" s="13" t="s">
        <v>2091</v>
      </c>
      <c r="G299" s="13" t="n">
        <v>60</v>
      </c>
      <c r="H299" s="13" t="s">
        <v>462</v>
      </c>
      <c r="I299" s="14" t="s">
        <v>2092</v>
      </c>
      <c r="J299" s="15"/>
      <c r="K299" s="13"/>
      <c r="L299" s="13"/>
      <c r="M299" s="13" t="n">
        <v>60</v>
      </c>
      <c r="N299" s="13" t="s">
        <v>1927</v>
      </c>
      <c r="O299" s="13" t="s">
        <v>1844</v>
      </c>
      <c r="P299" s="13" t="s">
        <v>186</v>
      </c>
      <c r="Q299" s="20" t="n">
        <v>2284</v>
      </c>
      <c r="R299" s="20" t="n">
        <v>4285</v>
      </c>
      <c r="S299" s="20" t="n">
        <v>7722</v>
      </c>
      <c r="T299" s="16"/>
      <c r="U299" s="16"/>
      <c r="V299" s="13" t="s">
        <v>187</v>
      </c>
      <c r="W299" s="17"/>
      <c r="X299" s="13"/>
      <c r="Y299" s="13" t="s">
        <v>1853</v>
      </c>
      <c r="Z299" s="13" t="s">
        <v>1854</v>
      </c>
      <c r="AA299" s="13" t="s">
        <v>192</v>
      </c>
      <c r="AB299" s="13"/>
      <c r="AC299" s="17"/>
      <c r="AD299" s="13"/>
      <c r="AE299" s="19"/>
      <c r="AF299" s="19"/>
      <c r="AG299" s="19"/>
      <c r="AH299" s="13"/>
      <c r="AI299" s="17"/>
      <c r="AJ299" s="13" t="s">
        <v>188</v>
      </c>
      <c r="AK299" s="13" t="s">
        <v>188</v>
      </c>
      <c r="AL299" s="14" t="s">
        <v>1855</v>
      </c>
      <c r="AM299" s="13" t="s">
        <v>195</v>
      </c>
      <c r="AN299" s="15"/>
      <c r="AO299" s="13"/>
      <c r="AP299" s="13" t="s">
        <v>196</v>
      </c>
      <c r="AQ299" s="16" t="n">
        <f aca="false">IFERROR(IF(AND(INDEX(Mob_Demob!$D$6:$D$14,MATCH(AM299,Mob_Demob!$A$6:$A$14,0))="",INDEX(Mob_Demob!$G$6:$G$14,MATCH(AM299,Mob_Demob!$A$6:$A$14,0))=""),"",ROUND(MAX(N(INDEX(Mob_Demob!$G$6:$G$14,MATCH(AM299,Mob_Demob!$A$6:$A$14,0))),N(INDEX(Mob_Demob!$D$6:$D$14,MATCH(AM299,Mob_Demob!$A$6:$A$14,0)))*Settings!$B$6)+IF(AP299="Y",N(INDEX(Mob_Demob!$I$6:$I$14,MATCH(AM299,Mob_Demob!$A$6:$A$14,0)))*Settings!$B$19,0)+N(INDEX(Mob_Demob!$L$6:$L$14,MATCH(AM299,Mob_Demob!$A$6:$A$14,0)))*N(INDEX(Mob_Demob!$K$6:$K$14,MATCH(AM299,Mob_Demob!$A$6:$A$14,0)))*Settings!$B$6+N(INDEX(Mob_Demob!$M$6:$M$14,MATCH(AM299,Mob_Demob!$A$6:$A$14,0)))*N(INDEX(Mob_Demob!$N$6:$N$14,MATCH(AM299,Mob_Demob!$A$6:$A$14,0))),0)),"")</f>
        <v>500</v>
      </c>
      <c r="AR299" s="16" t="n">
        <f aca="false">IF(AQ299="","",ROUND(AQ299*Settings!$B$18,0))</f>
        <v>500</v>
      </c>
      <c r="AS299" s="13" t="s">
        <v>1856</v>
      </c>
      <c r="AT299" s="14" t="s">
        <v>2099</v>
      </c>
      <c r="AU299" s="14" t="s">
        <v>262</v>
      </c>
    </row>
    <row r="300" customFormat="false" ht="53.7" hidden="false" customHeight="false" outlineLevel="0" collapsed="false">
      <c r="A300" s="21" t="s">
        <v>2100</v>
      </c>
      <c r="B300" s="21" t="s">
        <v>1847</v>
      </c>
      <c r="C300" s="21" t="s">
        <v>2088</v>
      </c>
      <c r="D300" s="21" t="s">
        <v>2089</v>
      </c>
      <c r="E300" s="22" t="s">
        <v>2101</v>
      </c>
      <c r="F300" s="13" t="s">
        <v>2091</v>
      </c>
      <c r="G300" s="13" t="n">
        <v>69</v>
      </c>
      <c r="H300" s="13" t="s">
        <v>462</v>
      </c>
      <c r="I300" s="14" t="s">
        <v>2092</v>
      </c>
      <c r="J300" s="15"/>
      <c r="K300" s="13"/>
      <c r="L300" s="13"/>
      <c r="M300" s="13" t="n">
        <v>69</v>
      </c>
      <c r="N300" s="13" t="s">
        <v>1927</v>
      </c>
      <c r="O300" s="13" t="s">
        <v>1844</v>
      </c>
      <c r="P300" s="13" t="s">
        <v>186</v>
      </c>
      <c r="Q300" s="20" t="n">
        <v>3031</v>
      </c>
      <c r="R300" s="20" t="n">
        <v>5228</v>
      </c>
      <c r="S300" s="20" t="n">
        <v>9272</v>
      </c>
      <c r="T300" s="16"/>
      <c r="U300" s="16"/>
      <c r="V300" s="13" t="s">
        <v>187</v>
      </c>
      <c r="W300" s="17"/>
      <c r="X300" s="13"/>
      <c r="Y300" s="13" t="s">
        <v>1853</v>
      </c>
      <c r="Z300" s="13" t="s">
        <v>1854</v>
      </c>
      <c r="AA300" s="13" t="s">
        <v>192</v>
      </c>
      <c r="AB300" s="13"/>
      <c r="AC300" s="17"/>
      <c r="AD300" s="13"/>
      <c r="AE300" s="19"/>
      <c r="AF300" s="19"/>
      <c r="AG300" s="19"/>
      <c r="AH300" s="13"/>
      <c r="AI300" s="17"/>
      <c r="AJ300" s="13" t="s">
        <v>188</v>
      </c>
      <c r="AK300" s="13" t="s">
        <v>188</v>
      </c>
      <c r="AL300" s="14" t="s">
        <v>1855</v>
      </c>
      <c r="AM300" s="13" t="s">
        <v>195</v>
      </c>
      <c r="AN300" s="15"/>
      <c r="AO300" s="13"/>
      <c r="AP300" s="13" t="s">
        <v>196</v>
      </c>
      <c r="AQ300" s="16" t="n">
        <f aca="false">IFERROR(IF(AND(INDEX(Mob_Demob!$D$6:$D$14,MATCH(AM300,Mob_Demob!$A$6:$A$14,0))="",INDEX(Mob_Demob!$G$6:$G$14,MATCH(AM300,Mob_Demob!$A$6:$A$14,0))=""),"",ROUND(MAX(N(INDEX(Mob_Demob!$G$6:$G$14,MATCH(AM300,Mob_Demob!$A$6:$A$14,0))),N(INDEX(Mob_Demob!$D$6:$D$14,MATCH(AM300,Mob_Demob!$A$6:$A$14,0)))*Settings!$B$6)+IF(AP300="Y",N(INDEX(Mob_Demob!$I$6:$I$14,MATCH(AM300,Mob_Demob!$A$6:$A$14,0)))*Settings!$B$19,0)+N(INDEX(Mob_Demob!$L$6:$L$14,MATCH(AM300,Mob_Demob!$A$6:$A$14,0)))*N(INDEX(Mob_Demob!$K$6:$K$14,MATCH(AM300,Mob_Demob!$A$6:$A$14,0)))*Settings!$B$6+N(INDEX(Mob_Demob!$M$6:$M$14,MATCH(AM300,Mob_Demob!$A$6:$A$14,0)))*N(INDEX(Mob_Demob!$N$6:$N$14,MATCH(AM300,Mob_Demob!$A$6:$A$14,0))),0)),"")</f>
        <v>500</v>
      </c>
      <c r="AR300" s="16" t="n">
        <f aca="false">IF(AQ300="","",ROUND(AQ300*Settings!$B$18,0))</f>
        <v>500</v>
      </c>
      <c r="AS300" s="13" t="s">
        <v>1856</v>
      </c>
      <c r="AT300" s="14" t="s">
        <v>2102</v>
      </c>
      <c r="AU300" s="14" t="s">
        <v>262</v>
      </c>
    </row>
    <row r="301" customFormat="false" ht="53.7" hidden="false" customHeight="false" outlineLevel="0" collapsed="false">
      <c r="A301" s="21" t="s">
        <v>2103</v>
      </c>
      <c r="B301" s="21" t="s">
        <v>1847</v>
      </c>
      <c r="C301" s="21" t="s">
        <v>2088</v>
      </c>
      <c r="D301" s="21" t="s">
        <v>2089</v>
      </c>
      <c r="E301" s="22" t="s">
        <v>2104</v>
      </c>
      <c r="F301" s="13" t="s">
        <v>2091</v>
      </c>
      <c r="G301" s="13" t="n">
        <v>77</v>
      </c>
      <c r="H301" s="13" t="s">
        <v>462</v>
      </c>
      <c r="I301" s="14" t="s">
        <v>2092</v>
      </c>
      <c r="J301" s="15"/>
      <c r="K301" s="13"/>
      <c r="L301" s="13"/>
      <c r="M301" s="13" t="n">
        <v>77</v>
      </c>
      <c r="N301" s="13" t="s">
        <v>1927</v>
      </c>
      <c r="O301" s="13" t="s">
        <v>1844</v>
      </c>
      <c r="P301" s="13" t="s">
        <v>186</v>
      </c>
      <c r="Q301" s="20" t="n">
        <v>3079</v>
      </c>
      <c r="R301" s="20" t="n">
        <v>5369</v>
      </c>
      <c r="S301" s="20" t="n">
        <v>11583</v>
      </c>
      <c r="T301" s="16"/>
      <c r="U301" s="16"/>
      <c r="V301" s="13" t="s">
        <v>187</v>
      </c>
      <c r="W301" s="17"/>
      <c r="X301" s="13"/>
      <c r="Y301" s="13" t="s">
        <v>1853</v>
      </c>
      <c r="Z301" s="13" t="s">
        <v>1854</v>
      </c>
      <c r="AA301" s="13" t="s">
        <v>192</v>
      </c>
      <c r="AB301" s="13"/>
      <c r="AC301" s="17"/>
      <c r="AD301" s="13"/>
      <c r="AE301" s="19"/>
      <c r="AF301" s="19"/>
      <c r="AG301" s="19"/>
      <c r="AH301" s="13"/>
      <c r="AI301" s="17"/>
      <c r="AJ301" s="13" t="s">
        <v>188</v>
      </c>
      <c r="AK301" s="13" t="s">
        <v>188</v>
      </c>
      <c r="AL301" s="14" t="s">
        <v>1855</v>
      </c>
      <c r="AM301" s="13" t="s">
        <v>195</v>
      </c>
      <c r="AN301" s="15"/>
      <c r="AO301" s="13"/>
      <c r="AP301" s="13" t="s">
        <v>196</v>
      </c>
      <c r="AQ301" s="16" t="n">
        <f aca="false">IFERROR(IF(AND(INDEX(Mob_Demob!$D$6:$D$14,MATCH(AM301,Mob_Demob!$A$6:$A$14,0))="",INDEX(Mob_Demob!$G$6:$G$14,MATCH(AM301,Mob_Demob!$A$6:$A$14,0))=""),"",ROUND(MAX(N(INDEX(Mob_Demob!$G$6:$G$14,MATCH(AM301,Mob_Demob!$A$6:$A$14,0))),N(INDEX(Mob_Demob!$D$6:$D$14,MATCH(AM301,Mob_Demob!$A$6:$A$14,0)))*Settings!$B$6)+IF(AP301="Y",N(INDEX(Mob_Demob!$I$6:$I$14,MATCH(AM301,Mob_Demob!$A$6:$A$14,0)))*Settings!$B$19,0)+N(INDEX(Mob_Demob!$L$6:$L$14,MATCH(AM301,Mob_Demob!$A$6:$A$14,0)))*N(INDEX(Mob_Demob!$K$6:$K$14,MATCH(AM301,Mob_Demob!$A$6:$A$14,0)))*Settings!$B$6+N(INDEX(Mob_Demob!$M$6:$M$14,MATCH(AM301,Mob_Demob!$A$6:$A$14,0)))*N(INDEX(Mob_Demob!$N$6:$N$14,MATCH(AM301,Mob_Demob!$A$6:$A$14,0))),0)),"")</f>
        <v>500</v>
      </c>
      <c r="AR301" s="16" t="n">
        <f aca="false">IF(AQ301="","",ROUND(AQ301*Settings!$B$18,0))</f>
        <v>500</v>
      </c>
      <c r="AS301" s="13" t="s">
        <v>1856</v>
      </c>
      <c r="AT301" s="14" t="s">
        <v>2105</v>
      </c>
      <c r="AU301" s="14" t="s">
        <v>262</v>
      </c>
    </row>
    <row r="302" customFormat="false" ht="53.7" hidden="false" customHeight="false" outlineLevel="0" collapsed="false">
      <c r="A302" s="21" t="s">
        <v>2106</v>
      </c>
      <c r="B302" s="21" t="s">
        <v>1847</v>
      </c>
      <c r="C302" s="21" t="s">
        <v>2107</v>
      </c>
      <c r="D302" s="21" t="s">
        <v>2108</v>
      </c>
      <c r="E302" s="22" t="s">
        <v>2109</v>
      </c>
      <c r="F302" s="13" t="s">
        <v>2110</v>
      </c>
      <c r="G302" s="13" t="n">
        <v>20</v>
      </c>
      <c r="H302" s="13" t="s">
        <v>462</v>
      </c>
      <c r="I302" s="14" t="s">
        <v>2111</v>
      </c>
      <c r="J302" s="15"/>
      <c r="K302" s="13"/>
      <c r="L302" s="13"/>
      <c r="M302" s="13" t="n">
        <v>20</v>
      </c>
      <c r="N302" s="13" t="s">
        <v>1737</v>
      </c>
      <c r="O302" s="13" t="s">
        <v>1844</v>
      </c>
      <c r="P302" s="13" t="s">
        <v>186</v>
      </c>
      <c r="Q302" s="20" t="n">
        <v>303</v>
      </c>
      <c r="R302" s="20" t="n">
        <v>841</v>
      </c>
      <c r="S302" s="20" t="n">
        <v>1367</v>
      </c>
      <c r="T302" s="16"/>
      <c r="U302" s="16"/>
      <c r="V302" s="13" t="s">
        <v>187</v>
      </c>
      <c r="W302" s="17"/>
      <c r="X302" s="13"/>
      <c r="Y302" s="13" t="s">
        <v>1853</v>
      </c>
      <c r="Z302" s="13" t="s">
        <v>1854</v>
      </c>
      <c r="AA302" s="13" t="s">
        <v>192</v>
      </c>
      <c r="AB302" s="13"/>
      <c r="AC302" s="17"/>
      <c r="AD302" s="13"/>
      <c r="AE302" s="19" t="n">
        <v>0</v>
      </c>
      <c r="AF302" s="19" t="n">
        <v>0</v>
      </c>
      <c r="AG302" s="19" t="n">
        <v>0</v>
      </c>
      <c r="AH302" s="13" t="s">
        <v>1739</v>
      </c>
      <c r="AI302" s="17"/>
      <c r="AJ302" s="13" t="s">
        <v>188</v>
      </c>
      <c r="AK302" s="13" t="s">
        <v>188</v>
      </c>
      <c r="AL302" s="14" t="s">
        <v>1855</v>
      </c>
      <c r="AM302" s="13" t="s">
        <v>1155</v>
      </c>
      <c r="AN302" s="15"/>
      <c r="AO302" s="13"/>
      <c r="AP302" s="13" t="s">
        <v>196</v>
      </c>
      <c r="AQ302" s="16" t="n">
        <f aca="false">IFERROR(IF(AND(INDEX(Mob_Demob!$D$6:$D$14,MATCH(AM302,Mob_Demob!$A$6:$A$14,0))="",INDEX(Mob_Demob!$G$6:$G$14,MATCH(AM302,Mob_Demob!$A$6:$A$14,0))=""),"",ROUND(MAX(N(INDEX(Mob_Demob!$G$6:$G$14,MATCH(AM302,Mob_Demob!$A$6:$A$14,0))),N(INDEX(Mob_Demob!$D$6:$D$14,MATCH(AM302,Mob_Demob!$A$6:$A$14,0)))*Settings!$B$6)+IF(AP302="Y",N(INDEX(Mob_Demob!$I$6:$I$14,MATCH(AM302,Mob_Demob!$A$6:$A$14,0)))*Settings!$B$19,0)+N(INDEX(Mob_Demob!$L$6:$L$14,MATCH(AM302,Mob_Demob!$A$6:$A$14,0)))*N(INDEX(Mob_Demob!$K$6:$K$14,MATCH(AM302,Mob_Demob!$A$6:$A$14,0)))*Settings!$B$6+N(INDEX(Mob_Demob!$M$6:$M$14,MATCH(AM302,Mob_Demob!$A$6:$A$14,0)))*N(INDEX(Mob_Demob!$N$6:$N$14,MATCH(AM302,Mob_Demob!$A$6:$A$14,0))),0)),"")</f>
        <v>200</v>
      </c>
      <c r="AR302" s="16" t="n">
        <f aca="false">IF(AQ302="","",ROUND(AQ302*Settings!$B$18,0))</f>
        <v>200</v>
      </c>
      <c r="AS302" s="13" t="s">
        <v>1856</v>
      </c>
      <c r="AT302" s="14" t="s">
        <v>2112</v>
      </c>
      <c r="AU302" s="14" t="s">
        <v>341</v>
      </c>
    </row>
    <row r="303" customFormat="false" ht="53.7" hidden="false" customHeight="false" outlineLevel="0" collapsed="false">
      <c r="A303" s="21" t="s">
        <v>2113</v>
      </c>
      <c r="B303" s="21" t="s">
        <v>1847</v>
      </c>
      <c r="C303" s="21" t="s">
        <v>2107</v>
      </c>
      <c r="D303" s="21" t="s">
        <v>2108</v>
      </c>
      <c r="E303" s="22" t="s">
        <v>2114</v>
      </c>
      <c r="F303" s="13" t="s">
        <v>2110</v>
      </c>
      <c r="G303" s="13" t="n">
        <v>26</v>
      </c>
      <c r="H303" s="13" t="s">
        <v>462</v>
      </c>
      <c r="I303" s="14" t="s">
        <v>2111</v>
      </c>
      <c r="J303" s="15"/>
      <c r="K303" s="13"/>
      <c r="L303" s="13"/>
      <c r="M303" s="13" t="n">
        <v>26</v>
      </c>
      <c r="N303" s="13" t="s">
        <v>1737</v>
      </c>
      <c r="O303" s="13" t="s">
        <v>1844</v>
      </c>
      <c r="P303" s="13" t="s">
        <v>186</v>
      </c>
      <c r="Q303" s="20" t="n">
        <v>306</v>
      </c>
      <c r="R303" s="20" t="n">
        <v>753</v>
      </c>
      <c r="S303" s="20" t="n">
        <v>1664</v>
      </c>
      <c r="T303" s="16"/>
      <c r="U303" s="16"/>
      <c r="V303" s="13" t="s">
        <v>187</v>
      </c>
      <c r="W303" s="17"/>
      <c r="X303" s="13"/>
      <c r="Y303" s="13" t="s">
        <v>1853</v>
      </c>
      <c r="Z303" s="13" t="s">
        <v>1854</v>
      </c>
      <c r="AA303" s="13" t="s">
        <v>192</v>
      </c>
      <c r="AB303" s="13"/>
      <c r="AC303" s="17"/>
      <c r="AD303" s="13"/>
      <c r="AE303" s="19" t="n">
        <v>0</v>
      </c>
      <c r="AF303" s="19" t="n">
        <v>0</v>
      </c>
      <c r="AG303" s="19" t="n">
        <v>0</v>
      </c>
      <c r="AH303" s="13" t="s">
        <v>1739</v>
      </c>
      <c r="AI303" s="17"/>
      <c r="AJ303" s="13" t="s">
        <v>188</v>
      </c>
      <c r="AK303" s="13" t="s">
        <v>188</v>
      </c>
      <c r="AL303" s="14" t="s">
        <v>1855</v>
      </c>
      <c r="AM303" s="13" t="s">
        <v>1155</v>
      </c>
      <c r="AN303" s="15"/>
      <c r="AO303" s="13"/>
      <c r="AP303" s="13" t="s">
        <v>196</v>
      </c>
      <c r="AQ303" s="16" t="n">
        <f aca="false">IFERROR(IF(AND(INDEX(Mob_Demob!$D$6:$D$14,MATCH(AM303,Mob_Demob!$A$6:$A$14,0))="",INDEX(Mob_Demob!$G$6:$G$14,MATCH(AM303,Mob_Demob!$A$6:$A$14,0))=""),"",ROUND(MAX(N(INDEX(Mob_Demob!$G$6:$G$14,MATCH(AM303,Mob_Demob!$A$6:$A$14,0))),N(INDEX(Mob_Demob!$D$6:$D$14,MATCH(AM303,Mob_Demob!$A$6:$A$14,0)))*Settings!$B$6)+IF(AP303="Y",N(INDEX(Mob_Demob!$I$6:$I$14,MATCH(AM303,Mob_Demob!$A$6:$A$14,0)))*Settings!$B$19,0)+N(INDEX(Mob_Demob!$L$6:$L$14,MATCH(AM303,Mob_Demob!$A$6:$A$14,0)))*N(INDEX(Mob_Demob!$K$6:$K$14,MATCH(AM303,Mob_Demob!$A$6:$A$14,0)))*Settings!$B$6+N(INDEX(Mob_Demob!$M$6:$M$14,MATCH(AM303,Mob_Demob!$A$6:$A$14,0)))*N(INDEX(Mob_Demob!$N$6:$N$14,MATCH(AM303,Mob_Demob!$A$6:$A$14,0))),0)),"")</f>
        <v>200</v>
      </c>
      <c r="AR303" s="16" t="n">
        <f aca="false">IF(AQ303="","",ROUND(AQ303*Settings!$B$18,0))</f>
        <v>200</v>
      </c>
      <c r="AS303" s="13" t="s">
        <v>1856</v>
      </c>
      <c r="AT303" s="14" t="s">
        <v>2115</v>
      </c>
      <c r="AU303" s="14" t="s">
        <v>341</v>
      </c>
    </row>
    <row r="304" customFormat="false" ht="53.7" hidden="false" customHeight="false" outlineLevel="0" collapsed="false">
      <c r="A304" s="21" t="s">
        <v>2116</v>
      </c>
      <c r="B304" s="21" t="s">
        <v>1847</v>
      </c>
      <c r="C304" s="21" t="s">
        <v>2107</v>
      </c>
      <c r="D304" s="21" t="s">
        <v>2108</v>
      </c>
      <c r="E304" s="22" t="s">
        <v>2117</v>
      </c>
      <c r="F304" s="13" t="s">
        <v>2110</v>
      </c>
      <c r="G304" s="13" t="n">
        <v>33</v>
      </c>
      <c r="H304" s="13" t="s">
        <v>462</v>
      </c>
      <c r="I304" s="14" t="s">
        <v>2111</v>
      </c>
      <c r="J304" s="15"/>
      <c r="K304" s="13"/>
      <c r="L304" s="13"/>
      <c r="M304" s="13" t="n">
        <v>33</v>
      </c>
      <c r="N304" s="13" t="s">
        <v>1737</v>
      </c>
      <c r="O304" s="13" t="s">
        <v>1844</v>
      </c>
      <c r="P304" s="13" t="s">
        <v>186</v>
      </c>
      <c r="Q304" s="20" t="n">
        <v>376</v>
      </c>
      <c r="R304" s="20" t="n">
        <v>952</v>
      </c>
      <c r="S304" s="20" t="n">
        <v>2529</v>
      </c>
      <c r="T304" s="16"/>
      <c r="U304" s="16"/>
      <c r="V304" s="13" t="s">
        <v>187</v>
      </c>
      <c r="W304" s="17"/>
      <c r="X304" s="13"/>
      <c r="Y304" s="13" t="s">
        <v>1853</v>
      </c>
      <c r="Z304" s="13" t="s">
        <v>1854</v>
      </c>
      <c r="AA304" s="13" t="s">
        <v>192</v>
      </c>
      <c r="AB304" s="13"/>
      <c r="AC304" s="17"/>
      <c r="AD304" s="13"/>
      <c r="AE304" s="19" t="n">
        <v>0</v>
      </c>
      <c r="AF304" s="19" t="n">
        <v>0</v>
      </c>
      <c r="AG304" s="19" t="n">
        <v>0</v>
      </c>
      <c r="AH304" s="13" t="s">
        <v>1739</v>
      </c>
      <c r="AI304" s="17"/>
      <c r="AJ304" s="13" t="s">
        <v>188</v>
      </c>
      <c r="AK304" s="13" t="s">
        <v>188</v>
      </c>
      <c r="AL304" s="14" t="s">
        <v>1855</v>
      </c>
      <c r="AM304" s="13" t="s">
        <v>1155</v>
      </c>
      <c r="AN304" s="15"/>
      <c r="AO304" s="13"/>
      <c r="AP304" s="13" t="s">
        <v>196</v>
      </c>
      <c r="AQ304" s="16" t="n">
        <f aca="false">IFERROR(IF(AND(INDEX(Mob_Demob!$D$6:$D$14,MATCH(AM304,Mob_Demob!$A$6:$A$14,0))="",INDEX(Mob_Demob!$G$6:$G$14,MATCH(AM304,Mob_Demob!$A$6:$A$14,0))=""),"",ROUND(MAX(N(INDEX(Mob_Demob!$G$6:$G$14,MATCH(AM304,Mob_Demob!$A$6:$A$14,0))),N(INDEX(Mob_Demob!$D$6:$D$14,MATCH(AM304,Mob_Demob!$A$6:$A$14,0)))*Settings!$B$6)+IF(AP304="Y",N(INDEX(Mob_Demob!$I$6:$I$14,MATCH(AM304,Mob_Demob!$A$6:$A$14,0)))*Settings!$B$19,0)+N(INDEX(Mob_Demob!$L$6:$L$14,MATCH(AM304,Mob_Demob!$A$6:$A$14,0)))*N(INDEX(Mob_Demob!$K$6:$K$14,MATCH(AM304,Mob_Demob!$A$6:$A$14,0)))*Settings!$B$6+N(INDEX(Mob_Demob!$M$6:$M$14,MATCH(AM304,Mob_Demob!$A$6:$A$14,0)))*N(INDEX(Mob_Demob!$N$6:$N$14,MATCH(AM304,Mob_Demob!$A$6:$A$14,0))),0)),"")</f>
        <v>200</v>
      </c>
      <c r="AR304" s="16" t="n">
        <f aca="false">IF(AQ304="","",ROUND(AQ304*Settings!$B$18,0))</f>
        <v>200</v>
      </c>
      <c r="AS304" s="13" t="s">
        <v>1856</v>
      </c>
      <c r="AT304" s="14" t="s">
        <v>2118</v>
      </c>
      <c r="AU304" s="14" t="s">
        <v>341</v>
      </c>
    </row>
    <row r="305" customFormat="false" ht="53.7" hidden="false" customHeight="false" outlineLevel="0" collapsed="false">
      <c r="A305" s="21" t="s">
        <v>2119</v>
      </c>
      <c r="B305" s="21" t="s">
        <v>1847</v>
      </c>
      <c r="C305" s="21" t="s">
        <v>2107</v>
      </c>
      <c r="D305" s="21" t="s">
        <v>2120</v>
      </c>
      <c r="E305" s="22" t="s">
        <v>2121</v>
      </c>
      <c r="F305" s="13" t="s">
        <v>2110</v>
      </c>
      <c r="G305" s="13" t="n">
        <v>12</v>
      </c>
      <c r="H305" s="13" t="s">
        <v>462</v>
      </c>
      <c r="I305" s="14" t="s">
        <v>2111</v>
      </c>
      <c r="J305" s="15"/>
      <c r="K305" s="13"/>
      <c r="L305" s="13"/>
      <c r="M305" s="13" t="n">
        <v>12</v>
      </c>
      <c r="N305" s="13" t="s">
        <v>1737</v>
      </c>
      <c r="O305" s="13" t="s">
        <v>1844</v>
      </c>
      <c r="P305" s="13" t="s">
        <v>186</v>
      </c>
      <c r="Q305" s="20" t="n">
        <v>206</v>
      </c>
      <c r="R305" s="20" t="n">
        <v>329</v>
      </c>
      <c r="S305" s="20" t="n">
        <v>466</v>
      </c>
      <c r="T305" s="16"/>
      <c r="U305" s="16"/>
      <c r="V305" s="13" t="s">
        <v>187</v>
      </c>
      <c r="W305" s="17"/>
      <c r="X305" s="13"/>
      <c r="Y305" s="13" t="s">
        <v>1853</v>
      </c>
      <c r="Z305" s="13" t="s">
        <v>1854</v>
      </c>
      <c r="AA305" s="13" t="s">
        <v>192</v>
      </c>
      <c r="AB305" s="13"/>
      <c r="AC305" s="17"/>
      <c r="AD305" s="13"/>
      <c r="AE305" s="19" t="n">
        <v>0</v>
      </c>
      <c r="AF305" s="19" t="n">
        <v>0</v>
      </c>
      <c r="AG305" s="19" t="n">
        <v>0</v>
      </c>
      <c r="AH305" s="13" t="s">
        <v>1739</v>
      </c>
      <c r="AI305" s="17"/>
      <c r="AJ305" s="13" t="s">
        <v>188</v>
      </c>
      <c r="AK305" s="13" t="s">
        <v>188</v>
      </c>
      <c r="AL305" s="14" t="s">
        <v>1855</v>
      </c>
      <c r="AM305" s="13" t="s">
        <v>1155</v>
      </c>
      <c r="AN305" s="15"/>
      <c r="AO305" s="13"/>
      <c r="AP305" s="13" t="s">
        <v>196</v>
      </c>
      <c r="AQ305" s="16" t="n">
        <f aca="false">IFERROR(IF(AND(INDEX(Mob_Demob!$D$6:$D$14,MATCH(AM305,Mob_Demob!$A$6:$A$14,0))="",INDEX(Mob_Demob!$G$6:$G$14,MATCH(AM305,Mob_Demob!$A$6:$A$14,0))=""),"",ROUND(MAX(N(INDEX(Mob_Demob!$G$6:$G$14,MATCH(AM305,Mob_Demob!$A$6:$A$14,0))),N(INDEX(Mob_Demob!$D$6:$D$14,MATCH(AM305,Mob_Demob!$A$6:$A$14,0)))*Settings!$B$6)+IF(AP305="Y",N(INDEX(Mob_Demob!$I$6:$I$14,MATCH(AM305,Mob_Demob!$A$6:$A$14,0)))*Settings!$B$19,0)+N(INDEX(Mob_Demob!$L$6:$L$14,MATCH(AM305,Mob_Demob!$A$6:$A$14,0)))*N(INDEX(Mob_Demob!$K$6:$K$14,MATCH(AM305,Mob_Demob!$A$6:$A$14,0)))*Settings!$B$6+N(INDEX(Mob_Demob!$M$6:$M$14,MATCH(AM305,Mob_Demob!$A$6:$A$14,0)))*N(INDEX(Mob_Demob!$N$6:$N$14,MATCH(AM305,Mob_Demob!$A$6:$A$14,0))),0)),"")</f>
        <v>200</v>
      </c>
      <c r="AR305" s="16" t="n">
        <f aca="false">IF(AQ305="","",ROUND(AQ305*Settings!$B$18,0))</f>
        <v>200</v>
      </c>
      <c r="AS305" s="13" t="s">
        <v>1856</v>
      </c>
      <c r="AT305" s="14" t="s">
        <v>2122</v>
      </c>
      <c r="AU305" s="14" t="s">
        <v>341</v>
      </c>
    </row>
    <row r="306" customFormat="false" ht="53.7" hidden="false" customHeight="false" outlineLevel="0" collapsed="false">
      <c r="A306" s="21" t="s">
        <v>2123</v>
      </c>
      <c r="B306" s="21" t="s">
        <v>1847</v>
      </c>
      <c r="C306" s="21" t="s">
        <v>2107</v>
      </c>
      <c r="D306" s="21" t="s">
        <v>2120</v>
      </c>
      <c r="E306" s="22" t="s">
        <v>2124</v>
      </c>
      <c r="F306" s="13" t="s">
        <v>2110</v>
      </c>
      <c r="G306" s="13" t="n">
        <v>15</v>
      </c>
      <c r="H306" s="13" t="s">
        <v>462</v>
      </c>
      <c r="I306" s="14" t="s">
        <v>2111</v>
      </c>
      <c r="J306" s="15"/>
      <c r="K306" s="13"/>
      <c r="L306" s="13"/>
      <c r="M306" s="13" t="n">
        <v>15</v>
      </c>
      <c r="N306" s="13" t="s">
        <v>1737</v>
      </c>
      <c r="O306" s="13" t="s">
        <v>1844</v>
      </c>
      <c r="P306" s="13" t="s">
        <v>186</v>
      </c>
      <c r="Q306" s="20" t="n">
        <v>162</v>
      </c>
      <c r="R306" s="20" t="n">
        <v>381</v>
      </c>
      <c r="S306" s="20" t="n">
        <v>1024</v>
      </c>
      <c r="T306" s="16"/>
      <c r="U306" s="16"/>
      <c r="V306" s="13" t="s">
        <v>187</v>
      </c>
      <c r="W306" s="17"/>
      <c r="X306" s="13"/>
      <c r="Y306" s="13" t="s">
        <v>1853</v>
      </c>
      <c r="Z306" s="13" t="s">
        <v>1854</v>
      </c>
      <c r="AA306" s="13" t="s">
        <v>192</v>
      </c>
      <c r="AB306" s="13"/>
      <c r="AC306" s="17"/>
      <c r="AD306" s="13"/>
      <c r="AE306" s="19" t="n">
        <v>0</v>
      </c>
      <c r="AF306" s="19" t="n">
        <v>0</v>
      </c>
      <c r="AG306" s="19" t="n">
        <v>0</v>
      </c>
      <c r="AH306" s="13" t="s">
        <v>1739</v>
      </c>
      <c r="AI306" s="17"/>
      <c r="AJ306" s="13" t="s">
        <v>188</v>
      </c>
      <c r="AK306" s="13" t="s">
        <v>188</v>
      </c>
      <c r="AL306" s="14" t="s">
        <v>1855</v>
      </c>
      <c r="AM306" s="13" t="s">
        <v>1155</v>
      </c>
      <c r="AN306" s="15"/>
      <c r="AO306" s="13"/>
      <c r="AP306" s="13" t="s">
        <v>196</v>
      </c>
      <c r="AQ306" s="16" t="n">
        <f aca="false">IFERROR(IF(AND(INDEX(Mob_Demob!$D$6:$D$14,MATCH(AM306,Mob_Demob!$A$6:$A$14,0))="",INDEX(Mob_Demob!$G$6:$G$14,MATCH(AM306,Mob_Demob!$A$6:$A$14,0))=""),"",ROUND(MAX(N(INDEX(Mob_Demob!$G$6:$G$14,MATCH(AM306,Mob_Demob!$A$6:$A$14,0))),N(INDEX(Mob_Demob!$D$6:$D$14,MATCH(AM306,Mob_Demob!$A$6:$A$14,0)))*Settings!$B$6)+IF(AP306="Y",N(INDEX(Mob_Demob!$I$6:$I$14,MATCH(AM306,Mob_Demob!$A$6:$A$14,0)))*Settings!$B$19,0)+N(INDEX(Mob_Demob!$L$6:$L$14,MATCH(AM306,Mob_Demob!$A$6:$A$14,0)))*N(INDEX(Mob_Demob!$K$6:$K$14,MATCH(AM306,Mob_Demob!$A$6:$A$14,0)))*Settings!$B$6+N(INDEX(Mob_Demob!$M$6:$M$14,MATCH(AM306,Mob_Demob!$A$6:$A$14,0)))*N(INDEX(Mob_Demob!$N$6:$N$14,MATCH(AM306,Mob_Demob!$A$6:$A$14,0))),0)),"")</f>
        <v>200</v>
      </c>
      <c r="AR306" s="16" t="n">
        <f aca="false">IF(AQ306="","",ROUND(AQ306*Settings!$B$18,0))</f>
        <v>200</v>
      </c>
      <c r="AS306" s="13" t="s">
        <v>1856</v>
      </c>
      <c r="AT306" s="14" t="s">
        <v>2125</v>
      </c>
      <c r="AU306" s="14" t="s">
        <v>341</v>
      </c>
    </row>
    <row r="307" customFormat="false" ht="53.7" hidden="false" customHeight="false" outlineLevel="0" collapsed="false">
      <c r="A307" s="21" t="s">
        <v>2126</v>
      </c>
      <c r="B307" s="21" t="s">
        <v>1847</v>
      </c>
      <c r="C307" s="21" t="s">
        <v>2107</v>
      </c>
      <c r="D307" s="21" t="s">
        <v>2120</v>
      </c>
      <c r="E307" s="22" t="s">
        <v>2127</v>
      </c>
      <c r="F307" s="13" t="s">
        <v>2110</v>
      </c>
      <c r="G307" s="13" t="n">
        <v>20</v>
      </c>
      <c r="H307" s="13" t="s">
        <v>462</v>
      </c>
      <c r="I307" s="14" t="s">
        <v>2111</v>
      </c>
      <c r="J307" s="15"/>
      <c r="K307" s="13"/>
      <c r="L307" s="13"/>
      <c r="M307" s="13" t="n">
        <v>20</v>
      </c>
      <c r="N307" s="13" t="s">
        <v>1737</v>
      </c>
      <c r="O307" s="13" t="s">
        <v>1844</v>
      </c>
      <c r="P307" s="13" t="s">
        <v>186</v>
      </c>
      <c r="Q307" s="20" t="n">
        <v>215</v>
      </c>
      <c r="R307" s="20" t="n">
        <v>424</v>
      </c>
      <c r="S307" s="20" t="n">
        <v>684</v>
      </c>
      <c r="T307" s="16"/>
      <c r="U307" s="16"/>
      <c r="V307" s="13" t="s">
        <v>187</v>
      </c>
      <c r="W307" s="17"/>
      <c r="X307" s="13"/>
      <c r="Y307" s="13" t="s">
        <v>1853</v>
      </c>
      <c r="Z307" s="13" t="s">
        <v>1854</v>
      </c>
      <c r="AA307" s="13" t="s">
        <v>192</v>
      </c>
      <c r="AB307" s="13"/>
      <c r="AC307" s="17"/>
      <c r="AD307" s="13"/>
      <c r="AE307" s="19" t="n">
        <v>0</v>
      </c>
      <c r="AF307" s="19" t="n">
        <v>0</v>
      </c>
      <c r="AG307" s="19" t="n">
        <v>0</v>
      </c>
      <c r="AH307" s="13" t="s">
        <v>1739</v>
      </c>
      <c r="AI307" s="17"/>
      <c r="AJ307" s="13" t="s">
        <v>188</v>
      </c>
      <c r="AK307" s="13" t="s">
        <v>188</v>
      </c>
      <c r="AL307" s="14" t="s">
        <v>1855</v>
      </c>
      <c r="AM307" s="13" t="s">
        <v>1155</v>
      </c>
      <c r="AN307" s="15"/>
      <c r="AO307" s="13"/>
      <c r="AP307" s="13" t="s">
        <v>196</v>
      </c>
      <c r="AQ307" s="16" t="n">
        <f aca="false">IFERROR(IF(AND(INDEX(Mob_Demob!$D$6:$D$14,MATCH(AM307,Mob_Demob!$A$6:$A$14,0))="",INDEX(Mob_Demob!$G$6:$G$14,MATCH(AM307,Mob_Demob!$A$6:$A$14,0))=""),"",ROUND(MAX(N(INDEX(Mob_Demob!$G$6:$G$14,MATCH(AM307,Mob_Demob!$A$6:$A$14,0))),N(INDEX(Mob_Demob!$D$6:$D$14,MATCH(AM307,Mob_Demob!$A$6:$A$14,0)))*Settings!$B$6)+IF(AP307="Y",N(INDEX(Mob_Demob!$I$6:$I$14,MATCH(AM307,Mob_Demob!$A$6:$A$14,0)))*Settings!$B$19,0)+N(INDEX(Mob_Demob!$L$6:$L$14,MATCH(AM307,Mob_Demob!$A$6:$A$14,0)))*N(INDEX(Mob_Demob!$K$6:$K$14,MATCH(AM307,Mob_Demob!$A$6:$A$14,0)))*Settings!$B$6+N(INDEX(Mob_Demob!$M$6:$M$14,MATCH(AM307,Mob_Demob!$A$6:$A$14,0)))*N(INDEX(Mob_Demob!$N$6:$N$14,MATCH(AM307,Mob_Demob!$A$6:$A$14,0))),0)),"")</f>
        <v>200</v>
      </c>
      <c r="AR307" s="16" t="n">
        <f aca="false">IF(AQ307="","",ROUND(AQ307*Settings!$B$18,0))</f>
        <v>200</v>
      </c>
      <c r="AS307" s="13" t="s">
        <v>1856</v>
      </c>
      <c r="AT307" s="14" t="s">
        <v>2128</v>
      </c>
      <c r="AU307" s="14" t="s">
        <v>341</v>
      </c>
    </row>
    <row r="308" customFormat="false" ht="53.7" hidden="false" customHeight="false" outlineLevel="0" collapsed="false">
      <c r="A308" s="21" t="s">
        <v>2129</v>
      </c>
      <c r="B308" s="21" t="s">
        <v>1847</v>
      </c>
      <c r="C308" s="21" t="s">
        <v>2107</v>
      </c>
      <c r="D308" s="21" t="s">
        <v>2130</v>
      </c>
      <c r="E308" s="22" t="s">
        <v>2131</v>
      </c>
      <c r="F308" s="13" t="s">
        <v>2110</v>
      </c>
      <c r="G308" s="13" t="n">
        <v>25</v>
      </c>
      <c r="H308" s="13" t="s">
        <v>462</v>
      </c>
      <c r="I308" s="14" t="s">
        <v>2111</v>
      </c>
      <c r="J308" s="15"/>
      <c r="K308" s="13"/>
      <c r="L308" s="13"/>
      <c r="M308" s="13" t="n">
        <v>25</v>
      </c>
      <c r="N308" s="13" t="s">
        <v>1737</v>
      </c>
      <c r="O308" s="13" t="s">
        <v>1844</v>
      </c>
      <c r="P308" s="13" t="s">
        <v>186</v>
      </c>
      <c r="Q308" s="20" t="n">
        <v>220</v>
      </c>
      <c r="R308" s="20" t="n">
        <v>456</v>
      </c>
      <c r="S308" s="20" t="n">
        <v>924</v>
      </c>
      <c r="T308" s="16"/>
      <c r="U308" s="16"/>
      <c r="V308" s="13" t="s">
        <v>187</v>
      </c>
      <c r="W308" s="17"/>
      <c r="X308" s="13"/>
      <c r="Y308" s="13" t="s">
        <v>1853</v>
      </c>
      <c r="Z308" s="13" t="s">
        <v>1854</v>
      </c>
      <c r="AA308" s="13" t="s">
        <v>192</v>
      </c>
      <c r="AB308" s="13"/>
      <c r="AC308" s="17"/>
      <c r="AD308" s="13"/>
      <c r="AE308" s="19" t="n">
        <v>0</v>
      </c>
      <c r="AF308" s="19" t="n">
        <v>0</v>
      </c>
      <c r="AG308" s="19" t="n">
        <v>0</v>
      </c>
      <c r="AH308" s="13" t="s">
        <v>1739</v>
      </c>
      <c r="AI308" s="17"/>
      <c r="AJ308" s="13" t="s">
        <v>188</v>
      </c>
      <c r="AK308" s="13" t="s">
        <v>188</v>
      </c>
      <c r="AL308" s="14" t="s">
        <v>1855</v>
      </c>
      <c r="AM308" s="13" t="s">
        <v>1155</v>
      </c>
      <c r="AN308" s="15"/>
      <c r="AO308" s="13"/>
      <c r="AP308" s="13" t="s">
        <v>196</v>
      </c>
      <c r="AQ308" s="16" t="n">
        <f aca="false">IFERROR(IF(AND(INDEX(Mob_Demob!$D$6:$D$14,MATCH(AM308,Mob_Demob!$A$6:$A$14,0))="",INDEX(Mob_Demob!$G$6:$G$14,MATCH(AM308,Mob_Demob!$A$6:$A$14,0))=""),"",ROUND(MAX(N(INDEX(Mob_Demob!$G$6:$G$14,MATCH(AM308,Mob_Demob!$A$6:$A$14,0))),N(INDEX(Mob_Demob!$D$6:$D$14,MATCH(AM308,Mob_Demob!$A$6:$A$14,0)))*Settings!$B$6)+IF(AP308="Y",N(INDEX(Mob_Demob!$I$6:$I$14,MATCH(AM308,Mob_Demob!$A$6:$A$14,0)))*Settings!$B$19,0)+N(INDEX(Mob_Demob!$L$6:$L$14,MATCH(AM308,Mob_Demob!$A$6:$A$14,0)))*N(INDEX(Mob_Demob!$K$6:$K$14,MATCH(AM308,Mob_Demob!$A$6:$A$14,0)))*Settings!$B$6+N(INDEX(Mob_Demob!$M$6:$M$14,MATCH(AM308,Mob_Demob!$A$6:$A$14,0)))*N(INDEX(Mob_Demob!$N$6:$N$14,MATCH(AM308,Mob_Demob!$A$6:$A$14,0))),0)),"")</f>
        <v>200</v>
      </c>
      <c r="AR308" s="16" t="n">
        <f aca="false">IF(AQ308="","",ROUND(AQ308*Settings!$B$18,0))</f>
        <v>200</v>
      </c>
      <c r="AS308" s="13" t="s">
        <v>1856</v>
      </c>
      <c r="AT308" s="14" t="s">
        <v>2132</v>
      </c>
      <c r="AU308" s="14" t="s">
        <v>341</v>
      </c>
    </row>
    <row r="309" customFormat="false" ht="53.7" hidden="false" customHeight="false" outlineLevel="0" collapsed="false">
      <c r="A309" s="21" t="s">
        <v>2133</v>
      </c>
      <c r="B309" s="21" t="s">
        <v>1847</v>
      </c>
      <c r="C309" s="21" t="s">
        <v>2107</v>
      </c>
      <c r="D309" s="21" t="s">
        <v>2130</v>
      </c>
      <c r="E309" s="22" t="s">
        <v>2134</v>
      </c>
      <c r="F309" s="13" t="s">
        <v>2110</v>
      </c>
      <c r="G309" s="13" t="n">
        <v>30</v>
      </c>
      <c r="H309" s="13" t="s">
        <v>462</v>
      </c>
      <c r="I309" s="14" t="s">
        <v>2111</v>
      </c>
      <c r="J309" s="15"/>
      <c r="K309" s="13"/>
      <c r="L309" s="13"/>
      <c r="M309" s="13" t="n">
        <v>30</v>
      </c>
      <c r="N309" s="13" t="s">
        <v>1737</v>
      </c>
      <c r="O309" s="13" t="s">
        <v>1844</v>
      </c>
      <c r="P309" s="13" t="s">
        <v>186</v>
      </c>
      <c r="Q309" s="20" t="n">
        <v>227</v>
      </c>
      <c r="R309" s="20" t="n">
        <v>506</v>
      </c>
      <c r="S309" s="20" t="n">
        <v>1221</v>
      </c>
      <c r="T309" s="16"/>
      <c r="U309" s="16"/>
      <c r="V309" s="13" t="s">
        <v>187</v>
      </c>
      <c r="W309" s="17"/>
      <c r="X309" s="13"/>
      <c r="Y309" s="13" t="s">
        <v>1853</v>
      </c>
      <c r="Z309" s="13" t="s">
        <v>1854</v>
      </c>
      <c r="AA309" s="13" t="s">
        <v>192</v>
      </c>
      <c r="AB309" s="13"/>
      <c r="AC309" s="17"/>
      <c r="AD309" s="13"/>
      <c r="AE309" s="19" t="n">
        <v>0</v>
      </c>
      <c r="AF309" s="19" t="n">
        <v>0</v>
      </c>
      <c r="AG309" s="19" t="n">
        <v>0</v>
      </c>
      <c r="AH309" s="13" t="s">
        <v>1739</v>
      </c>
      <c r="AI309" s="17"/>
      <c r="AJ309" s="13" t="s">
        <v>188</v>
      </c>
      <c r="AK309" s="13" t="s">
        <v>188</v>
      </c>
      <c r="AL309" s="14" t="s">
        <v>1855</v>
      </c>
      <c r="AM309" s="13" t="s">
        <v>1155</v>
      </c>
      <c r="AN309" s="15"/>
      <c r="AO309" s="13"/>
      <c r="AP309" s="13" t="s">
        <v>196</v>
      </c>
      <c r="AQ309" s="16" t="n">
        <f aca="false">IFERROR(IF(AND(INDEX(Mob_Demob!$D$6:$D$14,MATCH(AM309,Mob_Demob!$A$6:$A$14,0))="",INDEX(Mob_Demob!$G$6:$G$14,MATCH(AM309,Mob_Demob!$A$6:$A$14,0))=""),"",ROUND(MAX(N(INDEX(Mob_Demob!$G$6:$G$14,MATCH(AM309,Mob_Demob!$A$6:$A$14,0))),N(INDEX(Mob_Demob!$D$6:$D$14,MATCH(AM309,Mob_Demob!$A$6:$A$14,0)))*Settings!$B$6)+IF(AP309="Y",N(INDEX(Mob_Demob!$I$6:$I$14,MATCH(AM309,Mob_Demob!$A$6:$A$14,0)))*Settings!$B$19,0)+N(INDEX(Mob_Demob!$L$6:$L$14,MATCH(AM309,Mob_Demob!$A$6:$A$14,0)))*N(INDEX(Mob_Demob!$K$6:$K$14,MATCH(AM309,Mob_Demob!$A$6:$A$14,0)))*Settings!$B$6+N(INDEX(Mob_Demob!$M$6:$M$14,MATCH(AM309,Mob_Demob!$A$6:$A$14,0)))*N(INDEX(Mob_Demob!$N$6:$N$14,MATCH(AM309,Mob_Demob!$A$6:$A$14,0))),0)),"")</f>
        <v>200</v>
      </c>
      <c r="AR309" s="16" t="n">
        <f aca="false">IF(AQ309="","",ROUND(AQ309*Settings!$B$18,0))</f>
        <v>200</v>
      </c>
      <c r="AS309" s="13" t="s">
        <v>1856</v>
      </c>
      <c r="AT309" s="14" t="s">
        <v>2135</v>
      </c>
      <c r="AU309" s="14" t="s">
        <v>341</v>
      </c>
    </row>
    <row r="310" customFormat="false" ht="53.7" hidden="false" customHeight="false" outlineLevel="0" collapsed="false">
      <c r="A310" s="21" t="s">
        <v>2136</v>
      </c>
      <c r="B310" s="21" t="s">
        <v>1847</v>
      </c>
      <c r="C310" s="21" t="s">
        <v>2107</v>
      </c>
      <c r="D310" s="21" t="s">
        <v>2130</v>
      </c>
      <c r="E310" s="22" t="s">
        <v>2137</v>
      </c>
      <c r="F310" s="13" t="s">
        <v>2110</v>
      </c>
      <c r="G310" s="13" t="n">
        <v>36</v>
      </c>
      <c r="H310" s="13" t="s">
        <v>462</v>
      </c>
      <c r="I310" s="14" t="s">
        <v>2111</v>
      </c>
      <c r="J310" s="15"/>
      <c r="K310" s="13"/>
      <c r="L310" s="13"/>
      <c r="M310" s="13" t="n">
        <v>36</v>
      </c>
      <c r="N310" s="13" t="s">
        <v>1737</v>
      </c>
      <c r="O310" s="13" t="s">
        <v>1844</v>
      </c>
      <c r="P310" s="13" t="s">
        <v>186</v>
      </c>
      <c r="Q310" s="20" t="n">
        <v>270</v>
      </c>
      <c r="R310" s="20" t="n">
        <v>636</v>
      </c>
      <c r="S310" s="20" t="n">
        <v>1810</v>
      </c>
      <c r="T310" s="16"/>
      <c r="U310" s="16"/>
      <c r="V310" s="13" t="s">
        <v>187</v>
      </c>
      <c r="W310" s="17"/>
      <c r="X310" s="13"/>
      <c r="Y310" s="13" t="s">
        <v>1853</v>
      </c>
      <c r="Z310" s="13" t="s">
        <v>1854</v>
      </c>
      <c r="AA310" s="13" t="s">
        <v>192</v>
      </c>
      <c r="AB310" s="13"/>
      <c r="AC310" s="17"/>
      <c r="AD310" s="13"/>
      <c r="AE310" s="19" t="n">
        <v>0</v>
      </c>
      <c r="AF310" s="19" t="n">
        <v>0</v>
      </c>
      <c r="AG310" s="19" t="n">
        <v>0</v>
      </c>
      <c r="AH310" s="13" t="s">
        <v>1739</v>
      </c>
      <c r="AI310" s="17"/>
      <c r="AJ310" s="13" t="s">
        <v>188</v>
      </c>
      <c r="AK310" s="13" t="s">
        <v>188</v>
      </c>
      <c r="AL310" s="14" t="s">
        <v>1855</v>
      </c>
      <c r="AM310" s="13" t="s">
        <v>1155</v>
      </c>
      <c r="AN310" s="15"/>
      <c r="AO310" s="13"/>
      <c r="AP310" s="13" t="s">
        <v>196</v>
      </c>
      <c r="AQ310" s="16" t="n">
        <f aca="false">IFERROR(IF(AND(INDEX(Mob_Demob!$D$6:$D$14,MATCH(AM310,Mob_Demob!$A$6:$A$14,0))="",INDEX(Mob_Demob!$G$6:$G$14,MATCH(AM310,Mob_Demob!$A$6:$A$14,0))=""),"",ROUND(MAX(N(INDEX(Mob_Demob!$G$6:$G$14,MATCH(AM310,Mob_Demob!$A$6:$A$14,0))),N(INDEX(Mob_Demob!$D$6:$D$14,MATCH(AM310,Mob_Demob!$A$6:$A$14,0)))*Settings!$B$6)+IF(AP310="Y",N(INDEX(Mob_Demob!$I$6:$I$14,MATCH(AM310,Mob_Demob!$A$6:$A$14,0)))*Settings!$B$19,0)+N(INDEX(Mob_Demob!$L$6:$L$14,MATCH(AM310,Mob_Demob!$A$6:$A$14,0)))*N(INDEX(Mob_Demob!$K$6:$K$14,MATCH(AM310,Mob_Demob!$A$6:$A$14,0)))*Settings!$B$6+N(INDEX(Mob_Demob!$M$6:$M$14,MATCH(AM310,Mob_Demob!$A$6:$A$14,0)))*N(INDEX(Mob_Demob!$N$6:$N$14,MATCH(AM310,Mob_Demob!$A$6:$A$14,0))),0)),"")</f>
        <v>200</v>
      </c>
      <c r="AR310" s="16" t="n">
        <f aca="false">IF(AQ310="","",ROUND(AQ310*Settings!$B$18,0))</f>
        <v>200</v>
      </c>
      <c r="AS310" s="13" t="s">
        <v>1856</v>
      </c>
      <c r="AT310" s="14" t="s">
        <v>2138</v>
      </c>
      <c r="AU310" s="14" t="s">
        <v>341</v>
      </c>
    </row>
    <row r="311" customFormat="false" ht="53.7" hidden="false" customHeight="false" outlineLevel="0" collapsed="false">
      <c r="A311" s="21" t="s">
        <v>2139</v>
      </c>
      <c r="B311" s="21" t="s">
        <v>1847</v>
      </c>
      <c r="C311" s="21" t="s">
        <v>2107</v>
      </c>
      <c r="D311" s="21" t="s">
        <v>2130</v>
      </c>
      <c r="E311" s="22" t="s">
        <v>2140</v>
      </c>
      <c r="F311" s="13" t="s">
        <v>2110</v>
      </c>
      <c r="G311" s="13" t="n">
        <v>40</v>
      </c>
      <c r="H311" s="13" t="s">
        <v>462</v>
      </c>
      <c r="I311" s="14" t="s">
        <v>2111</v>
      </c>
      <c r="J311" s="15"/>
      <c r="K311" s="13"/>
      <c r="L311" s="13"/>
      <c r="M311" s="13" t="n">
        <v>40</v>
      </c>
      <c r="N311" s="13" t="s">
        <v>1737</v>
      </c>
      <c r="O311" s="13" t="s">
        <v>1844</v>
      </c>
      <c r="P311" s="13" t="s">
        <v>186</v>
      </c>
      <c r="Q311" s="20" t="n">
        <v>289</v>
      </c>
      <c r="R311" s="20" t="n">
        <v>807</v>
      </c>
      <c r="S311" s="20" t="n">
        <v>1780</v>
      </c>
      <c r="T311" s="16"/>
      <c r="U311" s="16"/>
      <c r="V311" s="13" t="s">
        <v>187</v>
      </c>
      <c r="W311" s="17"/>
      <c r="X311" s="13"/>
      <c r="Y311" s="13" t="s">
        <v>1853</v>
      </c>
      <c r="Z311" s="13" t="s">
        <v>1854</v>
      </c>
      <c r="AA311" s="13" t="s">
        <v>192</v>
      </c>
      <c r="AB311" s="13"/>
      <c r="AC311" s="17"/>
      <c r="AD311" s="13"/>
      <c r="AE311" s="19" t="n">
        <v>0</v>
      </c>
      <c r="AF311" s="19" t="n">
        <v>0</v>
      </c>
      <c r="AG311" s="19" t="n">
        <v>0</v>
      </c>
      <c r="AH311" s="13" t="s">
        <v>1739</v>
      </c>
      <c r="AI311" s="17"/>
      <c r="AJ311" s="13" t="s">
        <v>188</v>
      </c>
      <c r="AK311" s="13" t="s">
        <v>188</v>
      </c>
      <c r="AL311" s="14" t="s">
        <v>1855</v>
      </c>
      <c r="AM311" s="13" t="s">
        <v>1155</v>
      </c>
      <c r="AN311" s="15"/>
      <c r="AO311" s="13"/>
      <c r="AP311" s="13" t="s">
        <v>196</v>
      </c>
      <c r="AQ311" s="16" t="n">
        <f aca="false">IFERROR(IF(AND(INDEX(Mob_Demob!$D$6:$D$14,MATCH(AM311,Mob_Demob!$A$6:$A$14,0))="",INDEX(Mob_Demob!$G$6:$G$14,MATCH(AM311,Mob_Demob!$A$6:$A$14,0))=""),"",ROUND(MAX(N(INDEX(Mob_Demob!$G$6:$G$14,MATCH(AM311,Mob_Demob!$A$6:$A$14,0))),N(INDEX(Mob_Demob!$D$6:$D$14,MATCH(AM311,Mob_Demob!$A$6:$A$14,0)))*Settings!$B$6)+IF(AP311="Y",N(INDEX(Mob_Demob!$I$6:$I$14,MATCH(AM311,Mob_Demob!$A$6:$A$14,0)))*Settings!$B$19,0)+N(INDEX(Mob_Demob!$L$6:$L$14,MATCH(AM311,Mob_Demob!$A$6:$A$14,0)))*N(INDEX(Mob_Demob!$K$6:$K$14,MATCH(AM311,Mob_Demob!$A$6:$A$14,0)))*Settings!$B$6+N(INDEX(Mob_Demob!$M$6:$M$14,MATCH(AM311,Mob_Demob!$A$6:$A$14,0)))*N(INDEX(Mob_Demob!$N$6:$N$14,MATCH(AM311,Mob_Demob!$A$6:$A$14,0))),0)),"")</f>
        <v>200</v>
      </c>
      <c r="AR311" s="16" t="n">
        <f aca="false">IF(AQ311="","",ROUND(AQ311*Settings!$B$18,0))</f>
        <v>200</v>
      </c>
      <c r="AS311" s="13" t="s">
        <v>1856</v>
      </c>
      <c r="AT311" s="14" t="s">
        <v>2141</v>
      </c>
      <c r="AU311" s="14" t="s">
        <v>341</v>
      </c>
    </row>
    <row r="312" customFormat="false" ht="53.7" hidden="false" customHeight="false" outlineLevel="0" collapsed="false">
      <c r="A312" s="21" t="s">
        <v>2142</v>
      </c>
      <c r="B312" s="21" t="s">
        <v>1847</v>
      </c>
      <c r="C312" s="21" t="s">
        <v>2143</v>
      </c>
      <c r="D312" s="21" t="s">
        <v>2144</v>
      </c>
      <c r="E312" s="22" t="s">
        <v>2145</v>
      </c>
      <c r="F312" s="13" t="s">
        <v>2146</v>
      </c>
      <c r="G312" s="13" t="n">
        <v>55</v>
      </c>
      <c r="H312" s="13" t="s">
        <v>462</v>
      </c>
      <c r="I312" s="14" t="s">
        <v>2147</v>
      </c>
      <c r="J312" s="15"/>
      <c r="K312" s="13"/>
      <c r="L312" s="13"/>
      <c r="M312" s="13" t="n">
        <v>55</v>
      </c>
      <c r="N312" s="13" t="s">
        <v>184</v>
      </c>
      <c r="O312" s="13" t="s">
        <v>2148</v>
      </c>
      <c r="P312" s="13" t="s">
        <v>186</v>
      </c>
      <c r="Q312" s="16"/>
      <c r="R312" s="16"/>
      <c r="S312" s="16"/>
      <c r="T312" s="16"/>
      <c r="U312" s="16"/>
      <c r="V312" s="13" t="s">
        <v>187</v>
      </c>
      <c r="W312" s="17"/>
      <c r="X312" s="13"/>
      <c r="Y312" s="13"/>
      <c r="Z312" s="13"/>
      <c r="AA312" s="13" t="s">
        <v>188</v>
      </c>
      <c r="AB312" s="13" t="s">
        <v>2149</v>
      </c>
      <c r="AC312" s="18" t="n">
        <v>62.86</v>
      </c>
      <c r="AD312" s="13" t="s">
        <v>190</v>
      </c>
      <c r="AE312" s="19"/>
      <c r="AF312" s="19"/>
      <c r="AG312" s="19"/>
      <c r="AH312" s="13"/>
      <c r="AI312" s="17" t="str">
        <f aca="false">IF(OR(AC312="",AF312="",Settings!$B$5=""),"",ROUND(AC312-AF312*Settings!$B$5,2))</f>
        <v/>
      </c>
      <c r="AJ312" s="13" t="s">
        <v>192</v>
      </c>
      <c r="AK312" s="13" t="s">
        <v>193</v>
      </c>
      <c r="AL312" s="14" t="s">
        <v>1855</v>
      </c>
      <c r="AM312" s="13" t="s">
        <v>484</v>
      </c>
      <c r="AN312" s="15"/>
      <c r="AO312" s="13"/>
      <c r="AP312" s="13" t="s">
        <v>196</v>
      </c>
      <c r="AQ312" s="16" t="str">
        <f aca="false">IFERROR(IF(AND(INDEX(Mob_Demob!$D$6:$D$14,MATCH(AM312,Mob_Demob!$A$6:$A$14,0))="",INDEX(Mob_Demob!$G$6:$G$14,MATCH(AM312,Mob_Demob!$A$6:$A$14,0))=""),"",ROUND(MAX(N(INDEX(Mob_Demob!$G$6:$G$14,MATCH(AM312,Mob_Demob!$A$6:$A$14,0))),N(INDEX(Mob_Demob!$D$6:$D$14,MATCH(AM312,Mob_Demob!$A$6:$A$14,0)))*Settings!$B$6)+IF(AP312="Y",N(INDEX(Mob_Demob!$I$6:$I$14,MATCH(AM312,Mob_Demob!$A$6:$A$14,0)))*Settings!$B$19,0)+N(INDEX(Mob_Demob!$L$6:$L$14,MATCH(AM312,Mob_Demob!$A$6:$A$14,0)))*N(INDEX(Mob_Demob!$K$6:$K$14,MATCH(AM312,Mob_Demob!$A$6:$A$14,0)))*Settings!$B$6+N(INDEX(Mob_Demob!$M$6:$M$14,MATCH(AM312,Mob_Demob!$A$6:$A$14,0)))*N(INDEX(Mob_Demob!$N$6:$N$14,MATCH(AM312,Mob_Demob!$A$6:$A$14,0))),0)),"")</f>
        <v/>
      </c>
      <c r="AR312" s="16" t="str">
        <f aca="false">IF(AQ312="","",ROUND(AQ312*Settings!$B$18,0))</f>
        <v/>
      </c>
      <c r="AS312" s="13" t="s">
        <v>1856</v>
      </c>
      <c r="AT312" s="14" t="s">
        <v>2150</v>
      </c>
      <c r="AU312" s="14" t="s">
        <v>838</v>
      </c>
    </row>
    <row r="313" customFormat="false" ht="53.7" hidden="false" customHeight="false" outlineLevel="0" collapsed="false">
      <c r="A313" s="21" t="s">
        <v>2151</v>
      </c>
      <c r="B313" s="21" t="s">
        <v>1847</v>
      </c>
      <c r="C313" s="21" t="s">
        <v>2143</v>
      </c>
      <c r="D313" s="21" t="s">
        <v>2144</v>
      </c>
      <c r="E313" s="22" t="s">
        <v>2152</v>
      </c>
      <c r="F313" s="13" t="s">
        <v>2146</v>
      </c>
      <c r="G313" s="13" t="n">
        <v>80</v>
      </c>
      <c r="H313" s="13" t="s">
        <v>462</v>
      </c>
      <c r="I313" s="14" t="s">
        <v>2153</v>
      </c>
      <c r="J313" s="15"/>
      <c r="K313" s="13"/>
      <c r="L313" s="13"/>
      <c r="M313" s="13" t="n">
        <v>80</v>
      </c>
      <c r="N313" s="13" t="s">
        <v>184</v>
      </c>
      <c r="O313" s="13" t="s">
        <v>2148</v>
      </c>
      <c r="P313" s="13" t="s">
        <v>186</v>
      </c>
      <c r="Q313" s="16"/>
      <c r="R313" s="16"/>
      <c r="S313" s="16"/>
      <c r="T313" s="16"/>
      <c r="U313" s="16"/>
      <c r="V313" s="13" t="s">
        <v>187</v>
      </c>
      <c r="W313" s="17"/>
      <c r="X313" s="13"/>
      <c r="Y313" s="13"/>
      <c r="Z313" s="13"/>
      <c r="AA313" s="13" t="s">
        <v>188</v>
      </c>
      <c r="AB313" s="13" t="s">
        <v>2154</v>
      </c>
      <c r="AC313" s="18" t="n">
        <v>65.87</v>
      </c>
      <c r="AD313" s="13" t="s">
        <v>190</v>
      </c>
      <c r="AE313" s="19"/>
      <c r="AF313" s="19"/>
      <c r="AG313" s="19"/>
      <c r="AH313" s="13"/>
      <c r="AI313" s="17" t="str">
        <f aca="false">IF(OR(AC313="",AF313="",Settings!$B$5=""),"",ROUND(AC313-AF313*Settings!$B$5,2))</f>
        <v/>
      </c>
      <c r="AJ313" s="13" t="s">
        <v>192</v>
      </c>
      <c r="AK313" s="13" t="s">
        <v>193</v>
      </c>
      <c r="AL313" s="14" t="s">
        <v>1855</v>
      </c>
      <c r="AM313" s="13" t="s">
        <v>484</v>
      </c>
      <c r="AN313" s="15"/>
      <c r="AO313" s="13"/>
      <c r="AP313" s="13" t="s">
        <v>196</v>
      </c>
      <c r="AQ313" s="16" t="str">
        <f aca="false">IFERROR(IF(AND(INDEX(Mob_Demob!$D$6:$D$14,MATCH(AM313,Mob_Demob!$A$6:$A$14,0))="",INDEX(Mob_Demob!$G$6:$G$14,MATCH(AM313,Mob_Demob!$A$6:$A$14,0))=""),"",ROUND(MAX(N(INDEX(Mob_Demob!$G$6:$G$14,MATCH(AM313,Mob_Demob!$A$6:$A$14,0))),N(INDEX(Mob_Demob!$D$6:$D$14,MATCH(AM313,Mob_Demob!$A$6:$A$14,0)))*Settings!$B$6)+IF(AP313="Y",N(INDEX(Mob_Demob!$I$6:$I$14,MATCH(AM313,Mob_Demob!$A$6:$A$14,0)))*Settings!$B$19,0)+N(INDEX(Mob_Demob!$L$6:$L$14,MATCH(AM313,Mob_Demob!$A$6:$A$14,0)))*N(INDEX(Mob_Demob!$K$6:$K$14,MATCH(AM313,Mob_Demob!$A$6:$A$14,0)))*Settings!$B$6+N(INDEX(Mob_Demob!$M$6:$M$14,MATCH(AM313,Mob_Demob!$A$6:$A$14,0)))*N(INDEX(Mob_Demob!$N$6:$N$14,MATCH(AM313,Mob_Demob!$A$6:$A$14,0))),0)),"")</f>
        <v/>
      </c>
      <c r="AR313" s="16" t="str">
        <f aca="false">IF(AQ313="","",ROUND(AQ313*Settings!$B$18,0))</f>
        <v/>
      </c>
      <c r="AS313" s="13" t="s">
        <v>1856</v>
      </c>
      <c r="AT313" s="14" t="s">
        <v>2150</v>
      </c>
      <c r="AU313" s="14" t="s">
        <v>838</v>
      </c>
    </row>
    <row r="314" customFormat="false" ht="53.7" hidden="false" customHeight="false" outlineLevel="0" collapsed="false">
      <c r="A314" s="21" t="s">
        <v>2155</v>
      </c>
      <c r="B314" s="21" t="s">
        <v>1847</v>
      </c>
      <c r="C314" s="21" t="s">
        <v>2143</v>
      </c>
      <c r="D314" s="21" t="s">
        <v>2144</v>
      </c>
      <c r="E314" s="22" t="s">
        <v>2156</v>
      </c>
      <c r="F314" s="13" t="s">
        <v>2146</v>
      </c>
      <c r="G314" s="13" t="n">
        <v>100</v>
      </c>
      <c r="H314" s="13" t="s">
        <v>462</v>
      </c>
      <c r="I314" s="14" t="s">
        <v>2157</v>
      </c>
      <c r="J314" s="15"/>
      <c r="K314" s="13"/>
      <c r="L314" s="13"/>
      <c r="M314" s="13" t="n">
        <v>100</v>
      </c>
      <c r="N314" s="13" t="s">
        <v>184</v>
      </c>
      <c r="O314" s="13" t="s">
        <v>2148</v>
      </c>
      <c r="P314" s="13" t="s">
        <v>186</v>
      </c>
      <c r="Q314" s="16"/>
      <c r="R314" s="16"/>
      <c r="S314" s="16"/>
      <c r="T314" s="16"/>
      <c r="U314" s="16"/>
      <c r="V314" s="13" t="s">
        <v>187</v>
      </c>
      <c r="W314" s="17"/>
      <c r="X314" s="13"/>
      <c r="Y314" s="13"/>
      <c r="Z314" s="13"/>
      <c r="AA314" s="13" t="s">
        <v>188</v>
      </c>
      <c r="AB314" s="13" t="s">
        <v>2158</v>
      </c>
      <c r="AC314" s="18" t="n">
        <v>68.03</v>
      </c>
      <c r="AD314" s="13" t="s">
        <v>190</v>
      </c>
      <c r="AE314" s="19"/>
      <c r="AF314" s="19"/>
      <c r="AG314" s="19"/>
      <c r="AH314" s="13"/>
      <c r="AI314" s="17" t="str">
        <f aca="false">IF(OR(AC314="",AF314="",Settings!$B$5=""),"",ROUND(AC314-AF314*Settings!$B$5,2))</f>
        <v/>
      </c>
      <c r="AJ314" s="13" t="s">
        <v>192</v>
      </c>
      <c r="AK314" s="13" t="s">
        <v>193</v>
      </c>
      <c r="AL314" s="14" t="s">
        <v>1855</v>
      </c>
      <c r="AM314" s="13" t="s">
        <v>484</v>
      </c>
      <c r="AN314" s="15"/>
      <c r="AO314" s="13"/>
      <c r="AP314" s="13" t="s">
        <v>196</v>
      </c>
      <c r="AQ314" s="16" t="str">
        <f aca="false">IFERROR(IF(AND(INDEX(Mob_Demob!$D$6:$D$14,MATCH(AM314,Mob_Demob!$A$6:$A$14,0))="",INDEX(Mob_Demob!$G$6:$G$14,MATCH(AM314,Mob_Demob!$A$6:$A$14,0))=""),"",ROUND(MAX(N(INDEX(Mob_Demob!$G$6:$G$14,MATCH(AM314,Mob_Demob!$A$6:$A$14,0))),N(INDEX(Mob_Demob!$D$6:$D$14,MATCH(AM314,Mob_Demob!$A$6:$A$14,0)))*Settings!$B$6)+IF(AP314="Y",N(INDEX(Mob_Demob!$I$6:$I$14,MATCH(AM314,Mob_Demob!$A$6:$A$14,0)))*Settings!$B$19,0)+N(INDEX(Mob_Demob!$L$6:$L$14,MATCH(AM314,Mob_Demob!$A$6:$A$14,0)))*N(INDEX(Mob_Demob!$K$6:$K$14,MATCH(AM314,Mob_Demob!$A$6:$A$14,0)))*Settings!$B$6+N(INDEX(Mob_Demob!$M$6:$M$14,MATCH(AM314,Mob_Demob!$A$6:$A$14,0)))*N(INDEX(Mob_Demob!$N$6:$N$14,MATCH(AM314,Mob_Demob!$A$6:$A$14,0))),0)),"")</f>
        <v/>
      </c>
      <c r="AR314" s="16" t="str">
        <f aca="false">IF(AQ314="","",ROUND(AQ314*Settings!$B$18,0))</f>
        <v/>
      </c>
      <c r="AS314" s="13" t="s">
        <v>1856</v>
      </c>
      <c r="AT314" s="14" t="s">
        <v>2150</v>
      </c>
      <c r="AU314" s="14" t="s">
        <v>838</v>
      </c>
    </row>
    <row r="315" customFormat="false" ht="53.7" hidden="false" customHeight="false" outlineLevel="0" collapsed="false">
      <c r="A315" s="21" t="s">
        <v>2159</v>
      </c>
      <c r="B315" s="21" t="s">
        <v>1847</v>
      </c>
      <c r="C315" s="21" t="s">
        <v>2143</v>
      </c>
      <c r="D315" s="21" t="s">
        <v>2144</v>
      </c>
      <c r="E315" s="22" t="s">
        <v>2160</v>
      </c>
      <c r="F315" s="13" t="s">
        <v>2146</v>
      </c>
      <c r="G315" s="13" t="n">
        <v>120</v>
      </c>
      <c r="H315" s="13" t="s">
        <v>462</v>
      </c>
      <c r="I315" s="14" t="s">
        <v>2161</v>
      </c>
      <c r="J315" s="15"/>
      <c r="K315" s="13"/>
      <c r="L315" s="13"/>
      <c r="M315" s="13" t="n">
        <v>120</v>
      </c>
      <c r="N315" s="13" t="s">
        <v>184</v>
      </c>
      <c r="O315" s="13" t="s">
        <v>2148</v>
      </c>
      <c r="P315" s="13" t="s">
        <v>186</v>
      </c>
      <c r="Q315" s="16"/>
      <c r="R315" s="16"/>
      <c r="S315" s="16"/>
      <c r="T315" s="16"/>
      <c r="U315" s="16"/>
      <c r="V315" s="13" t="s">
        <v>187</v>
      </c>
      <c r="W315" s="17"/>
      <c r="X315" s="13"/>
      <c r="Y315" s="13"/>
      <c r="Z315" s="13"/>
      <c r="AA315" s="13" t="s">
        <v>188</v>
      </c>
      <c r="AB315" s="13" t="s">
        <v>2162</v>
      </c>
      <c r="AC315" s="18" t="n">
        <v>78.43</v>
      </c>
      <c r="AD315" s="13" t="s">
        <v>190</v>
      </c>
      <c r="AE315" s="19"/>
      <c r="AF315" s="19"/>
      <c r="AG315" s="19"/>
      <c r="AH315" s="13"/>
      <c r="AI315" s="17" t="str">
        <f aca="false">IF(OR(AC315="",AF315="",Settings!$B$5=""),"",ROUND(AC315-AF315*Settings!$B$5,2))</f>
        <v/>
      </c>
      <c r="AJ315" s="13" t="s">
        <v>192</v>
      </c>
      <c r="AK315" s="13" t="s">
        <v>193</v>
      </c>
      <c r="AL315" s="14" t="s">
        <v>1855</v>
      </c>
      <c r="AM315" s="13" t="s">
        <v>484</v>
      </c>
      <c r="AN315" s="15"/>
      <c r="AO315" s="13"/>
      <c r="AP315" s="13" t="s">
        <v>196</v>
      </c>
      <c r="AQ315" s="16" t="str">
        <f aca="false">IFERROR(IF(AND(INDEX(Mob_Demob!$D$6:$D$14,MATCH(AM315,Mob_Demob!$A$6:$A$14,0))="",INDEX(Mob_Demob!$G$6:$G$14,MATCH(AM315,Mob_Demob!$A$6:$A$14,0))=""),"",ROUND(MAX(N(INDEX(Mob_Demob!$G$6:$G$14,MATCH(AM315,Mob_Demob!$A$6:$A$14,0))),N(INDEX(Mob_Demob!$D$6:$D$14,MATCH(AM315,Mob_Demob!$A$6:$A$14,0)))*Settings!$B$6)+IF(AP315="Y",N(INDEX(Mob_Demob!$I$6:$I$14,MATCH(AM315,Mob_Demob!$A$6:$A$14,0)))*Settings!$B$19,0)+N(INDEX(Mob_Demob!$L$6:$L$14,MATCH(AM315,Mob_Demob!$A$6:$A$14,0)))*N(INDEX(Mob_Demob!$K$6:$K$14,MATCH(AM315,Mob_Demob!$A$6:$A$14,0)))*Settings!$B$6+N(INDEX(Mob_Demob!$M$6:$M$14,MATCH(AM315,Mob_Demob!$A$6:$A$14,0)))*N(INDEX(Mob_Demob!$N$6:$N$14,MATCH(AM315,Mob_Demob!$A$6:$A$14,0))),0)),"")</f>
        <v/>
      </c>
      <c r="AR315" s="16" t="str">
        <f aca="false">IF(AQ315="","",ROUND(AQ315*Settings!$B$18,0))</f>
        <v/>
      </c>
      <c r="AS315" s="13" t="s">
        <v>1856</v>
      </c>
      <c r="AT315" s="14" t="s">
        <v>2150</v>
      </c>
      <c r="AU315" s="14" t="s">
        <v>838</v>
      </c>
    </row>
    <row r="316" customFormat="false" ht="53.7" hidden="false" customHeight="false" outlineLevel="0" collapsed="false">
      <c r="A316" s="21" t="s">
        <v>2163</v>
      </c>
      <c r="B316" s="21" t="s">
        <v>1847</v>
      </c>
      <c r="C316" s="21" t="s">
        <v>2164</v>
      </c>
      <c r="D316" s="21" t="s">
        <v>2165</v>
      </c>
      <c r="E316" s="22" t="s">
        <v>2164</v>
      </c>
      <c r="F316" s="13" t="s">
        <v>141</v>
      </c>
      <c r="G316" s="13" t="s">
        <v>2165</v>
      </c>
      <c r="H316" s="13"/>
      <c r="I316" s="14"/>
      <c r="J316" s="15"/>
      <c r="K316" s="13"/>
      <c r="L316" s="13"/>
      <c r="M316" s="13"/>
      <c r="N316" s="13" t="s">
        <v>1737</v>
      </c>
      <c r="O316" s="13" t="s">
        <v>1844</v>
      </c>
      <c r="P316" s="13" t="s">
        <v>186</v>
      </c>
      <c r="Q316" s="16"/>
      <c r="R316" s="16"/>
      <c r="S316" s="16"/>
      <c r="T316" s="16"/>
      <c r="U316" s="16"/>
      <c r="V316" s="13" t="s">
        <v>187</v>
      </c>
      <c r="W316" s="17"/>
      <c r="X316" s="13"/>
      <c r="Y316" s="13"/>
      <c r="Z316" s="13"/>
      <c r="AA316" s="13" t="s">
        <v>188</v>
      </c>
      <c r="AB316" s="13"/>
      <c r="AC316" s="17"/>
      <c r="AD316" s="13"/>
      <c r="AE316" s="19"/>
      <c r="AF316" s="19"/>
      <c r="AG316" s="19"/>
      <c r="AH316" s="13"/>
      <c r="AI316" s="17"/>
      <c r="AJ316" s="13" t="s">
        <v>188</v>
      </c>
      <c r="AK316" s="13" t="s">
        <v>188</v>
      </c>
      <c r="AL316" s="14" t="s">
        <v>1855</v>
      </c>
      <c r="AM316" s="13" t="s">
        <v>507</v>
      </c>
      <c r="AN316" s="15"/>
      <c r="AO316" s="13"/>
      <c r="AP316" s="13" t="s">
        <v>196</v>
      </c>
      <c r="AQ316" s="16" t="n">
        <f aca="false">IFERROR(IF(AND(INDEX(Mob_Demob!$D$6:$D$14,MATCH(AM316,Mob_Demob!$A$6:$A$14,0))="",INDEX(Mob_Demob!$G$6:$G$14,MATCH(AM316,Mob_Demob!$A$6:$A$14,0))=""),"",ROUND(MAX(N(INDEX(Mob_Demob!$G$6:$G$14,MATCH(AM316,Mob_Demob!$A$6:$A$14,0))),N(INDEX(Mob_Demob!$D$6:$D$14,MATCH(AM316,Mob_Demob!$A$6:$A$14,0)))*Settings!$B$6)+IF(AP316="Y",N(INDEX(Mob_Demob!$I$6:$I$14,MATCH(AM316,Mob_Demob!$A$6:$A$14,0)))*Settings!$B$19,0)+N(INDEX(Mob_Demob!$L$6:$L$14,MATCH(AM316,Mob_Demob!$A$6:$A$14,0)))*N(INDEX(Mob_Demob!$K$6:$K$14,MATCH(AM316,Mob_Demob!$A$6:$A$14,0)))*Settings!$B$6+N(INDEX(Mob_Demob!$M$6:$M$14,MATCH(AM316,Mob_Demob!$A$6:$A$14,0)))*N(INDEX(Mob_Demob!$N$6:$N$14,MATCH(AM316,Mob_Demob!$A$6:$A$14,0))),0)),"")</f>
        <v>400</v>
      </c>
      <c r="AR316" s="16" t="n">
        <f aca="false">IF(AQ316="","",ROUND(AQ316*Settings!$B$18,0))</f>
        <v>400</v>
      </c>
      <c r="AS316" s="13" t="s">
        <v>1856</v>
      </c>
      <c r="AT316" s="14" t="s">
        <v>2166</v>
      </c>
      <c r="AU316" s="14" t="s">
        <v>251</v>
      </c>
    </row>
    <row r="317" customFormat="false" ht="53.7" hidden="false" customHeight="false" outlineLevel="0" collapsed="false">
      <c r="A317" s="11" t="s">
        <v>2167</v>
      </c>
      <c r="B317" s="11" t="s">
        <v>2168</v>
      </c>
      <c r="C317" s="11" t="s">
        <v>2169</v>
      </c>
      <c r="D317" s="11" t="s">
        <v>612</v>
      </c>
      <c r="E317" s="12" t="s">
        <v>2170</v>
      </c>
      <c r="F317" s="13" t="s">
        <v>2171</v>
      </c>
      <c r="G317" s="13" t="n">
        <v>3000</v>
      </c>
      <c r="H317" s="13" t="s">
        <v>334</v>
      </c>
      <c r="I317" s="14"/>
      <c r="J317" s="15"/>
      <c r="K317" s="13"/>
      <c r="L317" s="13" t="s">
        <v>2172</v>
      </c>
      <c r="M317" s="13" t="n">
        <v>13</v>
      </c>
      <c r="N317" s="13" t="s">
        <v>184</v>
      </c>
      <c r="O317" s="13" t="s">
        <v>336</v>
      </c>
      <c r="P317" s="13" t="s">
        <v>186</v>
      </c>
      <c r="Q317" s="16"/>
      <c r="R317" s="16"/>
      <c r="S317" s="16"/>
      <c r="T317" s="16"/>
      <c r="U317" s="16"/>
      <c r="V317" s="13" t="s">
        <v>187</v>
      </c>
      <c r="W317" s="17"/>
      <c r="X317" s="13"/>
      <c r="Y317" s="13"/>
      <c r="Z317" s="13"/>
      <c r="AA317" s="13" t="s">
        <v>188</v>
      </c>
      <c r="AB317" s="13"/>
      <c r="AC317" s="17"/>
      <c r="AD317" s="13"/>
      <c r="AE317" s="19"/>
      <c r="AF317" s="19"/>
      <c r="AG317" s="19"/>
      <c r="AH317" s="13"/>
      <c r="AI317" s="17"/>
      <c r="AJ317" s="13" t="s">
        <v>188</v>
      </c>
      <c r="AK317" s="13" t="s">
        <v>188</v>
      </c>
      <c r="AL317" s="14" t="s">
        <v>2173</v>
      </c>
      <c r="AM317" s="13" t="s">
        <v>507</v>
      </c>
      <c r="AN317" s="15"/>
      <c r="AO317" s="13"/>
      <c r="AP317" s="13" t="s">
        <v>196</v>
      </c>
      <c r="AQ317" s="16" t="n">
        <f aca="false">IFERROR(IF(AND(INDEX(Mob_Demob!$D$6:$D$14,MATCH(AM317,Mob_Demob!$A$6:$A$14,0))="",INDEX(Mob_Demob!$G$6:$G$14,MATCH(AM317,Mob_Demob!$A$6:$A$14,0))=""),"",ROUND(MAX(N(INDEX(Mob_Demob!$G$6:$G$14,MATCH(AM317,Mob_Demob!$A$6:$A$14,0))),N(INDEX(Mob_Demob!$D$6:$D$14,MATCH(AM317,Mob_Demob!$A$6:$A$14,0)))*Settings!$B$6)+IF(AP317="Y",N(INDEX(Mob_Demob!$I$6:$I$14,MATCH(AM317,Mob_Demob!$A$6:$A$14,0)))*Settings!$B$19,0)+N(INDEX(Mob_Demob!$L$6:$L$14,MATCH(AM317,Mob_Demob!$A$6:$A$14,0)))*N(INDEX(Mob_Demob!$K$6:$K$14,MATCH(AM317,Mob_Demob!$A$6:$A$14,0)))*Settings!$B$6+N(INDEX(Mob_Demob!$M$6:$M$14,MATCH(AM317,Mob_Demob!$A$6:$A$14,0)))*N(INDEX(Mob_Demob!$N$6:$N$14,MATCH(AM317,Mob_Demob!$A$6:$A$14,0))),0)),"")</f>
        <v>400</v>
      </c>
      <c r="AR317" s="16" t="n">
        <f aca="false">IF(AQ317="","",ROUND(AQ317*Settings!$B$18,0))</f>
        <v>400</v>
      </c>
      <c r="AS317" s="13" t="s">
        <v>2174</v>
      </c>
      <c r="AT317" s="14" t="s">
        <v>2175</v>
      </c>
      <c r="AU317" s="14" t="s">
        <v>466</v>
      </c>
    </row>
    <row r="318" customFormat="false" ht="53.7" hidden="false" customHeight="false" outlineLevel="0" collapsed="false">
      <c r="A318" s="11" t="s">
        <v>2176</v>
      </c>
      <c r="B318" s="11" t="s">
        <v>2168</v>
      </c>
      <c r="C318" s="11" t="s">
        <v>2169</v>
      </c>
      <c r="D318" s="11" t="s">
        <v>2177</v>
      </c>
      <c r="E318" s="12" t="s">
        <v>2178</v>
      </c>
      <c r="F318" s="13" t="s">
        <v>2171</v>
      </c>
      <c r="G318" s="13" t="n">
        <v>5000</v>
      </c>
      <c r="H318" s="13" t="s">
        <v>334</v>
      </c>
      <c r="I318" s="14" t="s">
        <v>2179</v>
      </c>
      <c r="J318" s="15"/>
      <c r="K318" s="13"/>
      <c r="L318" s="13" t="s">
        <v>2180</v>
      </c>
      <c r="M318" s="13" t="n">
        <v>19</v>
      </c>
      <c r="N318" s="13" t="s">
        <v>184</v>
      </c>
      <c r="O318" s="13" t="s">
        <v>336</v>
      </c>
      <c r="P318" s="13" t="s">
        <v>186</v>
      </c>
      <c r="Q318" s="20" t="n">
        <v>423</v>
      </c>
      <c r="R318" s="20" t="n">
        <v>1175</v>
      </c>
      <c r="S318" s="20" t="n">
        <v>2853</v>
      </c>
      <c r="T318" s="20" t="n">
        <v>2500</v>
      </c>
      <c r="U318" s="20" t="n">
        <v>3748</v>
      </c>
      <c r="V318" s="13" t="s">
        <v>187</v>
      </c>
      <c r="W318" s="17"/>
      <c r="X318" s="13"/>
      <c r="Y318" s="13" t="s">
        <v>2181</v>
      </c>
      <c r="Z318" s="13" t="s">
        <v>212</v>
      </c>
      <c r="AA318" s="13" t="s">
        <v>213</v>
      </c>
      <c r="AB318" s="13"/>
      <c r="AC318" s="17"/>
      <c r="AD318" s="13"/>
      <c r="AE318" s="19" t="n">
        <v>0.49</v>
      </c>
      <c r="AF318" s="19" t="n">
        <v>0.68</v>
      </c>
      <c r="AG318" s="19" t="n">
        <v>0.88</v>
      </c>
      <c r="AH318" s="13" t="s">
        <v>2182</v>
      </c>
      <c r="AI318" s="17"/>
      <c r="AJ318" s="13" t="s">
        <v>188</v>
      </c>
      <c r="AK318" s="13" t="s">
        <v>188</v>
      </c>
      <c r="AL318" s="14" t="s">
        <v>2173</v>
      </c>
      <c r="AM318" s="13" t="s">
        <v>507</v>
      </c>
      <c r="AN318" s="15"/>
      <c r="AO318" s="13"/>
      <c r="AP318" s="13" t="s">
        <v>196</v>
      </c>
      <c r="AQ318" s="16" t="n">
        <f aca="false">IFERROR(IF(AND(INDEX(Mob_Demob!$D$6:$D$14,MATCH(AM318,Mob_Demob!$A$6:$A$14,0))="",INDEX(Mob_Demob!$G$6:$G$14,MATCH(AM318,Mob_Demob!$A$6:$A$14,0))=""),"",ROUND(MAX(N(INDEX(Mob_Demob!$G$6:$G$14,MATCH(AM318,Mob_Demob!$A$6:$A$14,0))),N(INDEX(Mob_Demob!$D$6:$D$14,MATCH(AM318,Mob_Demob!$A$6:$A$14,0)))*Settings!$B$6)+IF(AP318="Y",N(INDEX(Mob_Demob!$I$6:$I$14,MATCH(AM318,Mob_Demob!$A$6:$A$14,0)))*Settings!$B$19,0)+N(INDEX(Mob_Demob!$L$6:$L$14,MATCH(AM318,Mob_Demob!$A$6:$A$14,0)))*N(INDEX(Mob_Demob!$K$6:$K$14,MATCH(AM318,Mob_Demob!$A$6:$A$14,0)))*Settings!$B$6+N(INDEX(Mob_Demob!$M$6:$M$14,MATCH(AM318,Mob_Demob!$A$6:$A$14,0)))*N(INDEX(Mob_Demob!$N$6:$N$14,MATCH(AM318,Mob_Demob!$A$6:$A$14,0))),0)),"")</f>
        <v>400</v>
      </c>
      <c r="AR318" s="16" t="n">
        <f aca="false">IF(AQ318="","",ROUND(AQ318*Settings!$B$18,0))</f>
        <v>400</v>
      </c>
      <c r="AS318" s="13" t="s">
        <v>2174</v>
      </c>
      <c r="AT318" s="14" t="s">
        <v>2183</v>
      </c>
      <c r="AU318" s="14" t="s">
        <v>341</v>
      </c>
    </row>
    <row r="319" customFormat="false" ht="53.7" hidden="false" customHeight="false" outlineLevel="0" collapsed="false">
      <c r="A319" s="11" t="s">
        <v>2184</v>
      </c>
      <c r="B319" s="11" t="s">
        <v>2168</v>
      </c>
      <c r="C319" s="11" t="s">
        <v>2169</v>
      </c>
      <c r="D319" s="11" t="s">
        <v>2185</v>
      </c>
      <c r="E319" s="12" t="s">
        <v>2186</v>
      </c>
      <c r="F319" s="13" t="s">
        <v>2171</v>
      </c>
      <c r="G319" s="13" t="n">
        <v>5000</v>
      </c>
      <c r="H319" s="13" t="s">
        <v>334</v>
      </c>
      <c r="I319" s="14" t="s">
        <v>2187</v>
      </c>
      <c r="J319" s="15"/>
      <c r="K319" s="13"/>
      <c r="L319" s="13" t="s">
        <v>2180</v>
      </c>
      <c r="M319" s="13" t="n">
        <v>20</v>
      </c>
      <c r="N319" s="13" t="s">
        <v>1737</v>
      </c>
      <c r="O319" s="13" t="s">
        <v>336</v>
      </c>
      <c r="P319" s="13" t="s">
        <v>186</v>
      </c>
      <c r="Q319" s="16"/>
      <c r="R319" s="16"/>
      <c r="S319" s="16"/>
      <c r="T319" s="16"/>
      <c r="U319" s="16"/>
      <c r="V319" s="13" t="s">
        <v>187</v>
      </c>
      <c r="W319" s="17"/>
      <c r="X319" s="13"/>
      <c r="Y319" s="13"/>
      <c r="Z319" s="13"/>
      <c r="AA319" s="13" t="s">
        <v>188</v>
      </c>
      <c r="AB319" s="13"/>
      <c r="AC319" s="17"/>
      <c r="AD319" s="13"/>
      <c r="AE319" s="19" t="n">
        <v>0</v>
      </c>
      <c r="AF319" s="19" t="n">
        <v>0</v>
      </c>
      <c r="AG319" s="19" t="n">
        <v>0</v>
      </c>
      <c r="AH319" s="13" t="s">
        <v>1739</v>
      </c>
      <c r="AI319" s="17"/>
      <c r="AJ319" s="13" t="s">
        <v>188</v>
      </c>
      <c r="AK319" s="13" t="s">
        <v>188</v>
      </c>
      <c r="AL319" s="14" t="s">
        <v>2173</v>
      </c>
      <c r="AM319" s="13" t="s">
        <v>507</v>
      </c>
      <c r="AN319" s="15"/>
      <c r="AO319" s="13"/>
      <c r="AP319" s="13" t="s">
        <v>196</v>
      </c>
      <c r="AQ319" s="16" t="n">
        <f aca="false">IFERROR(IF(AND(INDEX(Mob_Demob!$D$6:$D$14,MATCH(AM319,Mob_Demob!$A$6:$A$14,0))="",INDEX(Mob_Demob!$G$6:$G$14,MATCH(AM319,Mob_Demob!$A$6:$A$14,0))=""),"",ROUND(MAX(N(INDEX(Mob_Demob!$G$6:$G$14,MATCH(AM319,Mob_Demob!$A$6:$A$14,0))),N(INDEX(Mob_Demob!$D$6:$D$14,MATCH(AM319,Mob_Demob!$A$6:$A$14,0)))*Settings!$B$6)+IF(AP319="Y",N(INDEX(Mob_Demob!$I$6:$I$14,MATCH(AM319,Mob_Demob!$A$6:$A$14,0)))*Settings!$B$19,0)+N(INDEX(Mob_Demob!$L$6:$L$14,MATCH(AM319,Mob_Demob!$A$6:$A$14,0)))*N(INDEX(Mob_Demob!$K$6:$K$14,MATCH(AM319,Mob_Demob!$A$6:$A$14,0)))*Settings!$B$6+N(INDEX(Mob_Demob!$M$6:$M$14,MATCH(AM319,Mob_Demob!$A$6:$A$14,0)))*N(INDEX(Mob_Demob!$N$6:$N$14,MATCH(AM319,Mob_Demob!$A$6:$A$14,0))),0)),"")</f>
        <v>400</v>
      </c>
      <c r="AR319" s="16" t="n">
        <f aca="false">IF(AQ319="","",ROUND(AQ319*Settings!$B$18,0))</f>
        <v>400</v>
      </c>
      <c r="AS319" s="13" t="s">
        <v>2174</v>
      </c>
      <c r="AT319" s="14" t="s">
        <v>2175</v>
      </c>
      <c r="AU319" s="14" t="s">
        <v>251</v>
      </c>
    </row>
    <row r="320" customFormat="false" ht="53.7" hidden="false" customHeight="false" outlineLevel="0" collapsed="false">
      <c r="A320" s="11" t="s">
        <v>2188</v>
      </c>
      <c r="B320" s="11" t="s">
        <v>2168</v>
      </c>
      <c r="C320" s="11" t="s">
        <v>2169</v>
      </c>
      <c r="D320" s="11" t="s">
        <v>2189</v>
      </c>
      <c r="E320" s="12" t="s">
        <v>2190</v>
      </c>
      <c r="F320" s="13" t="s">
        <v>2171</v>
      </c>
      <c r="G320" s="13" t="n">
        <v>6000</v>
      </c>
      <c r="H320" s="13" t="s">
        <v>334</v>
      </c>
      <c r="I320" s="14" t="s">
        <v>2191</v>
      </c>
      <c r="J320" s="15"/>
      <c r="K320" s="13" t="n">
        <v>74</v>
      </c>
      <c r="L320" s="13" t="s">
        <v>2192</v>
      </c>
      <c r="M320" s="13" t="n">
        <v>42</v>
      </c>
      <c r="N320" s="13" t="s">
        <v>184</v>
      </c>
      <c r="O320" s="13" t="s">
        <v>336</v>
      </c>
      <c r="P320" s="13" t="s">
        <v>186</v>
      </c>
      <c r="Q320" s="20" t="n">
        <v>550</v>
      </c>
      <c r="R320" s="20" t="n">
        <v>1500</v>
      </c>
      <c r="S320" s="20" t="n">
        <v>3300</v>
      </c>
      <c r="T320" s="20" t="n">
        <v>2370</v>
      </c>
      <c r="U320" s="20" t="n">
        <v>5590</v>
      </c>
      <c r="V320" s="13" t="s">
        <v>187</v>
      </c>
      <c r="W320" s="17"/>
      <c r="X320" s="13"/>
      <c r="Y320" s="13" t="s">
        <v>2193</v>
      </c>
      <c r="Z320" s="13" t="s">
        <v>212</v>
      </c>
      <c r="AA320" s="13" t="s">
        <v>213</v>
      </c>
      <c r="AB320" s="13" t="s">
        <v>2194</v>
      </c>
      <c r="AC320" s="18" t="n">
        <v>94.49</v>
      </c>
      <c r="AD320" s="13" t="s">
        <v>190</v>
      </c>
      <c r="AE320" s="19" t="n">
        <v>3.64</v>
      </c>
      <c r="AF320" s="19" t="n">
        <v>4.93</v>
      </c>
      <c r="AG320" s="19" t="n">
        <v>6.23</v>
      </c>
      <c r="AH320" s="13" t="s">
        <v>2195</v>
      </c>
      <c r="AI320" s="17" t="n">
        <f aca="false">IF(OR(AC320="",AF320="",Settings!$B$5=""),"",ROUND(AC320-AF320*Settings!$B$5,2))</f>
        <v>76.45</v>
      </c>
      <c r="AJ320" s="13" t="s">
        <v>192</v>
      </c>
      <c r="AK320" s="13" t="s">
        <v>193</v>
      </c>
      <c r="AL320" s="14" t="s">
        <v>2173</v>
      </c>
      <c r="AM320" s="13" t="s">
        <v>507</v>
      </c>
      <c r="AN320" s="15"/>
      <c r="AO320" s="13"/>
      <c r="AP320" s="13" t="s">
        <v>196</v>
      </c>
      <c r="AQ320" s="16" t="n">
        <f aca="false">IFERROR(IF(AND(INDEX(Mob_Demob!$D$6:$D$14,MATCH(AM320,Mob_Demob!$A$6:$A$14,0))="",INDEX(Mob_Demob!$G$6:$G$14,MATCH(AM320,Mob_Demob!$A$6:$A$14,0))=""),"",ROUND(MAX(N(INDEX(Mob_Demob!$G$6:$G$14,MATCH(AM320,Mob_Demob!$A$6:$A$14,0))),N(INDEX(Mob_Demob!$D$6:$D$14,MATCH(AM320,Mob_Demob!$A$6:$A$14,0)))*Settings!$B$6)+IF(AP320="Y",N(INDEX(Mob_Demob!$I$6:$I$14,MATCH(AM320,Mob_Demob!$A$6:$A$14,0)))*Settings!$B$19,0)+N(INDEX(Mob_Demob!$L$6:$L$14,MATCH(AM320,Mob_Demob!$A$6:$A$14,0)))*N(INDEX(Mob_Demob!$K$6:$K$14,MATCH(AM320,Mob_Demob!$A$6:$A$14,0)))*Settings!$B$6+N(INDEX(Mob_Demob!$M$6:$M$14,MATCH(AM320,Mob_Demob!$A$6:$A$14,0)))*N(INDEX(Mob_Demob!$N$6:$N$14,MATCH(AM320,Mob_Demob!$A$6:$A$14,0))),0)),"")</f>
        <v>400</v>
      </c>
      <c r="AR320" s="16" t="n">
        <f aca="false">IF(AQ320="","",ROUND(AQ320*Settings!$B$18,0))</f>
        <v>400</v>
      </c>
      <c r="AS320" s="13" t="s">
        <v>2174</v>
      </c>
      <c r="AT320" s="14" t="s">
        <v>2196</v>
      </c>
      <c r="AU320" s="14"/>
    </row>
    <row r="321" customFormat="false" ht="53.7" hidden="false" customHeight="false" outlineLevel="0" collapsed="false">
      <c r="A321" s="11" t="s">
        <v>2197</v>
      </c>
      <c r="B321" s="11" t="s">
        <v>2168</v>
      </c>
      <c r="C321" s="11" t="s">
        <v>2169</v>
      </c>
      <c r="D321" s="11" t="s">
        <v>2189</v>
      </c>
      <c r="E321" s="12" t="s">
        <v>2198</v>
      </c>
      <c r="F321" s="13" t="s">
        <v>2171</v>
      </c>
      <c r="G321" s="13" t="n">
        <v>7000</v>
      </c>
      <c r="H321" s="13" t="s">
        <v>334</v>
      </c>
      <c r="I321" s="14"/>
      <c r="J321" s="15"/>
      <c r="K321" s="13"/>
      <c r="L321" s="13" t="s">
        <v>2199</v>
      </c>
      <c r="M321" s="13" t="n">
        <v>44</v>
      </c>
      <c r="N321" s="13" t="s">
        <v>184</v>
      </c>
      <c r="O321" s="13" t="s">
        <v>336</v>
      </c>
      <c r="P321" s="13" t="s">
        <v>186</v>
      </c>
      <c r="Q321" s="16"/>
      <c r="R321" s="16"/>
      <c r="S321" s="16"/>
      <c r="T321" s="16"/>
      <c r="U321" s="16"/>
      <c r="V321" s="13" t="s">
        <v>187</v>
      </c>
      <c r="W321" s="17"/>
      <c r="X321" s="13"/>
      <c r="Y321" s="13"/>
      <c r="Z321" s="13"/>
      <c r="AA321" s="13" t="s">
        <v>188</v>
      </c>
      <c r="AB321" s="13"/>
      <c r="AC321" s="17"/>
      <c r="AD321" s="13"/>
      <c r="AE321" s="19"/>
      <c r="AF321" s="19"/>
      <c r="AG321" s="19"/>
      <c r="AH321" s="13"/>
      <c r="AI321" s="17"/>
      <c r="AJ321" s="13" t="s">
        <v>188</v>
      </c>
      <c r="AK321" s="13" t="s">
        <v>188</v>
      </c>
      <c r="AL321" s="14" t="s">
        <v>2173</v>
      </c>
      <c r="AM321" s="13" t="s">
        <v>507</v>
      </c>
      <c r="AN321" s="15"/>
      <c r="AO321" s="13"/>
      <c r="AP321" s="13" t="s">
        <v>196</v>
      </c>
      <c r="AQ321" s="16" t="n">
        <f aca="false">IFERROR(IF(AND(INDEX(Mob_Demob!$D$6:$D$14,MATCH(AM321,Mob_Demob!$A$6:$A$14,0))="",INDEX(Mob_Demob!$G$6:$G$14,MATCH(AM321,Mob_Demob!$A$6:$A$14,0))=""),"",ROUND(MAX(N(INDEX(Mob_Demob!$G$6:$G$14,MATCH(AM321,Mob_Demob!$A$6:$A$14,0))),N(INDEX(Mob_Demob!$D$6:$D$14,MATCH(AM321,Mob_Demob!$A$6:$A$14,0)))*Settings!$B$6)+IF(AP321="Y",N(INDEX(Mob_Demob!$I$6:$I$14,MATCH(AM321,Mob_Demob!$A$6:$A$14,0)))*Settings!$B$19,0)+N(INDEX(Mob_Demob!$L$6:$L$14,MATCH(AM321,Mob_Demob!$A$6:$A$14,0)))*N(INDEX(Mob_Demob!$K$6:$K$14,MATCH(AM321,Mob_Demob!$A$6:$A$14,0)))*Settings!$B$6+N(INDEX(Mob_Demob!$M$6:$M$14,MATCH(AM321,Mob_Demob!$A$6:$A$14,0)))*N(INDEX(Mob_Demob!$N$6:$N$14,MATCH(AM321,Mob_Demob!$A$6:$A$14,0))),0)),"")</f>
        <v>400</v>
      </c>
      <c r="AR321" s="16" t="n">
        <f aca="false">IF(AQ321="","",ROUND(AQ321*Settings!$B$18,0))</f>
        <v>400</v>
      </c>
      <c r="AS321" s="13" t="s">
        <v>2174</v>
      </c>
      <c r="AT321" s="14" t="s">
        <v>2175</v>
      </c>
      <c r="AU321" s="14" t="s">
        <v>466</v>
      </c>
    </row>
    <row r="322" customFormat="false" ht="64.15" hidden="false" customHeight="false" outlineLevel="0" collapsed="false">
      <c r="A322" s="11" t="s">
        <v>2200</v>
      </c>
      <c r="B322" s="11" t="s">
        <v>2168</v>
      </c>
      <c r="C322" s="11" t="s">
        <v>2169</v>
      </c>
      <c r="D322" s="11" t="s">
        <v>2189</v>
      </c>
      <c r="E322" s="12" t="s">
        <v>2201</v>
      </c>
      <c r="F322" s="13" t="s">
        <v>2171</v>
      </c>
      <c r="G322" s="13" t="n">
        <v>9000</v>
      </c>
      <c r="H322" s="13" t="s">
        <v>334</v>
      </c>
      <c r="I322" s="14" t="s">
        <v>2202</v>
      </c>
      <c r="J322" s="15"/>
      <c r="K322" s="13" t="n">
        <v>111</v>
      </c>
      <c r="L322" s="13" t="s">
        <v>2203</v>
      </c>
      <c r="M322" s="13" t="n">
        <v>43</v>
      </c>
      <c r="N322" s="13" t="s">
        <v>184</v>
      </c>
      <c r="O322" s="13" t="s">
        <v>336</v>
      </c>
      <c r="P322" s="13" t="s">
        <v>186</v>
      </c>
      <c r="Q322" s="20" t="n">
        <v>675</v>
      </c>
      <c r="R322" s="20" t="n">
        <v>1500</v>
      </c>
      <c r="S322" s="20" t="n">
        <v>3780</v>
      </c>
      <c r="T322" s="20" t="n">
        <v>3300</v>
      </c>
      <c r="U322" s="20" t="n">
        <v>5845</v>
      </c>
      <c r="V322" s="13" t="s">
        <v>187</v>
      </c>
      <c r="W322" s="17"/>
      <c r="X322" s="13"/>
      <c r="Y322" s="13" t="s">
        <v>2193</v>
      </c>
      <c r="Z322" s="13" t="s">
        <v>212</v>
      </c>
      <c r="AA322" s="13" t="s">
        <v>213</v>
      </c>
      <c r="AB322" s="13" t="s">
        <v>2204</v>
      </c>
      <c r="AC322" s="18" t="n">
        <v>102.26</v>
      </c>
      <c r="AD322" s="13" t="s">
        <v>190</v>
      </c>
      <c r="AE322" s="19" t="n">
        <v>2.87</v>
      </c>
      <c r="AF322" s="19" t="n">
        <v>3.84</v>
      </c>
      <c r="AG322" s="19" t="n">
        <v>4.82</v>
      </c>
      <c r="AH322" s="13" t="s">
        <v>2205</v>
      </c>
      <c r="AI322" s="17" t="n">
        <f aca="false">IF(OR(AC322="",AF322="",Settings!$B$5=""),"",ROUND(AC322-AF322*Settings!$B$5,2))</f>
        <v>88.21</v>
      </c>
      <c r="AJ322" s="13" t="s">
        <v>192</v>
      </c>
      <c r="AK322" s="13" t="s">
        <v>193</v>
      </c>
      <c r="AL322" s="14" t="s">
        <v>2173</v>
      </c>
      <c r="AM322" s="13" t="s">
        <v>507</v>
      </c>
      <c r="AN322" s="15"/>
      <c r="AO322" s="13"/>
      <c r="AP322" s="13" t="s">
        <v>196</v>
      </c>
      <c r="AQ322" s="16" t="n">
        <f aca="false">IFERROR(IF(AND(INDEX(Mob_Demob!$D$6:$D$14,MATCH(AM322,Mob_Demob!$A$6:$A$14,0))="",INDEX(Mob_Demob!$G$6:$G$14,MATCH(AM322,Mob_Demob!$A$6:$A$14,0))=""),"",ROUND(MAX(N(INDEX(Mob_Demob!$G$6:$G$14,MATCH(AM322,Mob_Demob!$A$6:$A$14,0))),N(INDEX(Mob_Demob!$D$6:$D$14,MATCH(AM322,Mob_Demob!$A$6:$A$14,0)))*Settings!$B$6)+IF(AP322="Y",N(INDEX(Mob_Demob!$I$6:$I$14,MATCH(AM322,Mob_Demob!$A$6:$A$14,0)))*Settings!$B$19,0)+N(INDEX(Mob_Demob!$L$6:$L$14,MATCH(AM322,Mob_Demob!$A$6:$A$14,0)))*N(INDEX(Mob_Demob!$K$6:$K$14,MATCH(AM322,Mob_Demob!$A$6:$A$14,0)))*Settings!$B$6+N(INDEX(Mob_Demob!$M$6:$M$14,MATCH(AM322,Mob_Demob!$A$6:$A$14,0)))*N(INDEX(Mob_Demob!$N$6:$N$14,MATCH(AM322,Mob_Demob!$A$6:$A$14,0))),0)),"")</f>
        <v>400</v>
      </c>
      <c r="AR322" s="16" t="n">
        <f aca="false">IF(AQ322="","",ROUND(AQ322*Settings!$B$18,0))</f>
        <v>400</v>
      </c>
      <c r="AS322" s="13" t="s">
        <v>2174</v>
      </c>
      <c r="AT322" s="14" t="s">
        <v>2206</v>
      </c>
      <c r="AU322" s="14"/>
    </row>
    <row r="323" customFormat="false" ht="53.7" hidden="false" customHeight="false" outlineLevel="0" collapsed="false">
      <c r="A323" s="11" t="s">
        <v>2207</v>
      </c>
      <c r="B323" s="11" t="s">
        <v>2168</v>
      </c>
      <c r="C323" s="11" t="s">
        <v>2169</v>
      </c>
      <c r="D323" s="11" t="s">
        <v>2189</v>
      </c>
      <c r="E323" s="12" t="s">
        <v>2208</v>
      </c>
      <c r="F323" s="13" t="s">
        <v>2171</v>
      </c>
      <c r="G323" s="13" t="n">
        <v>10000</v>
      </c>
      <c r="H323" s="13" t="s">
        <v>334</v>
      </c>
      <c r="I323" s="14" t="s">
        <v>2209</v>
      </c>
      <c r="J323" s="15"/>
      <c r="K323" s="13"/>
      <c r="L323" s="13" t="s">
        <v>2210</v>
      </c>
      <c r="M323" s="13" t="n">
        <v>55</v>
      </c>
      <c r="N323" s="13" t="s">
        <v>184</v>
      </c>
      <c r="O323" s="13" t="s">
        <v>336</v>
      </c>
      <c r="P323" s="13" t="s">
        <v>186</v>
      </c>
      <c r="Q323" s="20" t="n">
        <v>825</v>
      </c>
      <c r="R323" s="20" t="n">
        <v>2100</v>
      </c>
      <c r="S323" s="20" t="n">
        <v>4500</v>
      </c>
      <c r="T323" s="20" t="n">
        <v>4250</v>
      </c>
      <c r="U323" s="20" t="n">
        <v>8004</v>
      </c>
      <c r="V323" s="13" t="s">
        <v>187</v>
      </c>
      <c r="W323" s="17"/>
      <c r="X323" s="13"/>
      <c r="Y323" s="13" t="s">
        <v>2181</v>
      </c>
      <c r="Z323" s="13" t="s">
        <v>212</v>
      </c>
      <c r="AA323" s="13" t="s">
        <v>213</v>
      </c>
      <c r="AB323" s="13"/>
      <c r="AC323" s="17"/>
      <c r="AD323" s="13"/>
      <c r="AE323" s="19" t="n">
        <v>1.56</v>
      </c>
      <c r="AF323" s="19" t="n">
        <v>1.86</v>
      </c>
      <c r="AG323" s="19" t="n">
        <v>2.15</v>
      </c>
      <c r="AH323" s="13" t="s">
        <v>2211</v>
      </c>
      <c r="AI323" s="17"/>
      <c r="AJ323" s="13" t="s">
        <v>188</v>
      </c>
      <c r="AK323" s="13" t="s">
        <v>188</v>
      </c>
      <c r="AL323" s="14" t="s">
        <v>2173</v>
      </c>
      <c r="AM323" s="13" t="s">
        <v>507</v>
      </c>
      <c r="AN323" s="15"/>
      <c r="AO323" s="13"/>
      <c r="AP323" s="13" t="s">
        <v>196</v>
      </c>
      <c r="AQ323" s="16" t="n">
        <f aca="false">IFERROR(IF(AND(INDEX(Mob_Demob!$D$6:$D$14,MATCH(AM323,Mob_Demob!$A$6:$A$14,0))="",INDEX(Mob_Demob!$G$6:$G$14,MATCH(AM323,Mob_Demob!$A$6:$A$14,0))=""),"",ROUND(MAX(N(INDEX(Mob_Demob!$G$6:$G$14,MATCH(AM323,Mob_Demob!$A$6:$A$14,0))),N(INDEX(Mob_Demob!$D$6:$D$14,MATCH(AM323,Mob_Demob!$A$6:$A$14,0)))*Settings!$B$6)+IF(AP323="Y",N(INDEX(Mob_Demob!$I$6:$I$14,MATCH(AM323,Mob_Demob!$A$6:$A$14,0)))*Settings!$B$19,0)+N(INDEX(Mob_Demob!$L$6:$L$14,MATCH(AM323,Mob_Demob!$A$6:$A$14,0)))*N(INDEX(Mob_Demob!$K$6:$K$14,MATCH(AM323,Mob_Demob!$A$6:$A$14,0)))*Settings!$B$6+N(INDEX(Mob_Demob!$M$6:$M$14,MATCH(AM323,Mob_Demob!$A$6:$A$14,0)))*N(INDEX(Mob_Demob!$N$6:$N$14,MATCH(AM323,Mob_Demob!$A$6:$A$14,0))),0)),"")</f>
        <v>400</v>
      </c>
      <c r="AR323" s="16" t="n">
        <f aca="false">IF(AQ323="","",ROUND(AQ323*Settings!$B$18,0))</f>
        <v>400</v>
      </c>
      <c r="AS323" s="13" t="s">
        <v>2174</v>
      </c>
      <c r="AT323" s="14" t="s">
        <v>2212</v>
      </c>
      <c r="AU323" s="14" t="s">
        <v>2213</v>
      </c>
    </row>
    <row r="324" customFormat="false" ht="53.7" hidden="false" customHeight="false" outlineLevel="0" collapsed="false">
      <c r="A324" s="11" t="s">
        <v>2214</v>
      </c>
      <c r="B324" s="11" t="s">
        <v>2168</v>
      </c>
      <c r="C324" s="11" t="s">
        <v>2169</v>
      </c>
      <c r="D324" s="11" t="s">
        <v>2215</v>
      </c>
      <c r="E324" s="12" t="s">
        <v>2216</v>
      </c>
      <c r="F324" s="13" t="s">
        <v>2171</v>
      </c>
      <c r="G324" s="13" t="n">
        <v>10000</v>
      </c>
      <c r="H324" s="13" t="s">
        <v>334</v>
      </c>
      <c r="I324" s="14" t="s">
        <v>2217</v>
      </c>
      <c r="J324" s="15"/>
      <c r="K324" s="13"/>
      <c r="L324" s="13" t="s">
        <v>2210</v>
      </c>
      <c r="M324" s="13" t="n">
        <v>62</v>
      </c>
      <c r="N324" s="13" t="s">
        <v>184</v>
      </c>
      <c r="O324" s="13" t="s">
        <v>336</v>
      </c>
      <c r="P324" s="13" t="s">
        <v>186</v>
      </c>
      <c r="Q324" s="20" t="n">
        <v>500</v>
      </c>
      <c r="R324" s="20" t="n">
        <v>1200</v>
      </c>
      <c r="S324" s="20" t="n">
        <v>3000</v>
      </c>
      <c r="T324" s="16"/>
      <c r="U324" s="16"/>
      <c r="V324" s="13" t="s">
        <v>187</v>
      </c>
      <c r="W324" s="17"/>
      <c r="X324" s="13"/>
      <c r="Y324" s="13" t="s">
        <v>1001</v>
      </c>
      <c r="Z324" s="13" t="s">
        <v>1002</v>
      </c>
      <c r="AA324" s="13" t="s">
        <v>192</v>
      </c>
      <c r="AB324" s="13"/>
      <c r="AC324" s="17"/>
      <c r="AD324" s="13"/>
      <c r="AE324" s="19"/>
      <c r="AF324" s="19"/>
      <c r="AG324" s="19"/>
      <c r="AH324" s="13"/>
      <c r="AI324" s="17"/>
      <c r="AJ324" s="13" t="s">
        <v>188</v>
      </c>
      <c r="AK324" s="13" t="s">
        <v>188</v>
      </c>
      <c r="AL324" s="14" t="s">
        <v>2173</v>
      </c>
      <c r="AM324" s="13" t="s">
        <v>507</v>
      </c>
      <c r="AN324" s="15"/>
      <c r="AO324" s="13"/>
      <c r="AP324" s="13" t="s">
        <v>196</v>
      </c>
      <c r="AQ324" s="16" t="n">
        <f aca="false">IFERROR(IF(AND(INDEX(Mob_Demob!$D$6:$D$14,MATCH(AM324,Mob_Demob!$A$6:$A$14,0))="",INDEX(Mob_Demob!$G$6:$G$14,MATCH(AM324,Mob_Demob!$A$6:$A$14,0))=""),"",ROUND(MAX(N(INDEX(Mob_Demob!$G$6:$G$14,MATCH(AM324,Mob_Demob!$A$6:$A$14,0))),N(INDEX(Mob_Demob!$D$6:$D$14,MATCH(AM324,Mob_Demob!$A$6:$A$14,0)))*Settings!$B$6)+IF(AP324="Y",N(INDEX(Mob_Demob!$I$6:$I$14,MATCH(AM324,Mob_Demob!$A$6:$A$14,0)))*Settings!$B$19,0)+N(INDEX(Mob_Demob!$L$6:$L$14,MATCH(AM324,Mob_Demob!$A$6:$A$14,0)))*N(INDEX(Mob_Demob!$K$6:$K$14,MATCH(AM324,Mob_Demob!$A$6:$A$14,0)))*Settings!$B$6+N(INDEX(Mob_Demob!$M$6:$M$14,MATCH(AM324,Mob_Demob!$A$6:$A$14,0)))*N(INDEX(Mob_Demob!$N$6:$N$14,MATCH(AM324,Mob_Demob!$A$6:$A$14,0))),0)),"")</f>
        <v>400</v>
      </c>
      <c r="AR324" s="16" t="n">
        <f aca="false">IF(AQ324="","",ROUND(AQ324*Settings!$B$18,0))</f>
        <v>400</v>
      </c>
      <c r="AS324" s="13" t="s">
        <v>2174</v>
      </c>
      <c r="AT324" s="14" t="s">
        <v>2218</v>
      </c>
      <c r="AU324" s="14" t="s">
        <v>262</v>
      </c>
    </row>
    <row r="325" customFormat="false" ht="53.7" hidden="false" customHeight="false" outlineLevel="0" collapsed="false">
      <c r="A325" s="11" t="s">
        <v>2219</v>
      </c>
      <c r="B325" s="11" t="s">
        <v>2168</v>
      </c>
      <c r="C325" s="11" t="s">
        <v>2169</v>
      </c>
      <c r="D325" s="11" t="s">
        <v>2189</v>
      </c>
      <c r="E325" s="12" t="s">
        <v>2220</v>
      </c>
      <c r="F325" s="13" t="s">
        <v>2171</v>
      </c>
      <c r="G325" s="13" t="n">
        <v>12000</v>
      </c>
      <c r="H325" s="13" t="s">
        <v>334</v>
      </c>
      <c r="I325" s="14" t="s">
        <v>2221</v>
      </c>
      <c r="J325" s="15"/>
      <c r="K325" s="13" t="n">
        <v>134</v>
      </c>
      <c r="L325" s="13" t="s">
        <v>2222</v>
      </c>
      <c r="M325" s="13" t="n">
        <v>55</v>
      </c>
      <c r="N325" s="13" t="s">
        <v>184</v>
      </c>
      <c r="O325" s="13" t="s">
        <v>336</v>
      </c>
      <c r="P325" s="13" t="s">
        <v>186</v>
      </c>
      <c r="Q325" s="20" t="n">
        <v>900</v>
      </c>
      <c r="R325" s="20" t="n">
        <v>2050</v>
      </c>
      <c r="S325" s="20" t="n">
        <v>4625</v>
      </c>
      <c r="T325" s="20" t="n">
        <v>3850</v>
      </c>
      <c r="U325" s="20" t="n">
        <v>8639</v>
      </c>
      <c r="V325" s="13" t="s">
        <v>187</v>
      </c>
      <c r="W325" s="17"/>
      <c r="X325" s="13"/>
      <c r="Y325" s="13" t="s">
        <v>2223</v>
      </c>
      <c r="Z325" s="13" t="s">
        <v>212</v>
      </c>
      <c r="AA325" s="13" t="s">
        <v>213</v>
      </c>
      <c r="AB325" s="13" t="s">
        <v>2224</v>
      </c>
      <c r="AC325" s="18" t="n">
        <v>112.98</v>
      </c>
      <c r="AD325" s="13" t="s">
        <v>190</v>
      </c>
      <c r="AE325" s="19" t="n">
        <v>1.58</v>
      </c>
      <c r="AF325" s="19" t="n">
        <v>1.89</v>
      </c>
      <c r="AG325" s="19" t="n">
        <v>2.2</v>
      </c>
      <c r="AH325" s="13" t="s">
        <v>2225</v>
      </c>
      <c r="AI325" s="17" t="n">
        <f aca="false">IF(OR(AC325="",AF325="",Settings!$B$5=""),"",ROUND(AC325-AF325*Settings!$B$5,2))</f>
        <v>106.06</v>
      </c>
      <c r="AJ325" s="13" t="s">
        <v>192</v>
      </c>
      <c r="AK325" s="13" t="s">
        <v>193</v>
      </c>
      <c r="AL325" s="14" t="s">
        <v>2173</v>
      </c>
      <c r="AM325" s="13" t="s">
        <v>507</v>
      </c>
      <c r="AN325" s="15"/>
      <c r="AO325" s="13"/>
      <c r="AP325" s="13" t="s">
        <v>196</v>
      </c>
      <c r="AQ325" s="16" t="n">
        <f aca="false">IFERROR(IF(AND(INDEX(Mob_Demob!$D$6:$D$14,MATCH(AM325,Mob_Demob!$A$6:$A$14,0))="",INDEX(Mob_Demob!$G$6:$G$14,MATCH(AM325,Mob_Demob!$A$6:$A$14,0))=""),"",ROUND(MAX(N(INDEX(Mob_Demob!$G$6:$G$14,MATCH(AM325,Mob_Demob!$A$6:$A$14,0))),N(INDEX(Mob_Demob!$D$6:$D$14,MATCH(AM325,Mob_Demob!$A$6:$A$14,0)))*Settings!$B$6)+IF(AP325="Y",N(INDEX(Mob_Demob!$I$6:$I$14,MATCH(AM325,Mob_Demob!$A$6:$A$14,0)))*Settings!$B$19,0)+N(INDEX(Mob_Demob!$L$6:$L$14,MATCH(AM325,Mob_Demob!$A$6:$A$14,0)))*N(INDEX(Mob_Demob!$K$6:$K$14,MATCH(AM325,Mob_Demob!$A$6:$A$14,0)))*Settings!$B$6+N(INDEX(Mob_Demob!$M$6:$M$14,MATCH(AM325,Mob_Demob!$A$6:$A$14,0)))*N(INDEX(Mob_Demob!$N$6:$N$14,MATCH(AM325,Mob_Demob!$A$6:$A$14,0))),0)),"")</f>
        <v>400</v>
      </c>
      <c r="AR325" s="16" t="n">
        <f aca="false">IF(AQ325="","",ROUND(AQ325*Settings!$B$18,0))</f>
        <v>400</v>
      </c>
      <c r="AS325" s="13" t="s">
        <v>2174</v>
      </c>
      <c r="AT325" s="14" t="s">
        <v>2226</v>
      </c>
      <c r="AU325" s="14"/>
    </row>
    <row r="326" customFormat="false" ht="53.7" hidden="false" customHeight="false" outlineLevel="0" collapsed="false">
      <c r="A326" s="11" t="s">
        <v>2227</v>
      </c>
      <c r="B326" s="11" t="s">
        <v>2168</v>
      </c>
      <c r="C326" s="11" t="s">
        <v>2169</v>
      </c>
      <c r="D326" s="11" t="s">
        <v>2215</v>
      </c>
      <c r="E326" s="12" t="s">
        <v>2228</v>
      </c>
      <c r="F326" s="13" t="s">
        <v>2171</v>
      </c>
      <c r="G326" s="13" t="n">
        <v>12100</v>
      </c>
      <c r="H326" s="13" t="s">
        <v>334</v>
      </c>
      <c r="I326" s="14" t="s">
        <v>2229</v>
      </c>
      <c r="J326" s="15"/>
      <c r="K326" s="13"/>
      <c r="L326" s="13" t="s">
        <v>2230</v>
      </c>
      <c r="M326" s="13" t="n">
        <v>61</v>
      </c>
      <c r="N326" s="13" t="s">
        <v>184</v>
      </c>
      <c r="O326" s="13" t="s">
        <v>336</v>
      </c>
      <c r="P326" s="13" t="s">
        <v>186</v>
      </c>
      <c r="Q326" s="20" t="n">
        <v>575</v>
      </c>
      <c r="R326" s="20" t="n">
        <v>1400</v>
      </c>
      <c r="S326" s="20" t="n">
        <v>3500</v>
      </c>
      <c r="T326" s="16"/>
      <c r="U326" s="16"/>
      <c r="V326" s="13" t="s">
        <v>187</v>
      </c>
      <c r="W326" s="17"/>
      <c r="X326" s="13"/>
      <c r="Y326" s="13" t="s">
        <v>1001</v>
      </c>
      <c r="Z326" s="13" t="s">
        <v>1002</v>
      </c>
      <c r="AA326" s="13" t="s">
        <v>192</v>
      </c>
      <c r="AB326" s="13"/>
      <c r="AC326" s="17"/>
      <c r="AD326" s="13"/>
      <c r="AE326" s="19"/>
      <c r="AF326" s="19"/>
      <c r="AG326" s="19"/>
      <c r="AH326" s="13"/>
      <c r="AI326" s="17"/>
      <c r="AJ326" s="13" t="s">
        <v>188</v>
      </c>
      <c r="AK326" s="13" t="s">
        <v>188</v>
      </c>
      <c r="AL326" s="14" t="s">
        <v>2173</v>
      </c>
      <c r="AM326" s="13" t="s">
        <v>507</v>
      </c>
      <c r="AN326" s="15"/>
      <c r="AO326" s="13"/>
      <c r="AP326" s="13" t="s">
        <v>196</v>
      </c>
      <c r="AQ326" s="16" t="n">
        <f aca="false">IFERROR(IF(AND(INDEX(Mob_Demob!$D$6:$D$14,MATCH(AM326,Mob_Demob!$A$6:$A$14,0))="",INDEX(Mob_Demob!$G$6:$G$14,MATCH(AM326,Mob_Demob!$A$6:$A$14,0))=""),"",ROUND(MAX(N(INDEX(Mob_Demob!$G$6:$G$14,MATCH(AM326,Mob_Demob!$A$6:$A$14,0))),N(INDEX(Mob_Demob!$D$6:$D$14,MATCH(AM326,Mob_Demob!$A$6:$A$14,0)))*Settings!$B$6)+IF(AP326="Y",N(INDEX(Mob_Demob!$I$6:$I$14,MATCH(AM326,Mob_Demob!$A$6:$A$14,0)))*Settings!$B$19,0)+N(INDEX(Mob_Demob!$L$6:$L$14,MATCH(AM326,Mob_Demob!$A$6:$A$14,0)))*N(INDEX(Mob_Demob!$K$6:$K$14,MATCH(AM326,Mob_Demob!$A$6:$A$14,0)))*Settings!$B$6+N(INDEX(Mob_Demob!$M$6:$M$14,MATCH(AM326,Mob_Demob!$A$6:$A$14,0)))*N(INDEX(Mob_Demob!$N$6:$N$14,MATCH(AM326,Mob_Demob!$A$6:$A$14,0))),0)),"")</f>
        <v>400</v>
      </c>
      <c r="AR326" s="16" t="n">
        <f aca="false">IF(AQ326="","",ROUND(AQ326*Settings!$B$18,0))</f>
        <v>400</v>
      </c>
      <c r="AS326" s="13" t="s">
        <v>2174</v>
      </c>
      <c r="AT326" s="14" t="s">
        <v>2218</v>
      </c>
      <c r="AU326" s="14" t="s">
        <v>262</v>
      </c>
    </row>
    <row r="327" customFormat="false" ht="53.7" hidden="false" customHeight="false" outlineLevel="0" collapsed="false">
      <c r="A327" s="11" t="s">
        <v>2231</v>
      </c>
      <c r="B327" s="11" t="s">
        <v>2168</v>
      </c>
      <c r="C327" s="11" t="s">
        <v>2169</v>
      </c>
      <c r="D327" s="11" t="s">
        <v>2189</v>
      </c>
      <c r="E327" s="12" t="s">
        <v>2232</v>
      </c>
      <c r="F327" s="13" t="s">
        <v>2171</v>
      </c>
      <c r="G327" s="13" t="n">
        <v>14000</v>
      </c>
      <c r="H327" s="13" t="s">
        <v>334</v>
      </c>
      <c r="I327" s="14"/>
      <c r="J327" s="15"/>
      <c r="K327" s="13"/>
      <c r="L327" s="13" t="s">
        <v>2233</v>
      </c>
      <c r="M327" s="13" t="n">
        <v>55</v>
      </c>
      <c r="N327" s="13" t="s">
        <v>184</v>
      </c>
      <c r="O327" s="13" t="s">
        <v>336</v>
      </c>
      <c r="P327" s="13" t="s">
        <v>186</v>
      </c>
      <c r="Q327" s="16"/>
      <c r="R327" s="16"/>
      <c r="S327" s="16"/>
      <c r="T327" s="16"/>
      <c r="U327" s="16"/>
      <c r="V327" s="13" t="s">
        <v>187</v>
      </c>
      <c r="W327" s="17"/>
      <c r="X327" s="13"/>
      <c r="Y327" s="13"/>
      <c r="Z327" s="13"/>
      <c r="AA327" s="13" t="s">
        <v>188</v>
      </c>
      <c r="AB327" s="13"/>
      <c r="AC327" s="17"/>
      <c r="AD327" s="13"/>
      <c r="AE327" s="19"/>
      <c r="AF327" s="19"/>
      <c r="AG327" s="19"/>
      <c r="AH327" s="13"/>
      <c r="AI327" s="17"/>
      <c r="AJ327" s="13" t="s">
        <v>188</v>
      </c>
      <c r="AK327" s="13" t="s">
        <v>188</v>
      </c>
      <c r="AL327" s="14" t="s">
        <v>2173</v>
      </c>
      <c r="AM327" s="13" t="s">
        <v>507</v>
      </c>
      <c r="AN327" s="15"/>
      <c r="AO327" s="13"/>
      <c r="AP327" s="13" t="s">
        <v>196</v>
      </c>
      <c r="AQ327" s="16" t="n">
        <f aca="false">IFERROR(IF(AND(INDEX(Mob_Demob!$D$6:$D$14,MATCH(AM327,Mob_Demob!$A$6:$A$14,0))="",INDEX(Mob_Demob!$G$6:$G$14,MATCH(AM327,Mob_Demob!$A$6:$A$14,0))=""),"",ROUND(MAX(N(INDEX(Mob_Demob!$G$6:$G$14,MATCH(AM327,Mob_Demob!$A$6:$A$14,0))),N(INDEX(Mob_Demob!$D$6:$D$14,MATCH(AM327,Mob_Demob!$A$6:$A$14,0)))*Settings!$B$6)+IF(AP327="Y",N(INDEX(Mob_Demob!$I$6:$I$14,MATCH(AM327,Mob_Demob!$A$6:$A$14,0)))*Settings!$B$19,0)+N(INDEX(Mob_Demob!$L$6:$L$14,MATCH(AM327,Mob_Demob!$A$6:$A$14,0)))*N(INDEX(Mob_Demob!$K$6:$K$14,MATCH(AM327,Mob_Demob!$A$6:$A$14,0)))*Settings!$B$6+N(INDEX(Mob_Demob!$M$6:$M$14,MATCH(AM327,Mob_Demob!$A$6:$A$14,0)))*N(INDEX(Mob_Demob!$N$6:$N$14,MATCH(AM327,Mob_Demob!$A$6:$A$14,0))),0)),"")</f>
        <v>400</v>
      </c>
      <c r="AR327" s="16" t="n">
        <f aca="false">IF(AQ327="","",ROUND(AQ327*Settings!$B$18,0))</f>
        <v>400</v>
      </c>
      <c r="AS327" s="13" t="s">
        <v>2174</v>
      </c>
      <c r="AT327" s="14" t="s">
        <v>2175</v>
      </c>
      <c r="AU327" s="14" t="s">
        <v>466</v>
      </c>
    </row>
    <row r="328" customFormat="false" ht="53.7" hidden="false" customHeight="false" outlineLevel="0" collapsed="false">
      <c r="A328" s="11" t="s">
        <v>2234</v>
      </c>
      <c r="B328" s="11" t="s">
        <v>2168</v>
      </c>
      <c r="C328" s="11" t="s">
        <v>2169</v>
      </c>
      <c r="D328" s="11" t="s">
        <v>1352</v>
      </c>
      <c r="E328" s="12" t="s">
        <v>2235</v>
      </c>
      <c r="F328" s="13" t="s">
        <v>2171</v>
      </c>
      <c r="G328" s="13" t="n">
        <v>16000</v>
      </c>
      <c r="H328" s="13" t="s">
        <v>334</v>
      </c>
      <c r="I328" s="14" t="s">
        <v>2236</v>
      </c>
      <c r="J328" s="15"/>
      <c r="K328" s="13"/>
      <c r="L328" s="13" t="s">
        <v>2237</v>
      </c>
      <c r="M328" s="13" t="n">
        <v>44</v>
      </c>
      <c r="N328" s="13" t="s">
        <v>184</v>
      </c>
      <c r="O328" s="13" t="s">
        <v>336</v>
      </c>
      <c r="P328" s="13" t="s">
        <v>186</v>
      </c>
      <c r="Q328" s="20" t="n">
        <v>1027</v>
      </c>
      <c r="R328" s="20" t="n">
        <v>2979</v>
      </c>
      <c r="S328" s="20" t="n">
        <v>8639</v>
      </c>
      <c r="T328" s="16"/>
      <c r="U328" s="16"/>
      <c r="V328" s="13" t="s">
        <v>187</v>
      </c>
      <c r="W328" s="17"/>
      <c r="X328" s="13"/>
      <c r="Y328" s="13" t="s">
        <v>259</v>
      </c>
      <c r="Z328" s="13" t="s">
        <v>260</v>
      </c>
      <c r="AA328" s="13" t="s">
        <v>192</v>
      </c>
      <c r="AB328" s="13"/>
      <c r="AC328" s="17"/>
      <c r="AD328" s="13"/>
      <c r="AE328" s="19"/>
      <c r="AF328" s="19"/>
      <c r="AG328" s="19"/>
      <c r="AH328" s="13"/>
      <c r="AI328" s="17"/>
      <c r="AJ328" s="13" t="s">
        <v>188</v>
      </c>
      <c r="AK328" s="13" t="s">
        <v>188</v>
      </c>
      <c r="AL328" s="14" t="s">
        <v>2173</v>
      </c>
      <c r="AM328" s="13" t="s">
        <v>507</v>
      </c>
      <c r="AN328" s="15"/>
      <c r="AO328" s="13"/>
      <c r="AP328" s="13" t="s">
        <v>196</v>
      </c>
      <c r="AQ328" s="16" t="n">
        <f aca="false">IFERROR(IF(AND(INDEX(Mob_Demob!$D$6:$D$14,MATCH(AM328,Mob_Demob!$A$6:$A$14,0))="",INDEX(Mob_Demob!$G$6:$G$14,MATCH(AM328,Mob_Demob!$A$6:$A$14,0))=""),"",ROUND(MAX(N(INDEX(Mob_Demob!$G$6:$G$14,MATCH(AM328,Mob_Demob!$A$6:$A$14,0))),N(INDEX(Mob_Demob!$D$6:$D$14,MATCH(AM328,Mob_Demob!$A$6:$A$14,0)))*Settings!$B$6)+IF(AP328="Y",N(INDEX(Mob_Demob!$I$6:$I$14,MATCH(AM328,Mob_Demob!$A$6:$A$14,0)))*Settings!$B$19,0)+N(INDEX(Mob_Demob!$L$6:$L$14,MATCH(AM328,Mob_Demob!$A$6:$A$14,0)))*N(INDEX(Mob_Demob!$K$6:$K$14,MATCH(AM328,Mob_Demob!$A$6:$A$14,0)))*Settings!$B$6+N(INDEX(Mob_Demob!$M$6:$M$14,MATCH(AM328,Mob_Demob!$A$6:$A$14,0)))*N(INDEX(Mob_Demob!$N$6:$N$14,MATCH(AM328,Mob_Demob!$A$6:$A$14,0))),0)),"")</f>
        <v>400</v>
      </c>
      <c r="AR328" s="16" t="n">
        <f aca="false">IF(AQ328="","",ROUND(AQ328*Settings!$B$18,0))</f>
        <v>400</v>
      </c>
      <c r="AS328" s="13" t="s">
        <v>2174</v>
      </c>
      <c r="AT328" s="14" t="s">
        <v>2238</v>
      </c>
      <c r="AU328" s="14" t="s">
        <v>262</v>
      </c>
    </row>
    <row r="329" customFormat="false" ht="53.7" hidden="false" customHeight="false" outlineLevel="0" collapsed="false">
      <c r="A329" s="11" t="s">
        <v>2239</v>
      </c>
      <c r="B329" s="11" t="s">
        <v>2168</v>
      </c>
      <c r="C329" s="11" t="s">
        <v>2169</v>
      </c>
      <c r="D329" s="11" t="s">
        <v>1352</v>
      </c>
      <c r="E329" s="12" t="s">
        <v>2240</v>
      </c>
      <c r="F329" s="13" t="s">
        <v>2171</v>
      </c>
      <c r="G329" s="13" t="n">
        <v>20000</v>
      </c>
      <c r="H329" s="13" t="s">
        <v>334</v>
      </c>
      <c r="I329" s="14"/>
      <c r="J329" s="15"/>
      <c r="K329" s="13"/>
      <c r="L329" s="13" t="s">
        <v>2241</v>
      </c>
      <c r="M329" s="13" t="n">
        <v>43</v>
      </c>
      <c r="N329" s="13" t="s">
        <v>184</v>
      </c>
      <c r="O329" s="13" t="s">
        <v>336</v>
      </c>
      <c r="P329" s="13" t="s">
        <v>186</v>
      </c>
      <c r="Q329" s="16"/>
      <c r="R329" s="16"/>
      <c r="S329" s="16"/>
      <c r="T329" s="16"/>
      <c r="U329" s="16"/>
      <c r="V329" s="13" t="s">
        <v>187</v>
      </c>
      <c r="W329" s="17"/>
      <c r="X329" s="13"/>
      <c r="Y329" s="13"/>
      <c r="Z329" s="13"/>
      <c r="AA329" s="13" t="s">
        <v>188</v>
      </c>
      <c r="AB329" s="13"/>
      <c r="AC329" s="17"/>
      <c r="AD329" s="13"/>
      <c r="AE329" s="19"/>
      <c r="AF329" s="19"/>
      <c r="AG329" s="19"/>
      <c r="AH329" s="13"/>
      <c r="AI329" s="17"/>
      <c r="AJ329" s="13" t="s">
        <v>188</v>
      </c>
      <c r="AK329" s="13" t="s">
        <v>188</v>
      </c>
      <c r="AL329" s="14" t="s">
        <v>2173</v>
      </c>
      <c r="AM329" s="13" t="s">
        <v>507</v>
      </c>
      <c r="AN329" s="15"/>
      <c r="AO329" s="13"/>
      <c r="AP329" s="13" t="s">
        <v>196</v>
      </c>
      <c r="AQ329" s="16" t="n">
        <f aca="false">IFERROR(IF(AND(INDEX(Mob_Demob!$D$6:$D$14,MATCH(AM329,Mob_Demob!$A$6:$A$14,0))="",INDEX(Mob_Demob!$G$6:$G$14,MATCH(AM329,Mob_Demob!$A$6:$A$14,0))=""),"",ROUND(MAX(N(INDEX(Mob_Demob!$G$6:$G$14,MATCH(AM329,Mob_Demob!$A$6:$A$14,0))),N(INDEX(Mob_Demob!$D$6:$D$14,MATCH(AM329,Mob_Demob!$A$6:$A$14,0)))*Settings!$B$6)+IF(AP329="Y",N(INDEX(Mob_Demob!$I$6:$I$14,MATCH(AM329,Mob_Demob!$A$6:$A$14,0)))*Settings!$B$19,0)+N(INDEX(Mob_Demob!$L$6:$L$14,MATCH(AM329,Mob_Demob!$A$6:$A$14,0)))*N(INDEX(Mob_Demob!$K$6:$K$14,MATCH(AM329,Mob_Demob!$A$6:$A$14,0)))*Settings!$B$6+N(INDEX(Mob_Demob!$M$6:$M$14,MATCH(AM329,Mob_Demob!$A$6:$A$14,0)))*N(INDEX(Mob_Demob!$N$6:$N$14,MATCH(AM329,Mob_Demob!$A$6:$A$14,0))),0)),"")</f>
        <v>400</v>
      </c>
      <c r="AR329" s="16" t="n">
        <f aca="false">IF(AQ329="","",ROUND(AQ329*Settings!$B$18,0))</f>
        <v>400</v>
      </c>
      <c r="AS329" s="13" t="s">
        <v>2174</v>
      </c>
      <c r="AT329" s="14" t="s">
        <v>2175</v>
      </c>
      <c r="AU329" s="14" t="s">
        <v>466</v>
      </c>
    </row>
    <row r="330" customFormat="false" ht="53.7" hidden="false" customHeight="false" outlineLevel="0" collapsed="false">
      <c r="A330" s="11" t="s">
        <v>2242</v>
      </c>
      <c r="B330" s="11" t="s">
        <v>2168</v>
      </c>
      <c r="C330" s="11" t="s">
        <v>2169</v>
      </c>
      <c r="D330" s="11" t="s">
        <v>2243</v>
      </c>
      <c r="E330" s="12" t="s">
        <v>2244</v>
      </c>
      <c r="F330" s="13" t="s">
        <v>2171</v>
      </c>
      <c r="G330" s="13" t="n">
        <v>12000</v>
      </c>
      <c r="H330" s="13" t="s">
        <v>334</v>
      </c>
      <c r="I330" s="14"/>
      <c r="J330" s="15"/>
      <c r="K330" s="13"/>
      <c r="L330" s="13" t="s">
        <v>2222</v>
      </c>
      <c r="M330" s="13" t="n">
        <v>78</v>
      </c>
      <c r="N330" s="13" t="s">
        <v>184</v>
      </c>
      <c r="O330" s="13" t="s">
        <v>336</v>
      </c>
      <c r="P330" s="13" t="s">
        <v>186</v>
      </c>
      <c r="Q330" s="16"/>
      <c r="R330" s="16"/>
      <c r="S330" s="16"/>
      <c r="T330" s="16"/>
      <c r="U330" s="16"/>
      <c r="V330" s="13" t="s">
        <v>187</v>
      </c>
      <c r="W330" s="17"/>
      <c r="X330" s="13"/>
      <c r="Y330" s="13"/>
      <c r="Z330" s="13"/>
      <c r="AA330" s="13" t="s">
        <v>188</v>
      </c>
      <c r="AB330" s="13"/>
      <c r="AC330" s="17"/>
      <c r="AD330" s="13"/>
      <c r="AE330" s="19"/>
      <c r="AF330" s="19"/>
      <c r="AG330" s="19"/>
      <c r="AH330" s="13"/>
      <c r="AI330" s="17"/>
      <c r="AJ330" s="13" t="s">
        <v>188</v>
      </c>
      <c r="AK330" s="13" t="s">
        <v>188</v>
      </c>
      <c r="AL330" s="14" t="s">
        <v>2173</v>
      </c>
      <c r="AM330" s="13" t="s">
        <v>507</v>
      </c>
      <c r="AN330" s="15"/>
      <c r="AO330" s="13"/>
      <c r="AP330" s="13" t="s">
        <v>196</v>
      </c>
      <c r="AQ330" s="16" t="n">
        <f aca="false">IFERROR(IF(AND(INDEX(Mob_Demob!$D$6:$D$14,MATCH(AM330,Mob_Demob!$A$6:$A$14,0))="",INDEX(Mob_Demob!$G$6:$G$14,MATCH(AM330,Mob_Demob!$A$6:$A$14,0))=""),"",ROUND(MAX(N(INDEX(Mob_Demob!$G$6:$G$14,MATCH(AM330,Mob_Demob!$A$6:$A$14,0))),N(INDEX(Mob_Demob!$D$6:$D$14,MATCH(AM330,Mob_Demob!$A$6:$A$14,0)))*Settings!$B$6)+IF(AP330="Y",N(INDEX(Mob_Demob!$I$6:$I$14,MATCH(AM330,Mob_Demob!$A$6:$A$14,0)))*Settings!$B$19,0)+N(INDEX(Mob_Demob!$L$6:$L$14,MATCH(AM330,Mob_Demob!$A$6:$A$14,0)))*N(INDEX(Mob_Demob!$K$6:$K$14,MATCH(AM330,Mob_Demob!$A$6:$A$14,0)))*Settings!$B$6+N(INDEX(Mob_Demob!$M$6:$M$14,MATCH(AM330,Mob_Demob!$A$6:$A$14,0)))*N(INDEX(Mob_Demob!$N$6:$N$14,MATCH(AM330,Mob_Demob!$A$6:$A$14,0))),0)),"")</f>
        <v>400</v>
      </c>
      <c r="AR330" s="16" t="n">
        <f aca="false">IF(AQ330="","",ROUND(AQ330*Settings!$B$18,0))</f>
        <v>400</v>
      </c>
      <c r="AS330" s="13" t="s">
        <v>2174</v>
      </c>
      <c r="AT330" s="14" t="s">
        <v>2175</v>
      </c>
      <c r="AU330" s="14" t="s">
        <v>466</v>
      </c>
    </row>
    <row r="331" customFormat="false" ht="53.7" hidden="false" customHeight="false" outlineLevel="0" collapsed="false">
      <c r="A331" s="11" t="s">
        <v>2245</v>
      </c>
      <c r="B331" s="11" t="s">
        <v>2168</v>
      </c>
      <c r="C331" s="11" t="s">
        <v>2169</v>
      </c>
      <c r="D331" s="11" t="s">
        <v>2246</v>
      </c>
      <c r="E331" s="12" t="s">
        <v>2247</v>
      </c>
      <c r="F331" s="13" t="s">
        <v>2171</v>
      </c>
      <c r="G331" s="13" t="n">
        <v>27000</v>
      </c>
      <c r="H331" s="13" t="s">
        <v>334</v>
      </c>
      <c r="I331" s="14" t="s">
        <v>2248</v>
      </c>
      <c r="J331" s="15"/>
      <c r="K331" s="13"/>
      <c r="L331" s="13" t="s">
        <v>2249</v>
      </c>
      <c r="M331" s="13" t="n">
        <v>33</v>
      </c>
      <c r="N331" s="13" t="s">
        <v>184</v>
      </c>
      <c r="O331" s="13" t="s">
        <v>336</v>
      </c>
      <c r="P331" s="13" t="s">
        <v>186</v>
      </c>
      <c r="Q331" s="20" t="n">
        <v>1581</v>
      </c>
      <c r="R331" s="20" t="n">
        <v>4585</v>
      </c>
      <c r="S331" s="20" t="n">
        <v>13297</v>
      </c>
      <c r="T331" s="16"/>
      <c r="U331" s="16"/>
      <c r="V331" s="13" t="s">
        <v>187</v>
      </c>
      <c r="W331" s="17"/>
      <c r="X331" s="13"/>
      <c r="Y331" s="13" t="s">
        <v>259</v>
      </c>
      <c r="Z331" s="13" t="s">
        <v>260</v>
      </c>
      <c r="AA331" s="13" t="s">
        <v>192</v>
      </c>
      <c r="AB331" s="13"/>
      <c r="AC331" s="17"/>
      <c r="AD331" s="13"/>
      <c r="AE331" s="19"/>
      <c r="AF331" s="19"/>
      <c r="AG331" s="19"/>
      <c r="AH331" s="13"/>
      <c r="AI331" s="17"/>
      <c r="AJ331" s="13" t="s">
        <v>188</v>
      </c>
      <c r="AK331" s="13" t="s">
        <v>188</v>
      </c>
      <c r="AL331" s="14" t="s">
        <v>2173</v>
      </c>
      <c r="AM331" s="13" t="s">
        <v>507</v>
      </c>
      <c r="AN331" s="15"/>
      <c r="AO331" s="13"/>
      <c r="AP331" s="13" t="s">
        <v>196</v>
      </c>
      <c r="AQ331" s="16" t="n">
        <f aca="false">IFERROR(IF(AND(INDEX(Mob_Demob!$D$6:$D$14,MATCH(AM331,Mob_Demob!$A$6:$A$14,0))="",INDEX(Mob_Demob!$G$6:$G$14,MATCH(AM331,Mob_Demob!$A$6:$A$14,0))=""),"",ROUND(MAX(N(INDEX(Mob_Demob!$G$6:$G$14,MATCH(AM331,Mob_Demob!$A$6:$A$14,0))),N(INDEX(Mob_Demob!$D$6:$D$14,MATCH(AM331,Mob_Demob!$A$6:$A$14,0)))*Settings!$B$6)+IF(AP331="Y",N(INDEX(Mob_Demob!$I$6:$I$14,MATCH(AM331,Mob_Demob!$A$6:$A$14,0)))*Settings!$B$19,0)+N(INDEX(Mob_Demob!$L$6:$L$14,MATCH(AM331,Mob_Demob!$A$6:$A$14,0)))*N(INDEX(Mob_Demob!$K$6:$K$14,MATCH(AM331,Mob_Demob!$A$6:$A$14,0)))*Settings!$B$6+N(INDEX(Mob_Demob!$M$6:$M$14,MATCH(AM331,Mob_Demob!$A$6:$A$14,0)))*N(INDEX(Mob_Demob!$N$6:$N$14,MATCH(AM331,Mob_Demob!$A$6:$A$14,0))),0)),"")</f>
        <v>400</v>
      </c>
      <c r="AR331" s="16" t="n">
        <f aca="false">IF(AQ331="","",ROUND(AQ331*Settings!$B$18,0))</f>
        <v>400</v>
      </c>
      <c r="AS331" s="13" t="s">
        <v>2174</v>
      </c>
      <c r="AT331" s="14" t="s">
        <v>2250</v>
      </c>
      <c r="AU331" s="14" t="s">
        <v>2251</v>
      </c>
    </row>
    <row r="332" customFormat="false" ht="53.7" hidden="false" customHeight="false" outlineLevel="0" collapsed="false">
      <c r="A332" s="11" t="s">
        <v>2252</v>
      </c>
      <c r="B332" s="11" t="s">
        <v>2168</v>
      </c>
      <c r="C332" s="11" t="s">
        <v>2169</v>
      </c>
      <c r="D332" s="11" t="s">
        <v>2246</v>
      </c>
      <c r="E332" s="12" t="s">
        <v>2253</v>
      </c>
      <c r="F332" s="13" t="s">
        <v>2171</v>
      </c>
      <c r="G332" s="13" t="n">
        <v>35200</v>
      </c>
      <c r="H332" s="13" t="s">
        <v>334</v>
      </c>
      <c r="I332" s="14" t="s">
        <v>2254</v>
      </c>
      <c r="J332" s="15"/>
      <c r="K332" s="13"/>
      <c r="L332" s="13" t="s">
        <v>2255</v>
      </c>
      <c r="M332" s="13" t="n">
        <v>33</v>
      </c>
      <c r="N332" s="13" t="s">
        <v>184</v>
      </c>
      <c r="O332" s="13" t="s">
        <v>336</v>
      </c>
      <c r="P332" s="13" t="s">
        <v>186</v>
      </c>
      <c r="Q332" s="20" t="n">
        <v>1775</v>
      </c>
      <c r="R332" s="20" t="n">
        <v>4400</v>
      </c>
      <c r="S332" s="20" t="n">
        <v>11000</v>
      </c>
      <c r="T332" s="16"/>
      <c r="U332" s="16"/>
      <c r="V332" s="13" t="s">
        <v>187</v>
      </c>
      <c r="W332" s="17"/>
      <c r="X332" s="13"/>
      <c r="Y332" s="13" t="s">
        <v>1001</v>
      </c>
      <c r="Z332" s="13" t="s">
        <v>1002</v>
      </c>
      <c r="AA332" s="13" t="s">
        <v>192</v>
      </c>
      <c r="AB332" s="13"/>
      <c r="AC332" s="17"/>
      <c r="AD332" s="13"/>
      <c r="AE332" s="19"/>
      <c r="AF332" s="19"/>
      <c r="AG332" s="19"/>
      <c r="AH332" s="13"/>
      <c r="AI332" s="17"/>
      <c r="AJ332" s="13" t="s">
        <v>188</v>
      </c>
      <c r="AK332" s="13" t="s">
        <v>188</v>
      </c>
      <c r="AL332" s="14" t="s">
        <v>2173</v>
      </c>
      <c r="AM332" s="13" t="s">
        <v>507</v>
      </c>
      <c r="AN332" s="15"/>
      <c r="AO332" s="13"/>
      <c r="AP332" s="13" t="s">
        <v>196</v>
      </c>
      <c r="AQ332" s="16" t="n">
        <f aca="false">IFERROR(IF(AND(INDEX(Mob_Demob!$D$6:$D$14,MATCH(AM332,Mob_Demob!$A$6:$A$14,0))="",INDEX(Mob_Demob!$G$6:$G$14,MATCH(AM332,Mob_Demob!$A$6:$A$14,0))=""),"",ROUND(MAX(N(INDEX(Mob_Demob!$G$6:$G$14,MATCH(AM332,Mob_Demob!$A$6:$A$14,0))),N(INDEX(Mob_Demob!$D$6:$D$14,MATCH(AM332,Mob_Demob!$A$6:$A$14,0)))*Settings!$B$6)+IF(AP332="Y",N(INDEX(Mob_Demob!$I$6:$I$14,MATCH(AM332,Mob_Demob!$A$6:$A$14,0)))*Settings!$B$19,0)+N(INDEX(Mob_Demob!$L$6:$L$14,MATCH(AM332,Mob_Demob!$A$6:$A$14,0)))*N(INDEX(Mob_Demob!$K$6:$K$14,MATCH(AM332,Mob_Demob!$A$6:$A$14,0)))*Settings!$B$6+N(INDEX(Mob_Demob!$M$6:$M$14,MATCH(AM332,Mob_Demob!$A$6:$A$14,0)))*N(INDEX(Mob_Demob!$N$6:$N$14,MATCH(AM332,Mob_Demob!$A$6:$A$14,0))),0)),"")</f>
        <v>400</v>
      </c>
      <c r="AR332" s="16" t="n">
        <f aca="false">IF(AQ332="","",ROUND(AQ332*Settings!$B$18,0))</f>
        <v>400</v>
      </c>
      <c r="AS332" s="13" t="s">
        <v>2174</v>
      </c>
      <c r="AT332" s="14" t="s">
        <v>2256</v>
      </c>
      <c r="AU332" s="14" t="s">
        <v>262</v>
      </c>
    </row>
    <row r="333" customFormat="false" ht="53.7" hidden="false" customHeight="false" outlineLevel="0" collapsed="false">
      <c r="A333" s="11" t="s">
        <v>2257</v>
      </c>
      <c r="B333" s="11" t="s">
        <v>2168</v>
      </c>
      <c r="C333" s="11" t="s">
        <v>2169</v>
      </c>
      <c r="D333" s="11" t="s">
        <v>2258</v>
      </c>
      <c r="E333" s="12" t="s">
        <v>2259</v>
      </c>
      <c r="F333" s="13" t="s">
        <v>2171</v>
      </c>
      <c r="G333" s="13" t="n">
        <v>13200</v>
      </c>
      <c r="H333" s="13" t="s">
        <v>334</v>
      </c>
      <c r="I333" s="14" t="s">
        <v>2260</v>
      </c>
      <c r="J333" s="15"/>
      <c r="K333" s="13"/>
      <c r="L333" s="13" t="s">
        <v>1007</v>
      </c>
      <c r="M333" s="13" t="n">
        <v>82</v>
      </c>
      <c r="N333" s="13" t="s">
        <v>184</v>
      </c>
      <c r="O333" s="13" t="s">
        <v>336</v>
      </c>
      <c r="P333" s="13" t="s">
        <v>186</v>
      </c>
      <c r="Q333" s="20" t="n">
        <v>1300</v>
      </c>
      <c r="R333" s="20" t="n">
        <v>3200</v>
      </c>
      <c r="S333" s="20" t="n">
        <v>8000</v>
      </c>
      <c r="T333" s="16"/>
      <c r="U333" s="16"/>
      <c r="V333" s="13" t="s">
        <v>187</v>
      </c>
      <c r="W333" s="17"/>
      <c r="X333" s="13"/>
      <c r="Y333" s="13" t="s">
        <v>1001</v>
      </c>
      <c r="Z333" s="13" t="s">
        <v>1002</v>
      </c>
      <c r="AA333" s="13" t="s">
        <v>192</v>
      </c>
      <c r="AB333" s="13"/>
      <c r="AC333" s="17"/>
      <c r="AD333" s="13"/>
      <c r="AE333" s="19"/>
      <c r="AF333" s="19"/>
      <c r="AG333" s="19"/>
      <c r="AH333" s="13"/>
      <c r="AI333" s="17"/>
      <c r="AJ333" s="13" t="s">
        <v>188</v>
      </c>
      <c r="AK333" s="13" t="s">
        <v>188</v>
      </c>
      <c r="AL333" s="14" t="s">
        <v>2173</v>
      </c>
      <c r="AM333" s="13" t="s">
        <v>507</v>
      </c>
      <c r="AN333" s="15"/>
      <c r="AO333" s="13"/>
      <c r="AP333" s="13" t="s">
        <v>196</v>
      </c>
      <c r="AQ333" s="16" t="n">
        <f aca="false">IFERROR(IF(AND(INDEX(Mob_Demob!$D$6:$D$14,MATCH(AM333,Mob_Demob!$A$6:$A$14,0))="",INDEX(Mob_Demob!$G$6:$G$14,MATCH(AM333,Mob_Demob!$A$6:$A$14,0))=""),"",ROUND(MAX(N(INDEX(Mob_Demob!$G$6:$G$14,MATCH(AM333,Mob_Demob!$A$6:$A$14,0))),N(INDEX(Mob_Demob!$D$6:$D$14,MATCH(AM333,Mob_Demob!$A$6:$A$14,0)))*Settings!$B$6)+IF(AP333="Y",N(INDEX(Mob_Demob!$I$6:$I$14,MATCH(AM333,Mob_Demob!$A$6:$A$14,0)))*Settings!$B$19,0)+N(INDEX(Mob_Demob!$L$6:$L$14,MATCH(AM333,Mob_Demob!$A$6:$A$14,0)))*N(INDEX(Mob_Demob!$K$6:$K$14,MATCH(AM333,Mob_Demob!$A$6:$A$14,0)))*Settings!$B$6+N(INDEX(Mob_Demob!$M$6:$M$14,MATCH(AM333,Mob_Demob!$A$6:$A$14,0)))*N(INDEX(Mob_Demob!$N$6:$N$14,MATCH(AM333,Mob_Demob!$A$6:$A$14,0))),0)),"")</f>
        <v>400</v>
      </c>
      <c r="AR333" s="16" t="n">
        <f aca="false">IF(AQ333="","",ROUND(AQ333*Settings!$B$18,0))</f>
        <v>400</v>
      </c>
      <c r="AS333" s="13" t="s">
        <v>2174</v>
      </c>
      <c r="AT333" s="14" t="s">
        <v>2218</v>
      </c>
      <c r="AU333" s="14" t="s">
        <v>262</v>
      </c>
    </row>
    <row r="334" customFormat="false" ht="53.7" hidden="false" customHeight="false" outlineLevel="0" collapsed="false">
      <c r="A334" s="11" t="s">
        <v>2261</v>
      </c>
      <c r="B334" s="11" t="s">
        <v>2168</v>
      </c>
      <c r="C334" s="11" t="s">
        <v>2169</v>
      </c>
      <c r="D334" s="11" t="s">
        <v>2258</v>
      </c>
      <c r="E334" s="12" t="s">
        <v>2262</v>
      </c>
      <c r="F334" s="13" t="s">
        <v>2171</v>
      </c>
      <c r="G334" s="13" t="n">
        <v>13200</v>
      </c>
      <c r="H334" s="13" t="s">
        <v>334</v>
      </c>
      <c r="I334" s="14"/>
      <c r="J334" s="15"/>
      <c r="K334" s="13"/>
      <c r="L334" s="13" t="s">
        <v>1007</v>
      </c>
      <c r="M334" s="13" t="n">
        <v>96</v>
      </c>
      <c r="N334" s="13" t="s">
        <v>184</v>
      </c>
      <c r="O334" s="13" t="s">
        <v>336</v>
      </c>
      <c r="P334" s="13" t="s">
        <v>186</v>
      </c>
      <c r="Q334" s="16"/>
      <c r="R334" s="16"/>
      <c r="S334" s="16"/>
      <c r="T334" s="16"/>
      <c r="U334" s="16"/>
      <c r="V334" s="13" t="s">
        <v>187</v>
      </c>
      <c r="W334" s="17"/>
      <c r="X334" s="13"/>
      <c r="Y334" s="13"/>
      <c r="Z334" s="13"/>
      <c r="AA334" s="13" t="s">
        <v>188</v>
      </c>
      <c r="AB334" s="13"/>
      <c r="AC334" s="17"/>
      <c r="AD334" s="13"/>
      <c r="AE334" s="19"/>
      <c r="AF334" s="19"/>
      <c r="AG334" s="19"/>
      <c r="AH334" s="13"/>
      <c r="AI334" s="17"/>
      <c r="AJ334" s="13" t="s">
        <v>188</v>
      </c>
      <c r="AK334" s="13" t="s">
        <v>188</v>
      </c>
      <c r="AL334" s="14" t="s">
        <v>2173</v>
      </c>
      <c r="AM334" s="13" t="s">
        <v>507</v>
      </c>
      <c r="AN334" s="15"/>
      <c r="AO334" s="13"/>
      <c r="AP334" s="13" t="s">
        <v>196</v>
      </c>
      <c r="AQ334" s="16" t="n">
        <f aca="false">IFERROR(IF(AND(INDEX(Mob_Demob!$D$6:$D$14,MATCH(AM334,Mob_Demob!$A$6:$A$14,0))="",INDEX(Mob_Demob!$G$6:$G$14,MATCH(AM334,Mob_Demob!$A$6:$A$14,0))=""),"",ROUND(MAX(N(INDEX(Mob_Demob!$G$6:$G$14,MATCH(AM334,Mob_Demob!$A$6:$A$14,0))),N(INDEX(Mob_Demob!$D$6:$D$14,MATCH(AM334,Mob_Demob!$A$6:$A$14,0)))*Settings!$B$6)+IF(AP334="Y",N(INDEX(Mob_Demob!$I$6:$I$14,MATCH(AM334,Mob_Demob!$A$6:$A$14,0)))*Settings!$B$19,0)+N(INDEX(Mob_Demob!$L$6:$L$14,MATCH(AM334,Mob_Demob!$A$6:$A$14,0)))*N(INDEX(Mob_Demob!$K$6:$K$14,MATCH(AM334,Mob_Demob!$A$6:$A$14,0)))*Settings!$B$6+N(INDEX(Mob_Demob!$M$6:$M$14,MATCH(AM334,Mob_Demob!$A$6:$A$14,0)))*N(INDEX(Mob_Demob!$N$6:$N$14,MATCH(AM334,Mob_Demob!$A$6:$A$14,0))),0)),"")</f>
        <v>400</v>
      </c>
      <c r="AR334" s="16" t="n">
        <f aca="false">IF(AQ334="","",ROUND(AQ334*Settings!$B$18,0))</f>
        <v>400</v>
      </c>
      <c r="AS334" s="13" t="s">
        <v>2174</v>
      </c>
      <c r="AT334" s="14" t="s">
        <v>2175</v>
      </c>
      <c r="AU334" s="14" t="s">
        <v>466</v>
      </c>
    </row>
    <row r="335" customFormat="false" ht="53.7" hidden="false" customHeight="false" outlineLevel="0" collapsed="false">
      <c r="A335" s="11" t="s">
        <v>2263</v>
      </c>
      <c r="B335" s="11" t="s">
        <v>2168</v>
      </c>
      <c r="C335" s="11" t="s">
        <v>2169</v>
      </c>
      <c r="D335" s="11" t="s">
        <v>2258</v>
      </c>
      <c r="E335" s="12" t="s">
        <v>2264</v>
      </c>
      <c r="F335" s="13" t="s">
        <v>2171</v>
      </c>
      <c r="G335" s="13" t="n">
        <v>13200</v>
      </c>
      <c r="H335" s="13" t="s">
        <v>334</v>
      </c>
      <c r="I335" s="14" t="s">
        <v>2265</v>
      </c>
      <c r="J335" s="15"/>
      <c r="K335" s="13"/>
      <c r="L335" s="13" t="s">
        <v>1007</v>
      </c>
      <c r="M335" s="13" t="n">
        <v>127</v>
      </c>
      <c r="N335" s="13" t="s">
        <v>184</v>
      </c>
      <c r="O335" s="13" t="s">
        <v>336</v>
      </c>
      <c r="P335" s="13" t="s">
        <v>186</v>
      </c>
      <c r="Q335" s="20" t="n">
        <v>2100</v>
      </c>
      <c r="R335" s="20" t="n">
        <v>5200</v>
      </c>
      <c r="S335" s="20" t="n">
        <v>13000</v>
      </c>
      <c r="T335" s="16"/>
      <c r="U335" s="16"/>
      <c r="V335" s="13" t="s">
        <v>187</v>
      </c>
      <c r="W335" s="17"/>
      <c r="X335" s="13"/>
      <c r="Y335" s="13" t="s">
        <v>1001</v>
      </c>
      <c r="Z335" s="13" t="s">
        <v>1002</v>
      </c>
      <c r="AA335" s="13" t="s">
        <v>192</v>
      </c>
      <c r="AB335" s="13"/>
      <c r="AC335" s="17"/>
      <c r="AD335" s="13"/>
      <c r="AE335" s="19"/>
      <c r="AF335" s="19"/>
      <c r="AG335" s="19"/>
      <c r="AH335" s="13"/>
      <c r="AI335" s="17"/>
      <c r="AJ335" s="13" t="s">
        <v>188</v>
      </c>
      <c r="AK335" s="13" t="s">
        <v>188</v>
      </c>
      <c r="AL335" s="14" t="s">
        <v>2173</v>
      </c>
      <c r="AM335" s="13" t="s">
        <v>507</v>
      </c>
      <c r="AN335" s="15"/>
      <c r="AO335" s="13"/>
      <c r="AP335" s="13" t="s">
        <v>196</v>
      </c>
      <c r="AQ335" s="16" t="n">
        <f aca="false">IFERROR(IF(AND(INDEX(Mob_Demob!$D$6:$D$14,MATCH(AM335,Mob_Demob!$A$6:$A$14,0))="",INDEX(Mob_Demob!$G$6:$G$14,MATCH(AM335,Mob_Demob!$A$6:$A$14,0))=""),"",ROUND(MAX(N(INDEX(Mob_Demob!$G$6:$G$14,MATCH(AM335,Mob_Demob!$A$6:$A$14,0))),N(INDEX(Mob_Demob!$D$6:$D$14,MATCH(AM335,Mob_Demob!$A$6:$A$14,0)))*Settings!$B$6)+IF(AP335="Y",N(INDEX(Mob_Demob!$I$6:$I$14,MATCH(AM335,Mob_Demob!$A$6:$A$14,0)))*Settings!$B$19,0)+N(INDEX(Mob_Demob!$L$6:$L$14,MATCH(AM335,Mob_Demob!$A$6:$A$14,0)))*N(INDEX(Mob_Demob!$K$6:$K$14,MATCH(AM335,Mob_Demob!$A$6:$A$14,0)))*Settings!$B$6+N(INDEX(Mob_Demob!$M$6:$M$14,MATCH(AM335,Mob_Demob!$A$6:$A$14,0)))*N(INDEX(Mob_Demob!$N$6:$N$14,MATCH(AM335,Mob_Demob!$A$6:$A$14,0))),0)),"")</f>
        <v>400</v>
      </c>
      <c r="AR335" s="16" t="n">
        <f aca="false">IF(AQ335="","",ROUND(AQ335*Settings!$B$18,0))</f>
        <v>400</v>
      </c>
      <c r="AS335" s="13" t="s">
        <v>2174</v>
      </c>
      <c r="AT335" s="14" t="s">
        <v>2266</v>
      </c>
      <c r="AU335" s="14" t="s">
        <v>2267</v>
      </c>
    </row>
    <row r="336" customFormat="false" ht="53.7" hidden="false" customHeight="false" outlineLevel="0" collapsed="false">
      <c r="A336" s="11" t="s">
        <v>2268</v>
      </c>
      <c r="B336" s="11" t="s">
        <v>2168</v>
      </c>
      <c r="C336" s="11" t="s">
        <v>2269</v>
      </c>
      <c r="D336" s="11" t="s">
        <v>2270</v>
      </c>
      <c r="E336" s="12" t="s">
        <v>2180</v>
      </c>
      <c r="F336" s="13" t="s">
        <v>2171</v>
      </c>
      <c r="G336" s="13" t="n">
        <v>5000</v>
      </c>
      <c r="H336" s="13" t="s">
        <v>334</v>
      </c>
      <c r="I336" s="14" t="s">
        <v>2271</v>
      </c>
      <c r="J336" s="15"/>
      <c r="K336" s="13"/>
      <c r="L336" s="13" t="s">
        <v>2180</v>
      </c>
      <c r="M336" s="13"/>
      <c r="N336" s="13" t="s">
        <v>2272</v>
      </c>
      <c r="O336" s="13" t="s">
        <v>336</v>
      </c>
      <c r="P336" s="13" t="s">
        <v>186</v>
      </c>
      <c r="Q336" s="20" t="n">
        <v>235</v>
      </c>
      <c r="R336" s="20" t="n">
        <v>715</v>
      </c>
      <c r="S336" s="20" t="n">
        <v>1969</v>
      </c>
      <c r="T336" s="20" t="n">
        <v>1775</v>
      </c>
      <c r="U336" s="20" t="n">
        <v>2115</v>
      </c>
      <c r="V336" s="13" t="s">
        <v>187</v>
      </c>
      <c r="W336" s="17"/>
      <c r="X336" s="13"/>
      <c r="Y336" s="13" t="s">
        <v>1178</v>
      </c>
      <c r="Z336" s="13" t="s">
        <v>260</v>
      </c>
      <c r="AA336" s="13" t="s">
        <v>213</v>
      </c>
      <c r="AB336" s="13"/>
      <c r="AC336" s="17"/>
      <c r="AD336" s="13"/>
      <c r="AE336" s="19"/>
      <c r="AF336" s="19"/>
      <c r="AG336" s="19"/>
      <c r="AH336" s="13"/>
      <c r="AI336" s="17"/>
      <c r="AJ336" s="13" t="s">
        <v>188</v>
      </c>
      <c r="AK336" s="13" t="s">
        <v>188</v>
      </c>
      <c r="AL336" s="14" t="s">
        <v>2173</v>
      </c>
      <c r="AM336" s="13" t="s">
        <v>507</v>
      </c>
      <c r="AN336" s="15"/>
      <c r="AO336" s="13"/>
      <c r="AP336" s="13" t="s">
        <v>196</v>
      </c>
      <c r="AQ336" s="16" t="n">
        <f aca="false">IFERROR(IF(AND(INDEX(Mob_Demob!$D$6:$D$14,MATCH(AM336,Mob_Demob!$A$6:$A$14,0))="",INDEX(Mob_Demob!$G$6:$G$14,MATCH(AM336,Mob_Demob!$A$6:$A$14,0))=""),"",ROUND(MAX(N(INDEX(Mob_Demob!$G$6:$G$14,MATCH(AM336,Mob_Demob!$A$6:$A$14,0))),N(INDEX(Mob_Demob!$D$6:$D$14,MATCH(AM336,Mob_Demob!$A$6:$A$14,0)))*Settings!$B$6)+IF(AP336="Y",N(INDEX(Mob_Demob!$I$6:$I$14,MATCH(AM336,Mob_Demob!$A$6:$A$14,0)))*Settings!$B$19,0)+N(INDEX(Mob_Demob!$L$6:$L$14,MATCH(AM336,Mob_Demob!$A$6:$A$14,0)))*N(INDEX(Mob_Demob!$K$6:$K$14,MATCH(AM336,Mob_Demob!$A$6:$A$14,0)))*Settings!$B$6+N(INDEX(Mob_Demob!$M$6:$M$14,MATCH(AM336,Mob_Demob!$A$6:$A$14,0)))*N(INDEX(Mob_Demob!$N$6:$N$14,MATCH(AM336,Mob_Demob!$A$6:$A$14,0))),0)),"")</f>
        <v>400</v>
      </c>
      <c r="AR336" s="16" t="n">
        <f aca="false">IF(AQ336="","",ROUND(AQ336*Settings!$B$18,0))</f>
        <v>400</v>
      </c>
      <c r="AS336" s="13" t="s">
        <v>2273</v>
      </c>
      <c r="AT336" s="14" t="s">
        <v>2274</v>
      </c>
      <c r="AU336" s="14" t="s">
        <v>262</v>
      </c>
    </row>
    <row r="337" customFormat="false" ht="53.7" hidden="false" customHeight="false" outlineLevel="0" collapsed="false">
      <c r="A337" s="11" t="s">
        <v>2275</v>
      </c>
      <c r="B337" s="11" t="s">
        <v>2168</v>
      </c>
      <c r="C337" s="11" t="s">
        <v>2269</v>
      </c>
      <c r="D337" s="11" t="s">
        <v>2276</v>
      </c>
      <c r="E337" s="12" t="s">
        <v>2192</v>
      </c>
      <c r="F337" s="13" t="s">
        <v>2171</v>
      </c>
      <c r="G337" s="13" t="n">
        <v>6000</v>
      </c>
      <c r="H337" s="13" t="s">
        <v>334</v>
      </c>
      <c r="I337" s="14" t="s">
        <v>2277</v>
      </c>
      <c r="J337" s="15"/>
      <c r="K337" s="13"/>
      <c r="L337" s="13" t="s">
        <v>2192</v>
      </c>
      <c r="M337" s="13"/>
      <c r="N337" s="13" t="s">
        <v>2272</v>
      </c>
      <c r="O337" s="13" t="s">
        <v>336</v>
      </c>
      <c r="P337" s="13" t="s">
        <v>186</v>
      </c>
      <c r="Q337" s="20" t="n">
        <v>250</v>
      </c>
      <c r="R337" s="20" t="n">
        <v>875</v>
      </c>
      <c r="S337" s="20" t="n">
        <v>2195</v>
      </c>
      <c r="T337" s="16"/>
      <c r="U337" s="16"/>
      <c r="V337" s="13" t="s">
        <v>187</v>
      </c>
      <c r="W337" s="17"/>
      <c r="X337" s="13"/>
      <c r="Y337" s="13" t="s">
        <v>1755</v>
      </c>
      <c r="Z337" s="13" t="s">
        <v>1756</v>
      </c>
      <c r="AA337" s="13" t="s">
        <v>192</v>
      </c>
      <c r="AB337" s="13" t="s">
        <v>2278</v>
      </c>
      <c r="AC337" s="18" t="n">
        <v>24.18</v>
      </c>
      <c r="AD337" s="13" t="s">
        <v>190</v>
      </c>
      <c r="AE337" s="19"/>
      <c r="AF337" s="19"/>
      <c r="AG337" s="19"/>
      <c r="AH337" s="13"/>
      <c r="AI337" s="17"/>
      <c r="AJ337" s="13" t="s">
        <v>192</v>
      </c>
      <c r="AK337" s="13" t="s">
        <v>188</v>
      </c>
      <c r="AL337" s="14" t="s">
        <v>2173</v>
      </c>
      <c r="AM337" s="13" t="s">
        <v>507</v>
      </c>
      <c r="AN337" s="15"/>
      <c r="AO337" s="13"/>
      <c r="AP337" s="13" t="s">
        <v>196</v>
      </c>
      <c r="AQ337" s="16" t="n">
        <f aca="false">IFERROR(IF(AND(INDEX(Mob_Demob!$D$6:$D$14,MATCH(AM337,Mob_Demob!$A$6:$A$14,0))="",INDEX(Mob_Demob!$G$6:$G$14,MATCH(AM337,Mob_Demob!$A$6:$A$14,0))=""),"",ROUND(MAX(N(INDEX(Mob_Demob!$G$6:$G$14,MATCH(AM337,Mob_Demob!$A$6:$A$14,0))),N(INDEX(Mob_Demob!$D$6:$D$14,MATCH(AM337,Mob_Demob!$A$6:$A$14,0)))*Settings!$B$6)+IF(AP337="Y",N(INDEX(Mob_Demob!$I$6:$I$14,MATCH(AM337,Mob_Demob!$A$6:$A$14,0)))*Settings!$B$19,0)+N(INDEX(Mob_Demob!$L$6:$L$14,MATCH(AM337,Mob_Demob!$A$6:$A$14,0)))*N(INDEX(Mob_Demob!$K$6:$K$14,MATCH(AM337,Mob_Demob!$A$6:$A$14,0)))*Settings!$B$6+N(INDEX(Mob_Demob!$M$6:$M$14,MATCH(AM337,Mob_Demob!$A$6:$A$14,0)))*N(INDEX(Mob_Demob!$N$6:$N$14,MATCH(AM337,Mob_Demob!$A$6:$A$14,0))),0)),"")</f>
        <v>400</v>
      </c>
      <c r="AR337" s="16" t="n">
        <f aca="false">IF(AQ337="","",ROUND(AQ337*Settings!$B$18,0))</f>
        <v>400</v>
      </c>
      <c r="AS337" s="13" t="s">
        <v>2273</v>
      </c>
      <c r="AT337" s="14" t="s">
        <v>2279</v>
      </c>
      <c r="AU337" s="14" t="s">
        <v>1300</v>
      </c>
    </row>
    <row r="338" customFormat="false" ht="53.7" hidden="false" customHeight="false" outlineLevel="0" collapsed="false">
      <c r="A338" s="11" t="s">
        <v>2280</v>
      </c>
      <c r="B338" s="11" t="s">
        <v>2168</v>
      </c>
      <c r="C338" s="11" t="s">
        <v>2269</v>
      </c>
      <c r="D338" s="11" t="s">
        <v>2276</v>
      </c>
      <c r="E338" s="12" t="s">
        <v>2281</v>
      </c>
      <c r="F338" s="13" t="s">
        <v>2171</v>
      </c>
      <c r="G338" s="13" t="n">
        <v>11000</v>
      </c>
      <c r="H338" s="13" t="s">
        <v>334</v>
      </c>
      <c r="I338" s="14" t="s">
        <v>2282</v>
      </c>
      <c r="J338" s="15"/>
      <c r="K338" s="13"/>
      <c r="L338" s="13" t="s">
        <v>2281</v>
      </c>
      <c r="M338" s="13"/>
      <c r="N338" s="13" t="s">
        <v>2272</v>
      </c>
      <c r="O338" s="13" t="s">
        <v>336</v>
      </c>
      <c r="P338" s="13" t="s">
        <v>186</v>
      </c>
      <c r="Q338" s="16"/>
      <c r="R338" s="16"/>
      <c r="S338" s="16"/>
      <c r="T338" s="16"/>
      <c r="U338" s="16"/>
      <c r="V338" s="13" t="s">
        <v>187</v>
      </c>
      <c r="W338" s="17"/>
      <c r="X338" s="13"/>
      <c r="Y338" s="13"/>
      <c r="Z338" s="13"/>
      <c r="AA338" s="13" t="s">
        <v>188</v>
      </c>
      <c r="AB338" s="13" t="s">
        <v>2283</v>
      </c>
      <c r="AC338" s="18" t="n">
        <v>28.77</v>
      </c>
      <c r="AD338" s="13" t="s">
        <v>190</v>
      </c>
      <c r="AE338" s="19"/>
      <c r="AF338" s="19"/>
      <c r="AG338" s="19"/>
      <c r="AH338" s="13"/>
      <c r="AI338" s="17"/>
      <c r="AJ338" s="13" t="s">
        <v>192</v>
      </c>
      <c r="AK338" s="13" t="s">
        <v>188</v>
      </c>
      <c r="AL338" s="14" t="s">
        <v>2173</v>
      </c>
      <c r="AM338" s="13" t="s">
        <v>507</v>
      </c>
      <c r="AN338" s="15"/>
      <c r="AO338" s="13"/>
      <c r="AP338" s="13" t="s">
        <v>196</v>
      </c>
      <c r="AQ338" s="16" t="n">
        <f aca="false">IFERROR(IF(AND(INDEX(Mob_Demob!$D$6:$D$14,MATCH(AM338,Mob_Demob!$A$6:$A$14,0))="",INDEX(Mob_Demob!$G$6:$G$14,MATCH(AM338,Mob_Demob!$A$6:$A$14,0))=""),"",ROUND(MAX(N(INDEX(Mob_Demob!$G$6:$G$14,MATCH(AM338,Mob_Demob!$A$6:$A$14,0))),N(INDEX(Mob_Demob!$D$6:$D$14,MATCH(AM338,Mob_Demob!$A$6:$A$14,0)))*Settings!$B$6)+IF(AP338="Y",N(INDEX(Mob_Demob!$I$6:$I$14,MATCH(AM338,Mob_Demob!$A$6:$A$14,0)))*Settings!$B$19,0)+N(INDEX(Mob_Demob!$L$6:$L$14,MATCH(AM338,Mob_Demob!$A$6:$A$14,0)))*N(INDEX(Mob_Demob!$K$6:$K$14,MATCH(AM338,Mob_Demob!$A$6:$A$14,0)))*Settings!$B$6+N(INDEX(Mob_Demob!$M$6:$M$14,MATCH(AM338,Mob_Demob!$A$6:$A$14,0)))*N(INDEX(Mob_Demob!$N$6:$N$14,MATCH(AM338,Mob_Demob!$A$6:$A$14,0))),0)),"")</f>
        <v>400</v>
      </c>
      <c r="AR338" s="16" t="n">
        <f aca="false">IF(AQ338="","",ROUND(AQ338*Settings!$B$18,0))</f>
        <v>400</v>
      </c>
      <c r="AS338" s="13" t="s">
        <v>2273</v>
      </c>
      <c r="AT338" s="14" t="s">
        <v>2284</v>
      </c>
      <c r="AU338" s="14" t="s">
        <v>838</v>
      </c>
    </row>
    <row r="339" customFormat="false" ht="53.7" hidden="false" customHeight="false" outlineLevel="0" collapsed="false">
      <c r="A339" s="11" t="s">
        <v>2285</v>
      </c>
      <c r="B339" s="11" t="s">
        <v>2168</v>
      </c>
      <c r="C339" s="11" t="s">
        <v>2269</v>
      </c>
      <c r="D339" s="11" t="s">
        <v>2276</v>
      </c>
      <c r="E339" s="12" t="s">
        <v>2286</v>
      </c>
      <c r="F339" s="13" t="s">
        <v>2171</v>
      </c>
      <c r="G339" s="13" t="n">
        <v>17500</v>
      </c>
      <c r="H339" s="13" t="s">
        <v>334</v>
      </c>
      <c r="I339" s="14" t="s">
        <v>2287</v>
      </c>
      <c r="J339" s="15"/>
      <c r="K339" s="13"/>
      <c r="L339" s="13" t="s">
        <v>2286</v>
      </c>
      <c r="M339" s="13"/>
      <c r="N339" s="13" t="s">
        <v>2272</v>
      </c>
      <c r="O339" s="13" t="s">
        <v>336</v>
      </c>
      <c r="P339" s="13" t="s">
        <v>186</v>
      </c>
      <c r="Q339" s="16"/>
      <c r="R339" s="16"/>
      <c r="S339" s="16"/>
      <c r="T339" s="16"/>
      <c r="U339" s="16"/>
      <c r="V339" s="13" t="s">
        <v>187</v>
      </c>
      <c r="W339" s="17"/>
      <c r="X339" s="13"/>
      <c r="Y339" s="13"/>
      <c r="Z339" s="13"/>
      <c r="AA339" s="13" t="s">
        <v>188</v>
      </c>
      <c r="AB339" s="13" t="s">
        <v>2288</v>
      </c>
      <c r="AC339" s="18" t="n">
        <v>32.32</v>
      </c>
      <c r="AD339" s="13" t="s">
        <v>190</v>
      </c>
      <c r="AE339" s="19"/>
      <c r="AF339" s="19"/>
      <c r="AG339" s="19"/>
      <c r="AH339" s="13"/>
      <c r="AI339" s="17"/>
      <c r="AJ339" s="13" t="s">
        <v>192</v>
      </c>
      <c r="AK339" s="13" t="s">
        <v>188</v>
      </c>
      <c r="AL339" s="14" t="s">
        <v>2173</v>
      </c>
      <c r="AM339" s="13" t="s">
        <v>507</v>
      </c>
      <c r="AN339" s="15"/>
      <c r="AO339" s="13"/>
      <c r="AP339" s="13" t="s">
        <v>196</v>
      </c>
      <c r="AQ339" s="16" t="n">
        <f aca="false">IFERROR(IF(AND(INDEX(Mob_Demob!$D$6:$D$14,MATCH(AM339,Mob_Demob!$A$6:$A$14,0))="",INDEX(Mob_Demob!$G$6:$G$14,MATCH(AM339,Mob_Demob!$A$6:$A$14,0))=""),"",ROUND(MAX(N(INDEX(Mob_Demob!$G$6:$G$14,MATCH(AM339,Mob_Demob!$A$6:$A$14,0))),N(INDEX(Mob_Demob!$D$6:$D$14,MATCH(AM339,Mob_Demob!$A$6:$A$14,0)))*Settings!$B$6)+IF(AP339="Y",N(INDEX(Mob_Demob!$I$6:$I$14,MATCH(AM339,Mob_Demob!$A$6:$A$14,0)))*Settings!$B$19,0)+N(INDEX(Mob_Demob!$L$6:$L$14,MATCH(AM339,Mob_Demob!$A$6:$A$14,0)))*N(INDEX(Mob_Demob!$K$6:$K$14,MATCH(AM339,Mob_Demob!$A$6:$A$14,0)))*Settings!$B$6+N(INDEX(Mob_Demob!$M$6:$M$14,MATCH(AM339,Mob_Demob!$A$6:$A$14,0)))*N(INDEX(Mob_Demob!$N$6:$N$14,MATCH(AM339,Mob_Demob!$A$6:$A$14,0))),0)),"")</f>
        <v>400</v>
      </c>
      <c r="AR339" s="16" t="n">
        <f aca="false">IF(AQ339="","",ROUND(AQ339*Settings!$B$18,0))</f>
        <v>400</v>
      </c>
      <c r="AS339" s="13" t="s">
        <v>2273</v>
      </c>
      <c r="AT339" s="14" t="s">
        <v>2284</v>
      </c>
      <c r="AU339" s="14" t="s">
        <v>838</v>
      </c>
    </row>
    <row r="340" customFormat="false" ht="53.7" hidden="false" customHeight="false" outlineLevel="0" collapsed="false">
      <c r="A340" s="11" t="s">
        <v>2289</v>
      </c>
      <c r="B340" s="11" t="s">
        <v>2168</v>
      </c>
      <c r="C340" s="11" t="s">
        <v>2269</v>
      </c>
      <c r="D340" s="11" t="s">
        <v>2276</v>
      </c>
      <c r="E340" s="12" t="s">
        <v>2290</v>
      </c>
      <c r="F340" s="13" t="s">
        <v>2171</v>
      </c>
      <c r="G340" s="13" t="n">
        <v>45000</v>
      </c>
      <c r="H340" s="13" t="s">
        <v>334</v>
      </c>
      <c r="I340" s="14" t="s">
        <v>2291</v>
      </c>
      <c r="J340" s="15"/>
      <c r="K340" s="13"/>
      <c r="L340" s="13" t="s">
        <v>2290</v>
      </c>
      <c r="M340" s="13"/>
      <c r="N340" s="13" t="s">
        <v>184</v>
      </c>
      <c r="O340" s="13" t="s">
        <v>336</v>
      </c>
      <c r="P340" s="13" t="s">
        <v>186</v>
      </c>
      <c r="Q340" s="16"/>
      <c r="R340" s="16"/>
      <c r="S340" s="16"/>
      <c r="T340" s="16"/>
      <c r="U340" s="16"/>
      <c r="V340" s="13" t="s">
        <v>187</v>
      </c>
      <c r="W340" s="17"/>
      <c r="X340" s="13"/>
      <c r="Y340" s="13"/>
      <c r="Z340" s="13"/>
      <c r="AA340" s="13" t="s">
        <v>188</v>
      </c>
      <c r="AB340" s="13" t="s">
        <v>2292</v>
      </c>
      <c r="AC340" s="18" t="n">
        <v>70.8</v>
      </c>
      <c r="AD340" s="13" t="s">
        <v>190</v>
      </c>
      <c r="AE340" s="19"/>
      <c r="AF340" s="19"/>
      <c r="AG340" s="19"/>
      <c r="AH340" s="13"/>
      <c r="AI340" s="17" t="str">
        <f aca="false">IF(OR(AC340="",AF340="",Settings!$B$5=""),"",ROUND(AC340-AF340*Settings!$B$5,2))</f>
        <v/>
      </c>
      <c r="AJ340" s="13" t="s">
        <v>192</v>
      </c>
      <c r="AK340" s="13" t="s">
        <v>193</v>
      </c>
      <c r="AL340" s="14" t="s">
        <v>2173</v>
      </c>
      <c r="AM340" s="13" t="s">
        <v>216</v>
      </c>
      <c r="AN340" s="15"/>
      <c r="AO340" s="13"/>
      <c r="AP340" s="13" t="s">
        <v>241</v>
      </c>
      <c r="AQ340" s="16" t="n">
        <f aca="false">IFERROR(IF(AND(INDEX(Mob_Demob!$D$6:$D$14,MATCH(AM340,Mob_Demob!$A$6:$A$14,0))="",INDEX(Mob_Demob!$G$6:$G$14,MATCH(AM340,Mob_Demob!$A$6:$A$14,0))=""),"",ROUND(MAX(N(INDEX(Mob_Demob!$G$6:$G$14,MATCH(AM340,Mob_Demob!$A$6:$A$14,0))),N(INDEX(Mob_Demob!$D$6:$D$14,MATCH(AM340,Mob_Demob!$A$6:$A$14,0)))*Settings!$B$6)+IF(AP340="Y",N(INDEX(Mob_Demob!$I$6:$I$14,MATCH(AM340,Mob_Demob!$A$6:$A$14,0)))*Settings!$B$19,0)+N(INDEX(Mob_Demob!$L$6:$L$14,MATCH(AM340,Mob_Demob!$A$6:$A$14,0)))*N(INDEX(Mob_Demob!$K$6:$K$14,MATCH(AM340,Mob_Demob!$A$6:$A$14,0)))*Settings!$B$6+N(INDEX(Mob_Demob!$M$6:$M$14,MATCH(AM340,Mob_Demob!$A$6:$A$14,0)))*N(INDEX(Mob_Demob!$N$6:$N$14,MATCH(AM340,Mob_Demob!$A$6:$A$14,0))),0)),"")</f>
        <v>550</v>
      </c>
      <c r="AR340" s="16" t="n">
        <f aca="false">IF(AQ340="","",ROUND(AQ340*Settings!$B$18,0))</f>
        <v>550</v>
      </c>
      <c r="AS340" s="13" t="s">
        <v>2273</v>
      </c>
      <c r="AT340" s="14" t="s">
        <v>2293</v>
      </c>
      <c r="AU340" s="14" t="s">
        <v>838</v>
      </c>
    </row>
    <row r="341" customFormat="false" ht="64.15" hidden="false" customHeight="false" outlineLevel="0" collapsed="false">
      <c r="A341" s="11" t="s">
        <v>2294</v>
      </c>
      <c r="B341" s="11" t="s">
        <v>2168</v>
      </c>
      <c r="C341" s="11" t="s">
        <v>2295</v>
      </c>
      <c r="D341" s="11" t="s">
        <v>2296</v>
      </c>
      <c r="E341" s="12" t="s">
        <v>2297</v>
      </c>
      <c r="F341" s="13" t="s">
        <v>149</v>
      </c>
      <c r="G341" s="13" t="n">
        <v>15</v>
      </c>
      <c r="H341" s="13" t="s">
        <v>926</v>
      </c>
      <c r="I341" s="14" t="s">
        <v>2298</v>
      </c>
      <c r="J341" s="15"/>
      <c r="K341" s="13"/>
      <c r="L341" s="13" t="s">
        <v>2299</v>
      </c>
      <c r="M341" s="13"/>
      <c r="N341" s="13" t="s">
        <v>184</v>
      </c>
      <c r="O341" s="13" t="s">
        <v>2300</v>
      </c>
      <c r="P341" s="13" t="s">
        <v>186</v>
      </c>
      <c r="Q341" s="16"/>
      <c r="R341" s="16"/>
      <c r="S341" s="16"/>
      <c r="T341" s="16"/>
      <c r="U341" s="16"/>
      <c r="V341" s="13" t="s">
        <v>187</v>
      </c>
      <c r="W341" s="17"/>
      <c r="X341" s="13"/>
      <c r="Y341" s="13"/>
      <c r="Z341" s="13"/>
      <c r="AA341" s="13" t="s">
        <v>188</v>
      </c>
      <c r="AB341" s="13"/>
      <c r="AC341" s="17"/>
      <c r="AD341" s="13"/>
      <c r="AE341" s="19"/>
      <c r="AF341" s="19"/>
      <c r="AG341" s="19"/>
      <c r="AH341" s="13"/>
      <c r="AI341" s="17"/>
      <c r="AJ341" s="13" t="s">
        <v>188</v>
      </c>
      <c r="AK341" s="13" t="s">
        <v>188</v>
      </c>
      <c r="AL341" s="14" t="s">
        <v>2301</v>
      </c>
      <c r="AM341" s="13" t="s">
        <v>216</v>
      </c>
      <c r="AN341" s="15"/>
      <c r="AO341" s="13"/>
      <c r="AP341" s="13" t="s">
        <v>241</v>
      </c>
      <c r="AQ341" s="16" t="n">
        <f aca="false">IFERROR(IF(AND(INDEX(Mob_Demob!$D$6:$D$14,MATCH(AM341,Mob_Demob!$A$6:$A$14,0))="",INDEX(Mob_Demob!$G$6:$G$14,MATCH(AM341,Mob_Demob!$A$6:$A$14,0))=""),"",ROUND(MAX(N(INDEX(Mob_Demob!$G$6:$G$14,MATCH(AM341,Mob_Demob!$A$6:$A$14,0))),N(INDEX(Mob_Demob!$D$6:$D$14,MATCH(AM341,Mob_Demob!$A$6:$A$14,0)))*Settings!$B$6)+IF(AP341="Y",N(INDEX(Mob_Demob!$I$6:$I$14,MATCH(AM341,Mob_Demob!$A$6:$A$14,0)))*Settings!$B$19,0)+N(INDEX(Mob_Demob!$L$6:$L$14,MATCH(AM341,Mob_Demob!$A$6:$A$14,0)))*N(INDEX(Mob_Demob!$K$6:$K$14,MATCH(AM341,Mob_Demob!$A$6:$A$14,0)))*Settings!$B$6+N(INDEX(Mob_Demob!$M$6:$M$14,MATCH(AM341,Mob_Demob!$A$6:$A$14,0)))*N(INDEX(Mob_Demob!$N$6:$N$14,MATCH(AM341,Mob_Demob!$A$6:$A$14,0))),0)),"")</f>
        <v>550</v>
      </c>
      <c r="AR341" s="16" t="n">
        <f aca="false">IF(AQ341="","",ROUND(AQ341*Settings!$B$18,0))</f>
        <v>550</v>
      </c>
      <c r="AS341" s="13" t="s">
        <v>2302</v>
      </c>
      <c r="AT341" s="14" t="s">
        <v>2303</v>
      </c>
      <c r="AU341" s="14" t="s">
        <v>466</v>
      </c>
    </row>
    <row r="342" customFormat="false" ht="64.15" hidden="false" customHeight="false" outlineLevel="0" collapsed="false">
      <c r="A342" s="11" t="s">
        <v>2304</v>
      </c>
      <c r="B342" s="11" t="s">
        <v>2168</v>
      </c>
      <c r="C342" s="11" t="s">
        <v>2295</v>
      </c>
      <c r="D342" s="11" t="s">
        <v>2305</v>
      </c>
      <c r="E342" s="12" t="s">
        <v>2306</v>
      </c>
      <c r="F342" s="13" t="s">
        <v>149</v>
      </c>
      <c r="G342" s="13" t="n">
        <v>20</v>
      </c>
      <c r="H342" s="13" t="s">
        <v>926</v>
      </c>
      <c r="I342" s="14" t="s">
        <v>2307</v>
      </c>
      <c r="J342" s="15"/>
      <c r="K342" s="13"/>
      <c r="L342" s="13" t="s">
        <v>2308</v>
      </c>
      <c r="M342" s="13"/>
      <c r="N342" s="13" t="s">
        <v>184</v>
      </c>
      <c r="O342" s="13" t="s">
        <v>2300</v>
      </c>
      <c r="P342" s="13" t="s">
        <v>186</v>
      </c>
      <c r="Q342" s="16"/>
      <c r="R342" s="16"/>
      <c r="S342" s="16"/>
      <c r="T342" s="16"/>
      <c r="U342" s="16"/>
      <c r="V342" s="13" t="s">
        <v>187</v>
      </c>
      <c r="W342" s="17"/>
      <c r="X342" s="13"/>
      <c r="Y342" s="13"/>
      <c r="Z342" s="13"/>
      <c r="AA342" s="13" t="s">
        <v>188</v>
      </c>
      <c r="AB342" s="13" t="s">
        <v>2309</v>
      </c>
      <c r="AC342" s="18" t="n">
        <v>127.06</v>
      </c>
      <c r="AD342" s="13" t="s">
        <v>190</v>
      </c>
      <c r="AE342" s="19"/>
      <c r="AF342" s="19"/>
      <c r="AG342" s="19"/>
      <c r="AH342" s="13"/>
      <c r="AI342" s="17" t="str">
        <f aca="false">IF(OR(AC342="",AF342="",Settings!$B$5=""),"",ROUND(AC342-AF342*Settings!$B$5,2))</f>
        <v/>
      </c>
      <c r="AJ342" s="13" t="s">
        <v>192</v>
      </c>
      <c r="AK342" s="13" t="s">
        <v>193</v>
      </c>
      <c r="AL342" s="14" t="s">
        <v>2301</v>
      </c>
      <c r="AM342" s="13" t="s">
        <v>216</v>
      </c>
      <c r="AN342" s="15"/>
      <c r="AO342" s="13"/>
      <c r="AP342" s="13" t="s">
        <v>241</v>
      </c>
      <c r="AQ342" s="16" t="n">
        <f aca="false">IFERROR(IF(AND(INDEX(Mob_Demob!$D$6:$D$14,MATCH(AM342,Mob_Demob!$A$6:$A$14,0))="",INDEX(Mob_Demob!$G$6:$G$14,MATCH(AM342,Mob_Demob!$A$6:$A$14,0))=""),"",ROUND(MAX(N(INDEX(Mob_Demob!$G$6:$G$14,MATCH(AM342,Mob_Demob!$A$6:$A$14,0))),N(INDEX(Mob_Demob!$D$6:$D$14,MATCH(AM342,Mob_Demob!$A$6:$A$14,0)))*Settings!$B$6)+IF(AP342="Y",N(INDEX(Mob_Demob!$I$6:$I$14,MATCH(AM342,Mob_Demob!$A$6:$A$14,0)))*Settings!$B$19,0)+N(INDEX(Mob_Demob!$L$6:$L$14,MATCH(AM342,Mob_Demob!$A$6:$A$14,0)))*N(INDEX(Mob_Demob!$K$6:$K$14,MATCH(AM342,Mob_Demob!$A$6:$A$14,0)))*Settings!$B$6+N(INDEX(Mob_Demob!$M$6:$M$14,MATCH(AM342,Mob_Demob!$A$6:$A$14,0)))*N(INDEX(Mob_Demob!$N$6:$N$14,MATCH(AM342,Mob_Demob!$A$6:$A$14,0))),0)),"")</f>
        <v>550</v>
      </c>
      <c r="AR342" s="16" t="n">
        <f aca="false">IF(AQ342="","",ROUND(AQ342*Settings!$B$18,0))</f>
        <v>550</v>
      </c>
      <c r="AS342" s="13" t="s">
        <v>2302</v>
      </c>
      <c r="AT342" s="14" t="s">
        <v>871</v>
      </c>
      <c r="AU342" s="14" t="s">
        <v>838</v>
      </c>
    </row>
    <row r="343" customFormat="false" ht="64.15" hidden="false" customHeight="false" outlineLevel="0" collapsed="false">
      <c r="A343" s="11" t="s">
        <v>2310</v>
      </c>
      <c r="B343" s="11" t="s">
        <v>2168</v>
      </c>
      <c r="C343" s="11" t="s">
        <v>2311</v>
      </c>
      <c r="D343" s="11" t="s">
        <v>2312</v>
      </c>
      <c r="E343" s="12" t="s">
        <v>2313</v>
      </c>
      <c r="F343" s="13" t="s">
        <v>149</v>
      </c>
      <c r="G343" s="13" t="n">
        <v>15</v>
      </c>
      <c r="H343" s="13" t="s">
        <v>926</v>
      </c>
      <c r="I343" s="14" t="s">
        <v>2314</v>
      </c>
      <c r="J343" s="15"/>
      <c r="K343" s="13"/>
      <c r="L343" s="13" t="s">
        <v>2299</v>
      </c>
      <c r="M343" s="13"/>
      <c r="N343" s="13" t="s">
        <v>184</v>
      </c>
      <c r="O343" s="13" t="s">
        <v>2300</v>
      </c>
      <c r="P343" s="13" t="s">
        <v>186</v>
      </c>
      <c r="Q343" s="16"/>
      <c r="R343" s="16"/>
      <c r="S343" s="16"/>
      <c r="T343" s="16"/>
      <c r="U343" s="16"/>
      <c r="V343" s="13" t="s">
        <v>187</v>
      </c>
      <c r="W343" s="17"/>
      <c r="X343" s="13"/>
      <c r="Y343" s="13"/>
      <c r="Z343" s="13"/>
      <c r="AA343" s="13" t="s">
        <v>188</v>
      </c>
      <c r="AB343" s="13" t="s">
        <v>2315</v>
      </c>
      <c r="AC343" s="18" t="n">
        <v>145.47</v>
      </c>
      <c r="AD343" s="13" t="s">
        <v>190</v>
      </c>
      <c r="AE343" s="19"/>
      <c r="AF343" s="19"/>
      <c r="AG343" s="19"/>
      <c r="AH343" s="13"/>
      <c r="AI343" s="17" t="str">
        <f aca="false">IF(OR(AC343="",AF343="",Settings!$B$5=""),"",ROUND(AC343-AF343*Settings!$B$5,2))</f>
        <v/>
      </c>
      <c r="AJ343" s="13" t="s">
        <v>192</v>
      </c>
      <c r="AK343" s="13" t="s">
        <v>193</v>
      </c>
      <c r="AL343" s="14" t="s">
        <v>2301</v>
      </c>
      <c r="AM343" s="13" t="s">
        <v>216</v>
      </c>
      <c r="AN343" s="15"/>
      <c r="AO343" s="13"/>
      <c r="AP343" s="13" t="s">
        <v>241</v>
      </c>
      <c r="AQ343" s="16" t="n">
        <f aca="false">IFERROR(IF(AND(INDEX(Mob_Demob!$D$6:$D$14,MATCH(AM343,Mob_Demob!$A$6:$A$14,0))="",INDEX(Mob_Demob!$G$6:$G$14,MATCH(AM343,Mob_Demob!$A$6:$A$14,0))=""),"",ROUND(MAX(N(INDEX(Mob_Demob!$G$6:$G$14,MATCH(AM343,Mob_Demob!$A$6:$A$14,0))),N(INDEX(Mob_Demob!$D$6:$D$14,MATCH(AM343,Mob_Demob!$A$6:$A$14,0)))*Settings!$B$6)+IF(AP343="Y",N(INDEX(Mob_Demob!$I$6:$I$14,MATCH(AM343,Mob_Demob!$A$6:$A$14,0)))*Settings!$B$19,0)+N(INDEX(Mob_Demob!$L$6:$L$14,MATCH(AM343,Mob_Demob!$A$6:$A$14,0)))*N(INDEX(Mob_Demob!$K$6:$K$14,MATCH(AM343,Mob_Demob!$A$6:$A$14,0)))*Settings!$B$6+N(INDEX(Mob_Demob!$M$6:$M$14,MATCH(AM343,Mob_Demob!$A$6:$A$14,0)))*N(INDEX(Mob_Demob!$N$6:$N$14,MATCH(AM343,Mob_Demob!$A$6:$A$14,0))),0)),"")</f>
        <v>550</v>
      </c>
      <c r="AR343" s="16" t="n">
        <f aca="false">IF(AQ343="","",ROUND(AQ343*Settings!$B$18,0))</f>
        <v>550</v>
      </c>
      <c r="AS343" s="13" t="s">
        <v>2302</v>
      </c>
      <c r="AT343" s="14" t="s">
        <v>871</v>
      </c>
      <c r="AU343" s="14" t="s">
        <v>838</v>
      </c>
    </row>
    <row r="344" customFormat="false" ht="64.15" hidden="false" customHeight="false" outlineLevel="0" collapsed="false">
      <c r="A344" s="11" t="s">
        <v>2316</v>
      </c>
      <c r="B344" s="11" t="s">
        <v>2168</v>
      </c>
      <c r="C344" s="11" t="s">
        <v>2311</v>
      </c>
      <c r="D344" s="11" t="s">
        <v>2317</v>
      </c>
      <c r="E344" s="12" t="s">
        <v>2318</v>
      </c>
      <c r="F344" s="13" t="s">
        <v>149</v>
      </c>
      <c r="G344" s="13" t="n">
        <v>50</v>
      </c>
      <c r="H344" s="13" t="s">
        <v>926</v>
      </c>
      <c r="I344" s="14" t="s">
        <v>2319</v>
      </c>
      <c r="J344" s="15"/>
      <c r="K344" s="13"/>
      <c r="L344" s="13" t="s">
        <v>2320</v>
      </c>
      <c r="M344" s="13"/>
      <c r="N344" s="13" t="s">
        <v>184</v>
      </c>
      <c r="O344" s="13" t="s">
        <v>2300</v>
      </c>
      <c r="P344" s="13" t="s">
        <v>186</v>
      </c>
      <c r="Q344" s="20" t="n">
        <v>1200</v>
      </c>
      <c r="R344" s="20" t="n">
        <v>3000</v>
      </c>
      <c r="S344" s="20" t="n">
        <v>7500</v>
      </c>
      <c r="T344" s="16"/>
      <c r="U344" s="16"/>
      <c r="V344" s="13" t="s">
        <v>187</v>
      </c>
      <c r="W344" s="17"/>
      <c r="X344" s="13"/>
      <c r="Y344" s="13" t="s">
        <v>1001</v>
      </c>
      <c r="Z344" s="13" t="s">
        <v>1002</v>
      </c>
      <c r="AA344" s="13" t="s">
        <v>192</v>
      </c>
      <c r="AB344" s="13"/>
      <c r="AC344" s="17"/>
      <c r="AD344" s="13"/>
      <c r="AE344" s="19"/>
      <c r="AF344" s="19"/>
      <c r="AG344" s="19"/>
      <c r="AH344" s="13"/>
      <c r="AI344" s="17"/>
      <c r="AJ344" s="13" t="s">
        <v>188</v>
      </c>
      <c r="AK344" s="13" t="s">
        <v>188</v>
      </c>
      <c r="AL344" s="14" t="s">
        <v>2301</v>
      </c>
      <c r="AM344" s="13" t="s">
        <v>268</v>
      </c>
      <c r="AN344" s="15"/>
      <c r="AO344" s="13"/>
      <c r="AP344" s="13" t="s">
        <v>269</v>
      </c>
      <c r="AQ344" s="16" t="n">
        <f aca="false">IFERROR(IF(AND(INDEX(Mob_Demob!$D$6:$D$14,MATCH(AM344,Mob_Demob!$A$6:$A$14,0))="",INDEX(Mob_Demob!$G$6:$G$14,MATCH(AM344,Mob_Demob!$A$6:$A$14,0))=""),"",ROUND(MAX(N(INDEX(Mob_Demob!$G$6:$G$14,MATCH(AM344,Mob_Demob!$A$6:$A$14,0))),N(INDEX(Mob_Demob!$D$6:$D$14,MATCH(AM344,Mob_Demob!$A$6:$A$14,0)))*Settings!$B$6)+IF(AP344="Y",N(INDEX(Mob_Demob!$I$6:$I$14,MATCH(AM344,Mob_Demob!$A$6:$A$14,0)))*Settings!$B$19,0)+N(INDEX(Mob_Demob!$L$6:$L$14,MATCH(AM344,Mob_Demob!$A$6:$A$14,0)))*N(INDEX(Mob_Demob!$K$6:$K$14,MATCH(AM344,Mob_Demob!$A$6:$A$14,0)))*Settings!$B$6+N(INDEX(Mob_Demob!$M$6:$M$14,MATCH(AM344,Mob_Demob!$A$6:$A$14,0)))*N(INDEX(Mob_Demob!$N$6:$N$14,MATCH(AM344,Mob_Demob!$A$6:$A$14,0))),0)),"")</f>
        <v>1800</v>
      </c>
      <c r="AR344" s="16" t="n">
        <f aca="false">IF(AQ344="","",ROUND(AQ344*Settings!$B$18,0))</f>
        <v>1800</v>
      </c>
      <c r="AS344" s="13" t="s">
        <v>2321</v>
      </c>
      <c r="AT344" s="14" t="s">
        <v>2322</v>
      </c>
      <c r="AU344" s="14" t="s">
        <v>262</v>
      </c>
    </row>
    <row r="345" customFormat="false" ht="64.15" hidden="false" customHeight="false" outlineLevel="0" collapsed="false">
      <c r="A345" s="11" t="s">
        <v>2323</v>
      </c>
      <c r="B345" s="11" t="s">
        <v>2168</v>
      </c>
      <c r="C345" s="11" t="s">
        <v>2311</v>
      </c>
      <c r="D345" s="11" t="s">
        <v>2317</v>
      </c>
      <c r="E345" s="12" t="s">
        <v>2324</v>
      </c>
      <c r="F345" s="13" t="s">
        <v>149</v>
      </c>
      <c r="G345" s="13" t="n">
        <v>65</v>
      </c>
      <c r="H345" s="13" t="s">
        <v>926</v>
      </c>
      <c r="I345" s="14" t="s">
        <v>2319</v>
      </c>
      <c r="J345" s="15"/>
      <c r="K345" s="13"/>
      <c r="L345" s="13" t="s">
        <v>2325</v>
      </c>
      <c r="M345" s="13"/>
      <c r="N345" s="13" t="s">
        <v>184</v>
      </c>
      <c r="O345" s="13" t="s">
        <v>2300</v>
      </c>
      <c r="P345" s="13" t="s">
        <v>186</v>
      </c>
      <c r="Q345" s="20" t="n">
        <v>1375</v>
      </c>
      <c r="R345" s="20" t="n">
        <v>3400</v>
      </c>
      <c r="S345" s="20" t="n">
        <v>8500</v>
      </c>
      <c r="T345" s="16"/>
      <c r="U345" s="16"/>
      <c r="V345" s="13" t="s">
        <v>187</v>
      </c>
      <c r="W345" s="17"/>
      <c r="X345" s="13"/>
      <c r="Y345" s="13" t="s">
        <v>1001</v>
      </c>
      <c r="Z345" s="13" t="s">
        <v>1002</v>
      </c>
      <c r="AA345" s="13" t="s">
        <v>192</v>
      </c>
      <c r="AB345" s="13"/>
      <c r="AC345" s="17"/>
      <c r="AD345" s="13"/>
      <c r="AE345" s="19"/>
      <c r="AF345" s="19"/>
      <c r="AG345" s="19"/>
      <c r="AH345" s="13"/>
      <c r="AI345" s="17"/>
      <c r="AJ345" s="13" t="s">
        <v>188</v>
      </c>
      <c r="AK345" s="13" t="s">
        <v>188</v>
      </c>
      <c r="AL345" s="14" t="s">
        <v>2301</v>
      </c>
      <c r="AM345" s="13" t="s">
        <v>268</v>
      </c>
      <c r="AN345" s="15"/>
      <c r="AO345" s="13"/>
      <c r="AP345" s="13" t="s">
        <v>269</v>
      </c>
      <c r="AQ345" s="16" t="n">
        <f aca="false">IFERROR(IF(AND(INDEX(Mob_Demob!$D$6:$D$14,MATCH(AM345,Mob_Demob!$A$6:$A$14,0))="",INDEX(Mob_Demob!$G$6:$G$14,MATCH(AM345,Mob_Demob!$A$6:$A$14,0))=""),"",ROUND(MAX(N(INDEX(Mob_Demob!$G$6:$G$14,MATCH(AM345,Mob_Demob!$A$6:$A$14,0))),N(INDEX(Mob_Demob!$D$6:$D$14,MATCH(AM345,Mob_Demob!$A$6:$A$14,0)))*Settings!$B$6)+IF(AP345="Y",N(INDEX(Mob_Demob!$I$6:$I$14,MATCH(AM345,Mob_Demob!$A$6:$A$14,0)))*Settings!$B$19,0)+N(INDEX(Mob_Demob!$L$6:$L$14,MATCH(AM345,Mob_Demob!$A$6:$A$14,0)))*N(INDEX(Mob_Demob!$K$6:$K$14,MATCH(AM345,Mob_Demob!$A$6:$A$14,0)))*Settings!$B$6+N(INDEX(Mob_Demob!$M$6:$M$14,MATCH(AM345,Mob_Demob!$A$6:$A$14,0)))*N(INDEX(Mob_Demob!$N$6:$N$14,MATCH(AM345,Mob_Demob!$A$6:$A$14,0))),0)),"")</f>
        <v>1800</v>
      </c>
      <c r="AR345" s="16" t="n">
        <f aca="false">IF(AQ345="","",ROUND(AQ345*Settings!$B$18,0))</f>
        <v>1800</v>
      </c>
      <c r="AS345" s="13" t="s">
        <v>2321</v>
      </c>
      <c r="AT345" s="14" t="s">
        <v>2322</v>
      </c>
      <c r="AU345" s="14" t="s">
        <v>262</v>
      </c>
    </row>
    <row r="346" customFormat="false" ht="64.15" hidden="false" customHeight="false" outlineLevel="0" collapsed="false">
      <c r="A346" s="11" t="s">
        <v>2326</v>
      </c>
      <c r="B346" s="11" t="s">
        <v>2168</v>
      </c>
      <c r="C346" s="11" t="s">
        <v>2311</v>
      </c>
      <c r="D346" s="11" t="s">
        <v>2317</v>
      </c>
      <c r="E346" s="12" t="s">
        <v>2327</v>
      </c>
      <c r="F346" s="13" t="s">
        <v>149</v>
      </c>
      <c r="G346" s="13" t="n">
        <v>85</v>
      </c>
      <c r="H346" s="13" t="s">
        <v>926</v>
      </c>
      <c r="I346" s="14" t="s">
        <v>2319</v>
      </c>
      <c r="J346" s="15"/>
      <c r="K346" s="13"/>
      <c r="L346" s="13" t="s">
        <v>2328</v>
      </c>
      <c r="M346" s="13"/>
      <c r="N346" s="13" t="s">
        <v>184</v>
      </c>
      <c r="O346" s="13" t="s">
        <v>2300</v>
      </c>
      <c r="P346" s="13" t="s">
        <v>186</v>
      </c>
      <c r="Q346" s="20" t="n">
        <v>2000</v>
      </c>
      <c r="R346" s="20" t="n">
        <v>5000</v>
      </c>
      <c r="S346" s="20" t="n">
        <v>12500</v>
      </c>
      <c r="T346" s="16"/>
      <c r="U346" s="16"/>
      <c r="V346" s="13" t="s">
        <v>187</v>
      </c>
      <c r="W346" s="17"/>
      <c r="X346" s="13"/>
      <c r="Y346" s="13" t="s">
        <v>1001</v>
      </c>
      <c r="Z346" s="13" t="s">
        <v>1002</v>
      </c>
      <c r="AA346" s="13" t="s">
        <v>192</v>
      </c>
      <c r="AB346" s="13"/>
      <c r="AC346" s="17"/>
      <c r="AD346" s="13"/>
      <c r="AE346" s="19"/>
      <c r="AF346" s="19"/>
      <c r="AG346" s="19"/>
      <c r="AH346" s="13"/>
      <c r="AI346" s="17"/>
      <c r="AJ346" s="13" t="s">
        <v>188</v>
      </c>
      <c r="AK346" s="13" t="s">
        <v>188</v>
      </c>
      <c r="AL346" s="14" t="s">
        <v>2301</v>
      </c>
      <c r="AM346" s="13" t="s">
        <v>268</v>
      </c>
      <c r="AN346" s="15"/>
      <c r="AO346" s="13"/>
      <c r="AP346" s="13" t="s">
        <v>269</v>
      </c>
      <c r="AQ346" s="16" t="n">
        <f aca="false">IFERROR(IF(AND(INDEX(Mob_Demob!$D$6:$D$14,MATCH(AM346,Mob_Demob!$A$6:$A$14,0))="",INDEX(Mob_Demob!$G$6:$G$14,MATCH(AM346,Mob_Demob!$A$6:$A$14,0))=""),"",ROUND(MAX(N(INDEX(Mob_Demob!$G$6:$G$14,MATCH(AM346,Mob_Demob!$A$6:$A$14,0))),N(INDEX(Mob_Demob!$D$6:$D$14,MATCH(AM346,Mob_Demob!$A$6:$A$14,0)))*Settings!$B$6)+IF(AP346="Y",N(INDEX(Mob_Demob!$I$6:$I$14,MATCH(AM346,Mob_Demob!$A$6:$A$14,0)))*Settings!$B$19,0)+N(INDEX(Mob_Demob!$L$6:$L$14,MATCH(AM346,Mob_Demob!$A$6:$A$14,0)))*N(INDEX(Mob_Demob!$K$6:$K$14,MATCH(AM346,Mob_Demob!$A$6:$A$14,0)))*Settings!$B$6+N(INDEX(Mob_Demob!$M$6:$M$14,MATCH(AM346,Mob_Demob!$A$6:$A$14,0)))*N(INDEX(Mob_Demob!$N$6:$N$14,MATCH(AM346,Mob_Demob!$A$6:$A$14,0))),0)),"")</f>
        <v>1800</v>
      </c>
      <c r="AR346" s="16" t="n">
        <f aca="false">IF(AQ346="","",ROUND(AQ346*Settings!$B$18,0))</f>
        <v>1800</v>
      </c>
      <c r="AS346" s="13" t="s">
        <v>2321</v>
      </c>
      <c r="AT346" s="14" t="s">
        <v>2322</v>
      </c>
      <c r="AU346" s="14" t="s">
        <v>262</v>
      </c>
    </row>
    <row r="347" customFormat="false" ht="64.15" hidden="false" customHeight="false" outlineLevel="0" collapsed="false">
      <c r="A347" s="11" t="s">
        <v>2329</v>
      </c>
      <c r="B347" s="11" t="s">
        <v>2168</v>
      </c>
      <c r="C347" s="11" t="s">
        <v>2311</v>
      </c>
      <c r="D347" s="11" t="s">
        <v>2317</v>
      </c>
      <c r="E347" s="12" t="s">
        <v>2330</v>
      </c>
      <c r="F347" s="13" t="s">
        <v>149</v>
      </c>
      <c r="G347" s="13" t="n">
        <v>100</v>
      </c>
      <c r="H347" s="13" t="s">
        <v>926</v>
      </c>
      <c r="I347" s="14" t="s">
        <v>2319</v>
      </c>
      <c r="J347" s="15"/>
      <c r="K347" s="13"/>
      <c r="L347" s="13" t="s">
        <v>2331</v>
      </c>
      <c r="M347" s="13"/>
      <c r="N347" s="13" t="s">
        <v>184</v>
      </c>
      <c r="O347" s="13" t="s">
        <v>2300</v>
      </c>
      <c r="P347" s="13" t="s">
        <v>186</v>
      </c>
      <c r="Q347" s="20" t="n">
        <v>2250</v>
      </c>
      <c r="R347" s="20" t="n">
        <v>5600</v>
      </c>
      <c r="S347" s="20" t="n">
        <v>14000</v>
      </c>
      <c r="T347" s="16"/>
      <c r="U347" s="16"/>
      <c r="V347" s="13" t="s">
        <v>187</v>
      </c>
      <c r="W347" s="17"/>
      <c r="X347" s="13"/>
      <c r="Y347" s="13" t="s">
        <v>1001</v>
      </c>
      <c r="Z347" s="13" t="s">
        <v>1002</v>
      </c>
      <c r="AA347" s="13" t="s">
        <v>192</v>
      </c>
      <c r="AB347" s="13"/>
      <c r="AC347" s="17"/>
      <c r="AD347" s="13"/>
      <c r="AE347" s="19"/>
      <c r="AF347" s="19"/>
      <c r="AG347" s="19"/>
      <c r="AH347" s="13"/>
      <c r="AI347" s="17"/>
      <c r="AJ347" s="13" t="s">
        <v>188</v>
      </c>
      <c r="AK347" s="13" t="s">
        <v>188</v>
      </c>
      <c r="AL347" s="14" t="s">
        <v>2301</v>
      </c>
      <c r="AM347" s="13" t="s">
        <v>268</v>
      </c>
      <c r="AN347" s="15"/>
      <c r="AO347" s="13"/>
      <c r="AP347" s="13" t="s">
        <v>269</v>
      </c>
      <c r="AQ347" s="16" t="n">
        <f aca="false">IFERROR(IF(AND(INDEX(Mob_Demob!$D$6:$D$14,MATCH(AM347,Mob_Demob!$A$6:$A$14,0))="",INDEX(Mob_Demob!$G$6:$G$14,MATCH(AM347,Mob_Demob!$A$6:$A$14,0))=""),"",ROUND(MAX(N(INDEX(Mob_Demob!$G$6:$G$14,MATCH(AM347,Mob_Demob!$A$6:$A$14,0))),N(INDEX(Mob_Demob!$D$6:$D$14,MATCH(AM347,Mob_Demob!$A$6:$A$14,0)))*Settings!$B$6)+IF(AP347="Y",N(INDEX(Mob_Demob!$I$6:$I$14,MATCH(AM347,Mob_Demob!$A$6:$A$14,0)))*Settings!$B$19,0)+N(INDEX(Mob_Demob!$L$6:$L$14,MATCH(AM347,Mob_Demob!$A$6:$A$14,0)))*N(INDEX(Mob_Demob!$K$6:$K$14,MATCH(AM347,Mob_Demob!$A$6:$A$14,0)))*Settings!$B$6+N(INDEX(Mob_Demob!$M$6:$M$14,MATCH(AM347,Mob_Demob!$A$6:$A$14,0)))*N(INDEX(Mob_Demob!$N$6:$N$14,MATCH(AM347,Mob_Demob!$A$6:$A$14,0))),0)),"")</f>
        <v>1800</v>
      </c>
      <c r="AR347" s="16" t="n">
        <f aca="false">IF(AQ347="","",ROUND(AQ347*Settings!$B$18,0))</f>
        <v>1800</v>
      </c>
      <c r="AS347" s="13" t="s">
        <v>2321</v>
      </c>
      <c r="AT347" s="14" t="s">
        <v>2322</v>
      </c>
      <c r="AU347" s="14" t="s">
        <v>262</v>
      </c>
    </row>
    <row r="348" customFormat="false" ht="64.15" hidden="false" customHeight="false" outlineLevel="0" collapsed="false">
      <c r="A348" s="11" t="s">
        <v>2332</v>
      </c>
      <c r="B348" s="11" t="s">
        <v>2168</v>
      </c>
      <c r="C348" s="11" t="s">
        <v>2333</v>
      </c>
      <c r="D348" s="11" t="s">
        <v>2334</v>
      </c>
      <c r="E348" s="12" t="s">
        <v>2335</v>
      </c>
      <c r="F348" s="13" t="s">
        <v>149</v>
      </c>
      <c r="G348" s="13" t="n">
        <v>9.5</v>
      </c>
      <c r="H348" s="13" t="s">
        <v>926</v>
      </c>
      <c r="I348" s="14" t="s">
        <v>2336</v>
      </c>
      <c r="J348" s="15"/>
      <c r="K348" s="13" t="n">
        <v>240</v>
      </c>
      <c r="L348" s="13" t="s">
        <v>2337</v>
      </c>
      <c r="M348" s="13"/>
      <c r="N348" s="13" t="s">
        <v>184</v>
      </c>
      <c r="O348" s="13" t="s">
        <v>2300</v>
      </c>
      <c r="P348" s="13" t="s">
        <v>2338</v>
      </c>
      <c r="Q348" s="16"/>
      <c r="R348" s="16"/>
      <c r="S348" s="16"/>
      <c r="T348" s="16"/>
      <c r="U348" s="16"/>
      <c r="V348" s="13" t="s">
        <v>187</v>
      </c>
      <c r="W348" s="17"/>
      <c r="X348" s="13"/>
      <c r="Y348" s="13"/>
      <c r="Z348" s="13"/>
      <c r="AA348" s="13" t="s">
        <v>188</v>
      </c>
      <c r="AB348" s="13" t="s">
        <v>2339</v>
      </c>
      <c r="AC348" s="18" t="n">
        <v>54.67</v>
      </c>
      <c r="AD348" s="13" t="s">
        <v>190</v>
      </c>
      <c r="AE348" s="19" t="n">
        <f aca="false">ROUND(K348*Settings!$B$11*Settings!$B$13,2)</f>
        <v>4.08</v>
      </c>
      <c r="AF348" s="19" t="n">
        <f aca="false">ROUND(K348*Settings!$B$11*Settings!$B$14,2)</f>
        <v>5.37</v>
      </c>
      <c r="AG348" s="19" t="n">
        <f aca="false">ROUND(K348*Settings!$B$11*Settings!$B$15,2)</f>
        <v>7</v>
      </c>
      <c r="AH348" s="13" t="s">
        <v>191</v>
      </c>
      <c r="AI348" s="17" t="n">
        <f aca="false">IF(OR(AC348="",AF348="",Settings!$B$5=""),"",ROUND(AC348-AF348*Settings!$B$5,2))</f>
        <v>35.02</v>
      </c>
      <c r="AJ348" s="13" t="s">
        <v>192</v>
      </c>
      <c r="AK348" s="13" t="s">
        <v>193</v>
      </c>
      <c r="AL348" s="14" t="s">
        <v>2301</v>
      </c>
      <c r="AM348" s="13" t="s">
        <v>484</v>
      </c>
      <c r="AN348" s="15"/>
      <c r="AO348" s="13"/>
      <c r="AP348" s="13" t="s">
        <v>196</v>
      </c>
      <c r="AQ348" s="16" t="str">
        <f aca="false">IFERROR(IF(AND(INDEX(Mob_Demob!$D$6:$D$14,MATCH(AM348,Mob_Demob!$A$6:$A$14,0))="",INDEX(Mob_Demob!$G$6:$G$14,MATCH(AM348,Mob_Demob!$A$6:$A$14,0))=""),"",ROUND(MAX(N(INDEX(Mob_Demob!$G$6:$G$14,MATCH(AM348,Mob_Demob!$A$6:$A$14,0))),N(INDEX(Mob_Demob!$D$6:$D$14,MATCH(AM348,Mob_Demob!$A$6:$A$14,0)))*Settings!$B$6)+IF(AP348="Y",N(INDEX(Mob_Demob!$I$6:$I$14,MATCH(AM348,Mob_Demob!$A$6:$A$14,0)))*Settings!$B$19,0)+N(INDEX(Mob_Demob!$L$6:$L$14,MATCH(AM348,Mob_Demob!$A$6:$A$14,0)))*N(INDEX(Mob_Demob!$K$6:$K$14,MATCH(AM348,Mob_Demob!$A$6:$A$14,0)))*Settings!$B$6+N(INDEX(Mob_Demob!$M$6:$M$14,MATCH(AM348,Mob_Demob!$A$6:$A$14,0)))*N(INDEX(Mob_Demob!$N$6:$N$14,MATCH(AM348,Mob_Demob!$A$6:$A$14,0))),0)),"")</f>
        <v/>
      </c>
      <c r="AR348" s="16" t="str">
        <f aca="false">IF(AQ348="","",ROUND(AQ348*Settings!$B$18,0))</f>
        <v/>
      </c>
      <c r="AS348" s="13" t="s">
        <v>2302</v>
      </c>
      <c r="AT348" s="14" t="s">
        <v>2340</v>
      </c>
      <c r="AU348" s="14" t="s">
        <v>199</v>
      </c>
    </row>
    <row r="349" customFormat="false" ht="64.15" hidden="false" customHeight="false" outlineLevel="0" collapsed="false">
      <c r="A349" s="11" t="s">
        <v>2341</v>
      </c>
      <c r="B349" s="11" t="s">
        <v>2168</v>
      </c>
      <c r="C349" s="11" t="s">
        <v>2333</v>
      </c>
      <c r="D349" s="11" t="s">
        <v>2334</v>
      </c>
      <c r="E349" s="12" t="s">
        <v>2342</v>
      </c>
      <c r="F349" s="13" t="s">
        <v>149</v>
      </c>
      <c r="G349" s="13" t="n">
        <v>23</v>
      </c>
      <c r="H349" s="13" t="s">
        <v>926</v>
      </c>
      <c r="I349" s="14" t="s">
        <v>2343</v>
      </c>
      <c r="J349" s="15"/>
      <c r="K349" s="13" t="n">
        <v>510</v>
      </c>
      <c r="L349" s="13" t="s">
        <v>2344</v>
      </c>
      <c r="M349" s="13"/>
      <c r="N349" s="13" t="s">
        <v>184</v>
      </c>
      <c r="O349" s="13" t="s">
        <v>2300</v>
      </c>
      <c r="P349" s="13" t="s">
        <v>2338</v>
      </c>
      <c r="Q349" s="16"/>
      <c r="R349" s="16"/>
      <c r="S349" s="16"/>
      <c r="T349" s="16"/>
      <c r="U349" s="16"/>
      <c r="V349" s="13" t="s">
        <v>1050</v>
      </c>
      <c r="W349" s="18" t="n">
        <v>210</v>
      </c>
      <c r="X349" s="13" t="n">
        <v>3</v>
      </c>
      <c r="Y349" s="13" t="s">
        <v>2345</v>
      </c>
      <c r="Z349" s="13" t="s">
        <v>260</v>
      </c>
      <c r="AA349" s="13" t="s">
        <v>213</v>
      </c>
      <c r="AB349" s="13" t="s">
        <v>2346</v>
      </c>
      <c r="AC349" s="18" t="n">
        <v>74.96</v>
      </c>
      <c r="AD349" s="13" t="s">
        <v>190</v>
      </c>
      <c r="AE349" s="19" t="n">
        <f aca="false">ROUND(K349*Settings!$B$11*Settings!$B$13,2)</f>
        <v>8.68</v>
      </c>
      <c r="AF349" s="19" t="n">
        <f aca="false">ROUND(K349*Settings!$B$11*Settings!$B$14,2)</f>
        <v>11.4</v>
      </c>
      <c r="AG349" s="19" t="n">
        <f aca="false">ROUND(K349*Settings!$B$11*Settings!$B$15,2)</f>
        <v>14.87</v>
      </c>
      <c r="AH349" s="13" t="s">
        <v>191</v>
      </c>
      <c r="AI349" s="17" t="n">
        <f aca="false">IF(OR(AC349="",AF349="",Settings!$B$5=""),"",ROUND(AC349-AF349*Settings!$B$5,2))</f>
        <v>33.24</v>
      </c>
      <c r="AJ349" s="13" t="s">
        <v>192</v>
      </c>
      <c r="AK349" s="13" t="s">
        <v>193</v>
      </c>
      <c r="AL349" s="14" t="s">
        <v>2301</v>
      </c>
      <c r="AM349" s="13" t="s">
        <v>484</v>
      </c>
      <c r="AN349" s="15"/>
      <c r="AO349" s="13"/>
      <c r="AP349" s="13" t="s">
        <v>196</v>
      </c>
      <c r="AQ349" s="16" t="str">
        <f aca="false">IFERROR(IF(AND(INDEX(Mob_Demob!$D$6:$D$14,MATCH(AM349,Mob_Demob!$A$6:$A$14,0))="",INDEX(Mob_Demob!$G$6:$G$14,MATCH(AM349,Mob_Demob!$A$6:$A$14,0))=""),"",ROUND(MAX(N(INDEX(Mob_Demob!$G$6:$G$14,MATCH(AM349,Mob_Demob!$A$6:$A$14,0))),N(INDEX(Mob_Demob!$D$6:$D$14,MATCH(AM349,Mob_Demob!$A$6:$A$14,0)))*Settings!$B$6)+IF(AP349="Y",N(INDEX(Mob_Demob!$I$6:$I$14,MATCH(AM349,Mob_Demob!$A$6:$A$14,0)))*Settings!$B$19,0)+N(INDEX(Mob_Demob!$L$6:$L$14,MATCH(AM349,Mob_Demob!$A$6:$A$14,0)))*N(INDEX(Mob_Demob!$K$6:$K$14,MATCH(AM349,Mob_Demob!$A$6:$A$14,0)))*Settings!$B$6+N(INDEX(Mob_Demob!$M$6:$M$14,MATCH(AM349,Mob_Demob!$A$6:$A$14,0)))*N(INDEX(Mob_Demob!$N$6:$N$14,MATCH(AM349,Mob_Demob!$A$6:$A$14,0))),0)),"")</f>
        <v/>
      </c>
      <c r="AR349" s="16" t="str">
        <f aca="false">IF(AQ349="","",ROUND(AQ349*Settings!$B$18,0))</f>
        <v/>
      </c>
      <c r="AS349" s="13" t="s">
        <v>2302</v>
      </c>
      <c r="AT349" s="14" t="s">
        <v>2347</v>
      </c>
      <c r="AU349" s="14"/>
    </row>
    <row r="350" customFormat="false" ht="64.15" hidden="false" customHeight="false" outlineLevel="0" collapsed="false">
      <c r="A350" s="11" t="s">
        <v>2348</v>
      </c>
      <c r="B350" s="11" t="s">
        <v>2168</v>
      </c>
      <c r="C350" s="11" t="s">
        <v>2333</v>
      </c>
      <c r="D350" s="11" t="s">
        <v>2334</v>
      </c>
      <c r="E350" s="12" t="s">
        <v>2349</v>
      </c>
      <c r="F350" s="13" t="s">
        <v>149</v>
      </c>
      <c r="G350" s="13" t="n">
        <v>30</v>
      </c>
      <c r="H350" s="13" t="s">
        <v>926</v>
      </c>
      <c r="I350" s="14" t="s">
        <v>2350</v>
      </c>
      <c r="J350" s="15"/>
      <c r="K350" s="13" t="n">
        <v>510</v>
      </c>
      <c r="L350" s="13" t="s">
        <v>2351</v>
      </c>
      <c r="M350" s="13"/>
      <c r="N350" s="13" t="s">
        <v>184</v>
      </c>
      <c r="O350" s="13" t="s">
        <v>2300</v>
      </c>
      <c r="P350" s="13" t="s">
        <v>2338</v>
      </c>
      <c r="Q350" s="16"/>
      <c r="R350" s="16"/>
      <c r="S350" s="16"/>
      <c r="T350" s="16"/>
      <c r="U350" s="16"/>
      <c r="V350" s="13" t="s">
        <v>1050</v>
      </c>
      <c r="W350" s="18" t="n">
        <v>175</v>
      </c>
      <c r="X350" s="13" t="n">
        <v>4</v>
      </c>
      <c r="Y350" s="13" t="s">
        <v>2352</v>
      </c>
      <c r="Z350" s="13" t="s">
        <v>260</v>
      </c>
      <c r="AA350" s="13" t="s">
        <v>192</v>
      </c>
      <c r="AB350" s="13" t="s">
        <v>2353</v>
      </c>
      <c r="AC350" s="18" t="n">
        <v>111.64</v>
      </c>
      <c r="AD350" s="13" t="s">
        <v>190</v>
      </c>
      <c r="AE350" s="19" t="n">
        <f aca="false">ROUND(K350*Settings!$B$11*Settings!$B$13,2)</f>
        <v>8.68</v>
      </c>
      <c r="AF350" s="19" t="n">
        <f aca="false">ROUND(K350*Settings!$B$11*Settings!$B$14,2)</f>
        <v>11.4</v>
      </c>
      <c r="AG350" s="19" t="n">
        <f aca="false">ROUND(K350*Settings!$B$11*Settings!$B$15,2)</f>
        <v>14.87</v>
      </c>
      <c r="AH350" s="13" t="s">
        <v>191</v>
      </c>
      <c r="AI350" s="17" t="n">
        <f aca="false">IF(OR(AC350="",AF350="",Settings!$B$5=""),"",ROUND(AC350-AF350*Settings!$B$5,2))</f>
        <v>69.92</v>
      </c>
      <c r="AJ350" s="13" t="s">
        <v>192</v>
      </c>
      <c r="AK350" s="13" t="s">
        <v>193</v>
      </c>
      <c r="AL350" s="14" t="s">
        <v>2301</v>
      </c>
      <c r="AM350" s="13" t="s">
        <v>484</v>
      </c>
      <c r="AN350" s="15"/>
      <c r="AO350" s="13"/>
      <c r="AP350" s="13" t="s">
        <v>196</v>
      </c>
      <c r="AQ350" s="16" t="str">
        <f aca="false">IFERROR(IF(AND(INDEX(Mob_Demob!$D$6:$D$14,MATCH(AM350,Mob_Demob!$A$6:$A$14,0))="",INDEX(Mob_Demob!$G$6:$G$14,MATCH(AM350,Mob_Demob!$A$6:$A$14,0))=""),"",ROUND(MAX(N(INDEX(Mob_Demob!$G$6:$G$14,MATCH(AM350,Mob_Demob!$A$6:$A$14,0))),N(INDEX(Mob_Demob!$D$6:$D$14,MATCH(AM350,Mob_Demob!$A$6:$A$14,0)))*Settings!$B$6)+IF(AP350="Y",N(INDEX(Mob_Demob!$I$6:$I$14,MATCH(AM350,Mob_Demob!$A$6:$A$14,0)))*Settings!$B$19,0)+N(INDEX(Mob_Demob!$L$6:$L$14,MATCH(AM350,Mob_Demob!$A$6:$A$14,0)))*N(INDEX(Mob_Demob!$K$6:$K$14,MATCH(AM350,Mob_Demob!$A$6:$A$14,0)))*Settings!$B$6+N(INDEX(Mob_Demob!$M$6:$M$14,MATCH(AM350,Mob_Demob!$A$6:$A$14,0)))*N(INDEX(Mob_Demob!$N$6:$N$14,MATCH(AM350,Mob_Demob!$A$6:$A$14,0))),0)),"")</f>
        <v/>
      </c>
      <c r="AR350" s="16" t="str">
        <f aca="false">IF(AQ350="","",ROUND(AQ350*Settings!$B$18,0))</f>
        <v/>
      </c>
      <c r="AS350" s="13" t="s">
        <v>2302</v>
      </c>
      <c r="AT350" s="14" t="s">
        <v>2354</v>
      </c>
      <c r="AU350" s="14"/>
    </row>
    <row r="351" customFormat="false" ht="64.15" hidden="false" customHeight="false" outlineLevel="0" collapsed="false">
      <c r="A351" s="11" t="s">
        <v>2355</v>
      </c>
      <c r="B351" s="11" t="s">
        <v>2168</v>
      </c>
      <c r="C351" s="11" t="s">
        <v>2356</v>
      </c>
      <c r="D351" s="11" t="s">
        <v>2357</v>
      </c>
      <c r="E351" s="12" t="s">
        <v>2358</v>
      </c>
      <c r="F351" s="13" t="s">
        <v>149</v>
      </c>
      <c r="G351" s="13" t="n">
        <v>40</v>
      </c>
      <c r="H351" s="13" t="s">
        <v>926</v>
      </c>
      <c r="I351" s="14" t="s">
        <v>2359</v>
      </c>
      <c r="J351" s="15"/>
      <c r="K351" s="13"/>
      <c r="L351" s="13" t="s">
        <v>2360</v>
      </c>
      <c r="M351" s="13"/>
      <c r="N351" s="13" t="s">
        <v>184</v>
      </c>
      <c r="O351" s="13" t="s">
        <v>2361</v>
      </c>
      <c r="P351" s="13" t="s">
        <v>1049</v>
      </c>
      <c r="Q351" s="16"/>
      <c r="R351" s="16"/>
      <c r="S351" s="16"/>
      <c r="T351" s="16"/>
      <c r="U351" s="16"/>
      <c r="V351" s="13" t="s">
        <v>1050</v>
      </c>
      <c r="W351" s="18" t="n">
        <v>245</v>
      </c>
      <c r="X351" s="13" t="n">
        <v>4</v>
      </c>
      <c r="Y351" s="13" t="s">
        <v>2345</v>
      </c>
      <c r="Z351" s="13" t="s">
        <v>260</v>
      </c>
      <c r="AA351" s="13" t="s">
        <v>213</v>
      </c>
      <c r="AB351" s="13"/>
      <c r="AC351" s="17"/>
      <c r="AD351" s="13"/>
      <c r="AE351" s="19"/>
      <c r="AF351" s="19"/>
      <c r="AG351" s="19"/>
      <c r="AH351" s="13"/>
      <c r="AI351" s="17"/>
      <c r="AJ351" s="13" t="s">
        <v>188</v>
      </c>
      <c r="AK351" s="13" t="s">
        <v>188</v>
      </c>
      <c r="AL351" s="14" t="s">
        <v>2301</v>
      </c>
      <c r="AM351" s="13" t="s">
        <v>484</v>
      </c>
      <c r="AN351" s="15"/>
      <c r="AO351" s="13"/>
      <c r="AP351" s="13" t="s">
        <v>196</v>
      </c>
      <c r="AQ351" s="16" t="str">
        <f aca="false">IFERROR(IF(AND(INDEX(Mob_Demob!$D$6:$D$14,MATCH(AM351,Mob_Demob!$A$6:$A$14,0))="",INDEX(Mob_Demob!$G$6:$G$14,MATCH(AM351,Mob_Demob!$A$6:$A$14,0))=""),"",ROUND(MAX(N(INDEX(Mob_Demob!$G$6:$G$14,MATCH(AM351,Mob_Demob!$A$6:$A$14,0))),N(INDEX(Mob_Demob!$D$6:$D$14,MATCH(AM351,Mob_Demob!$A$6:$A$14,0)))*Settings!$B$6)+IF(AP351="Y",N(INDEX(Mob_Demob!$I$6:$I$14,MATCH(AM351,Mob_Demob!$A$6:$A$14,0)))*Settings!$B$19,0)+N(INDEX(Mob_Demob!$L$6:$L$14,MATCH(AM351,Mob_Demob!$A$6:$A$14,0)))*N(INDEX(Mob_Demob!$K$6:$K$14,MATCH(AM351,Mob_Demob!$A$6:$A$14,0)))*Settings!$B$6+N(INDEX(Mob_Demob!$M$6:$M$14,MATCH(AM351,Mob_Demob!$A$6:$A$14,0)))*N(INDEX(Mob_Demob!$N$6:$N$14,MATCH(AM351,Mob_Demob!$A$6:$A$14,0))),0)),"")</f>
        <v/>
      </c>
      <c r="AR351" s="16" t="str">
        <f aca="false">IF(AQ351="","",ROUND(AQ351*Settings!$B$18,0))</f>
        <v/>
      </c>
      <c r="AS351" s="13" t="s">
        <v>2321</v>
      </c>
      <c r="AT351" s="14" t="s">
        <v>2362</v>
      </c>
      <c r="AU351" s="14" t="s">
        <v>1054</v>
      </c>
    </row>
    <row r="352" customFormat="false" ht="64.15" hidden="false" customHeight="false" outlineLevel="0" collapsed="false">
      <c r="A352" s="11" t="s">
        <v>2363</v>
      </c>
      <c r="B352" s="11" t="s">
        <v>2168</v>
      </c>
      <c r="C352" s="11" t="s">
        <v>2356</v>
      </c>
      <c r="D352" s="11" t="s">
        <v>2357</v>
      </c>
      <c r="E352" s="12" t="s">
        <v>2364</v>
      </c>
      <c r="F352" s="13" t="s">
        <v>149</v>
      </c>
      <c r="G352" s="13" t="n">
        <v>50</v>
      </c>
      <c r="H352" s="13" t="s">
        <v>926</v>
      </c>
      <c r="I352" s="14" t="s">
        <v>2359</v>
      </c>
      <c r="J352" s="15"/>
      <c r="K352" s="13"/>
      <c r="L352" s="13" t="s">
        <v>2320</v>
      </c>
      <c r="M352" s="13"/>
      <c r="N352" s="13" t="s">
        <v>184</v>
      </c>
      <c r="O352" s="13" t="s">
        <v>2361</v>
      </c>
      <c r="P352" s="13" t="s">
        <v>1049</v>
      </c>
      <c r="Q352" s="16"/>
      <c r="R352" s="16"/>
      <c r="S352" s="16"/>
      <c r="T352" s="16"/>
      <c r="U352" s="16"/>
      <c r="V352" s="13" t="s">
        <v>1050</v>
      </c>
      <c r="W352" s="18" t="n">
        <v>225</v>
      </c>
      <c r="X352" s="13" t="n">
        <v>4</v>
      </c>
      <c r="Y352" s="13" t="s">
        <v>2352</v>
      </c>
      <c r="Z352" s="13" t="s">
        <v>260</v>
      </c>
      <c r="AA352" s="13" t="s">
        <v>192</v>
      </c>
      <c r="AB352" s="13"/>
      <c r="AC352" s="17"/>
      <c r="AD352" s="13"/>
      <c r="AE352" s="19"/>
      <c r="AF352" s="19"/>
      <c r="AG352" s="19"/>
      <c r="AH352" s="13"/>
      <c r="AI352" s="17"/>
      <c r="AJ352" s="13" t="s">
        <v>188</v>
      </c>
      <c r="AK352" s="13" t="s">
        <v>188</v>
      </c>
      <c r="AL352" s="14" t="s">
        <v>2301</v>
      </c>
      <c r="AM352" s="13" t="s">
        <v>484</v>
      </c>
      <c r="AN352" s="15"/>
      <c r="AO352" s="13"/>
      <c r="AP352" s="13" t="s">
        <v>196</v>
      </c>
      <c r="AQ352" s="16" t="str">
        <f aca="false">IFERROR(IF(AND(INDEX(Mob_Demob!$D$6:$D$14,MATCH(AM352,Mob_Demob!$A$6:$A$14,0))="",INDEX(Mob_Demob!$G$6:$G$14,MATCH(AM352,Mob_Demob!$A$6:$A$14,0))=""),"",ROUND(MAX(N(INDEX(Mob_Demob!$G$6:$G$14,MATCH(AM352,Mob_Demob!$A$6:$A$14,0))),N(INDEX(Mob_Demob!$D$6:$D$14,MATCH(AM352,Mob_Demob!$A$6:$A$14,0)))*Settings!$B$6)+IF(AP352="Y",N(INDEX(Mob_Demob!$I$6:$I$14,MATCH(AM352,Mob_Demob!$A$6:$A$14,0)))*Settings!$B$19,0)+N(INDEX(Mob_Demob!$L$6:$L$14,MATCH(AM352,Mob_Demob!$A$6:$A$14,0)))*N(INDEX(Mob_Demob!$K$6:$K$14,MATCH(AM352,Mob_Demob!$A$6:$A$14,0)))*Settings!$B$6+N(INDEX(Mob_Demob!$M$6:$M$14,MATCH(AM352,Mob_Demob!$A$6:$A$14,0)))*N(INDEX(Mob_Demob!$N$6:$N$14,MATCH(AM352,Mob_Demob!$A$6:$A$14,0))),0)),"")</f>
        <v/>
      </c>
      <c r="AR352" s="16" t="str">
        <f aca="false">IF(AQ352="","",ROUND(AQ352*Settings!$B$18,0))</f>
        <v/>
      </c>
      <c r="AS352" s="13" t="s">
        <v>2321</v>
      </c>
      <c r="AT352" s="14" t="s">
        <v>2365</v>
      </c>
      <c r="AU352" s="14" t="s">
        <v>1054</v>
      </c>
    </row>
    <row r="353" customFormat="false" ht="64.15" hidden="false" customHeight="false" outlineLevel="0" collapsed="false">
      <c r="A353" s="11" t="s">
        <v>2366</v>
      </c>
      <c r="B353" s="11" t="s">
        <v>2168</v>
      </c>
      <c r="C353" s="11" t="s">
        <v>2356</v>
      </c>
      <c r="D353" s="11" t="s">
        <v>2357</v>
      </c>
      <c r="E353" s="12" t="s">
        <v>2367</v>
      </c>
      <c r="F353" s="13" t="s">
        <v>149</v>
      </c>
      <c r="G353" s="13" t="n">
        <v>60</v>
      </c>
      <c r="H353" s="13" t="s">
        <v>926</v>
      </c>
      <c r="I353" s="14" t="s">
        <v>2359</v>
      </c>
      <c r="J353" s="15"/>
      <c r="K353" s="13"/>
      <c r="L353" s="13" t="s">
        <v>2368</v>
      </c>
      <c r="M353" s="13"/>
      <c r="N353" s="13" t="s">
        <v>184</v>
      </c>
      <c r="O353" s="13" t="s">
        <v>2361</v>
      </c>
      <c r="P353" s="13" t="s">
        <v>1049</v>
      </c>
      <c r="Q353" s="16"/>
      <c r="R353" s="16"/>
      <c r="S353" s="16"/>
      <c r="T353" s="16"/>
      <c r="U353" s="16"/>
      <c r="V353" s="13" t="s">
        <v>1050</v>
      </c>
      <c r="W353" s="18" t="n">
        <v>250</v>
      </c>
      <c r="X353" s="13" t="n">
        <v>4</v>
      </c>
      <c r="Y353" s="13" t="s">
        <v>2352</v>
      </c>
      <c r="Z353" s="13" t="s">
        <v>260</v>
      </c>
      <c r="AA353" s="13" t="s">
        <v>192</v>
      </c>
      <c r="AB353" s="13"/>
      <c r="AC353" s="17"/>
      <c r="AD353" s="13"/>
      <c r="AE353" s="19"/>
      <c r="AF353" s="19"/>
      <c r="AG353" s="19"/>
      <c r="AH353" s="13"/>
      <c r="AI353" s="17"/>
      <c r="AJ353" s="13" t="s">
        <v>188</v>
      </c>
      <c r="AK353" s="13" t="s">
        <v>188</v>
      </c>
      <c r="AL353" s="14" t="s">
        <v>2301</v>
      </c>
      <c r="AM353" s="13" t="s">
        <v>484</v>
      </c>
      <c r="AN353" s="15"/>
      <c r="AO353" s="13"/>
      <c r="AP353" s="13" t="s">
        <v>196</v>
      </c>
      <c r="AQ353" s="16" t="str">
        <f aca="false">IFERROR(IF(AND(INDEX(Mob_Demob!$D$6:$D$14,MATCH(AM353,Mob_Demob!$A$6:$A$14,0))="",INDEX(Mob_Demob!$G$6:$G$14,MATCH(AM353,Mob_Demob!$A$6:$A$14,0))=""),"",ROUND(MAX(N(INDEX(Mob_Demob!$G$6:$G$14,MATCH(AM353,Mob_Demob!$A$6:$A$14,0))),N(INDEX(Mob_Demob!$D$6:$D$14,MATCH(AM353,Mob_Demob!$A$6:$A$14,0)))*Settings!$B$6)+IF(AP353="Y",N(INDEX(Mob_Demob!$I$6:$I$14,MATCH(AM353,Mob_Demob!$A$6:$A$14,0)))*Settings!$B$19,0)+N(INDEX(Mob_Demob!$L$6:$L$14,MATCH(AM353,Mob_Demob!$A$6:$A$14,0)))*N(INDEX(Mob_Demob!$K$6:$K$14,MATCH(AM353,Mob_Demob!$A$6:$A$14,0)))*Settings!$B$6+N(INDEX(Mob_Demob!$M$6:$M$14,MATCH(AM353,Mob_Demob!$A$6:$A$14,0)))*N(INDEX(Mob_Demob!$N$6:$N$14,MATCH(AM353,Mob_Demob!$A$6:$A$14,0))),0)),"")</f>
        <v/>
      </c>
      <c r="AR353" s="16" t="str">
        <f aca="false">IF(AQ353="","",ROUND(AQ353*Settings!$B$18,0))</f>
        <v/>
      </c>
      <c r="AS353" s="13" t="s">
        <v>2321</v>
      </c>
      <c r="AT353" s="14" t="s">
        <v>2365</v>
      </c>
      <c r="AU353" s="14" t="s">
        <v>1054</v>
      </c>
    </row>
    <row r="354" customFormat="false" ht="64.15" hidden="false" customHeight="false" outlineLevel="0" collapsed="false">
      <c r="A354" s="11" t="s">
        <v>2369</v>
      </c>
      <c r="B354" s="11" t="s">
        <v>2168</v>
      </c>
      <c r="C354" s="11" t="s">
        <v>2356</v>
      </c>
      <c r="D354" s="11" t="s">
        <v>2357</v>
      </c>
      <c r="E354" s="12" t="s">
        <v>2370</v>
      </c>
      <c r="F354" s="13" t="s">
        <v>149</v>
      </c>
      <c r="G354" s="13" t="n">
        <v>75</v>
      </c>
      <c r="H354" s="13" t="s">
        <v>926</v>
      </c>
      <c r="I354" s="14" t="s">
        <v>2359</v>
      </c>
      <c r="J354" s="15"/>
      <c r="K354" s="13"/>
      <c r="L354" s="13" t="s">
        <v>2371</v>
      </c>
      <c r="M354" s="13"/>
      <c r="N354" s="13" t="s">
        <v>184</v>
      </c>
      <c r="O354" s="13" t="s">
        <v>2361</v>
      </c>
      <c r="P354" s="13" t="s">
        <v>1049</v>
      </c>
      <c r="Q354" s="16"/>
      <c r="R354" s="16"/>
      <c r="S354" s="16"/>
      <c r="T354" s="16"/>
      <c r="U354" s="16"/>
      <c r="V354" s="13" t="s">
        <v>1050</v>
      </c>
      <c r="W354" s="18" t="n">
        <v>330</v>
      </c>
      <c r="X354" s="13" t="n">
        <v>4</v>
      </c>
      <c r="Y354" s="13" t="s">
        <v>2345</v>
      </c>
      <c r="Z354" s="13" t="s">
        <v>260</v>
      </c>
      <c r="AA354" s="13" t="s">
        <v>213</v>
      </c>
      <c r="AB354" s="13"/>
      <c r="AC354" s="17"/>
      <c r="AD354" s="13"/>
      <c r="AE354" s="19"/>
      <c r="AF354" s="19"/>
      <c r="AG354" s="19"/>
      <c r="AH354" s="13"/>
      <c r="AI354" s="17"/>
      <c r="AJ354" s="13" t="s">
        <v>188</v>
      </c>
      <c r="AK354" s="13" t="s">
        <v>188</v>
      </c>
      <c r="AL354" s="14" t="s">
        <v>2301</v>
      </c>
      <c r="AM354" s="13" t="s">
        <v>484</v>
      </c>
      <c r="AN354" s="15"/>
      <c r="AO354" s="13"/>
      <c r="AP354" s="13" t="s">
        <v>196</v>
      </c>
      <c r="AQ354" s="16" t="str">
        <f aca="false">IFERROR(IF(AND(INDEX(Mob_Demob!$D$6:$D$14,MATCH(AM354,Mob_Demob!$A$6:$A$14,0))="",INDEX(Mob_Demob!$G$6:$G$14,MATCH(AM354,Mob_Demob!$A$6:$A$14,0))=""),"",ROUND(MAX(N(INDEX(Mob_Demob!$G$6:$G$14,MATCH(AM354,Mob_Demob!$A$6:$A$14,0))),N(INDEX(Mob_Demob!$D$6:$D$14,MATCH(AM354,Mob_Demob!$A$6:$A$14,0)))*Settings!$B$6)+IF(AP354="Y",N(INDEX(Mob_Demob!$I$6:$I$14,MATCH(AM354,Mob_Demob!$A$6:$A$14,0)))*Settings!$B$19,0)+N(INDEX(Mob_Demob!$L$6:$L$14,MATCH(AM354,Mob_Demob!$A$6:$A$14,0)))*N(INDEX(Mob_Demob!$K$6:$K$14,MATCH(AM354,Mob_Demob!$A$6:$A$14,0)))*Settings!$B$6+N(INDEX(Mob_Demob!$M$6:$M$14,MATCH(AM354,Mob_Demob!$A$6:$A$14,0)))*N(INDEX(Mob_Demob!$N$6:$N$14,MATCH(AM354,Mob_Demob!$A$6:$A$14,0))),0)),"")</f>
        <v/>
      </c>
      <c r="AR354" s="16" t="str">
        <f aca="false">IF(AQ354="","",ROUND(AQ354*Settings!$B$18,0))</f>
        <v/>
      </c>
      <c r="AS354" s="13" t="s">
        <v>2321</v>
      </c>
      <c r="AT354" s="14" t="s">
        <v>2372</v>
      </c>
      <c r="AU354" s="14" t="s">
        <v>1054</v>
      </c>
    </row>
    <row r="355" customFormat="false" ht="64.15" hidden="false" customHeight="false" outlineLevel="0" collapsed="false">
      <c r="A355" s="11" t="s">
        <v>2373</v>
      </c>
      <c r="B355" s="11" t="s">
        <v>2168</v>
      </c>
      <c r="C355" s="11" t="s">
        <v>2356</v>
      </c>
      <c r="D355" s="11" t="s">
        <v>2357</v>
      </c>
      <c r="E355" s="12" t="s">
        <v>2374</v>
      </c>
      <c r="F355" s="13" t="s">
        <v>149</v>
      </c>
      <c r="G355" s="13" t="n">
        <v>80</v>
      </c>
      <c r="H355" s="13" t="s">
        <v>926</v>
      </c>
      <c r="I355" s="14" t="s">
        <v>2359</v>
      </c>
      <c r="J355" s="15"/>
      <c r="K355" s="13"/>
      <c r="L355" s="13" t="s">
        <v>2375</v>
      </c>
      <c r="M355" s="13"/>
      <c r="N355" s="13" t="s">
        <v>184</v>
      </c>
      <c r="O355" s="13" t="s">
        <v>2361</v>
      </c>
      <c r="P355" s="13" t="s">
        <v>1049</v>
      </c>
      <c r="Q355" s="16"/>
      <c r="R355" s="16"/>
      <c r="S355" s="16"/>
      <c r="T355" s="16"/>
      <c r="U355" s="16"/>
      <c r="V355" s="13" t="s">
        <v>1050</v>
      </c>
      <c r="W355" s="18" t="n">
        <v>330</v>
      </c>
      <c r="X355" s="13" t="n">
        <v>4</v>
      </c>
      <c r="Y355" s="13" t="s">
        <v>2352</v>
      </c>
      <c r="Z355" s="13" t="s">
        <v>260</v>
      </c>
      <c r="AA355" s="13" t="s">
        <v>192</v>
      </c>
      <c r="AB355" s="13"/>
      <c r="AC355" s="17"/>
      <c r="AD355" s="13"/>
      <c r="AE355" s="19"/>
      <c r="AF355" s="19"/>
      <c r="AG355" s="19"/>
      <c r="AH355" s="13"/>
      <c r="AI355" s="17"/>
      <c r="AJ355" s="13" t="s">
        <v>188</v>
      </c>
      <c r="AK355" s="13" t="s">
        <v>188</v>
      </c>
      <c r="AL355" s="14" t="s">
        <v>2301</v>
      </c>
      <c r="AM355" s="13" t="s">
        <v>484</v>
      </c>
      <c r="AN355" s="15"/>
      <c r="AO355" s="13"/>
      <c r="AP355" s="13" t="s">
        <v>196</v>
      </c>
      <c r="AQ355" s="16" t="str">
        <f aca="false">IFERROR(IF(AND(INDEX(Mob_Demob!$D$6:$D$14,MATCH(AM355,Mob_Demob!$A$6:$A$14,0))="",INDEX(Mob_Demob!$G$6:$G$14,MATCH(AM355,Mob_Demob!$A$6:$A$14,0))=""),"",ROUND(MAX(N(INDEX(Mob_Demob!$G$6:$G$14,MATCH(AM355,Mob_Demob!$A$6:$A$14,0))),N(INDEX(Mob_Demob!$D$6:$D$14,MATCH(AM355,Mob_Demob!$A$6:$A$14,0)))*Settings!$B$6)+IF(AP355="Y",N(INDEX(Mob_Demob!$I$6:$I$14,MATCH(AM355,Mob_Demob!$A$6:$A$14,0)))*Settings!$B$19,0)+N(INDEX(Mob_Demob!$L$6:$L$14,MATCH(AM355,Mob_Demob!$A$6:$A$14,0)))*N(INDEX(Mob_Demob!$K$6:$K$14,MATCH(AM355,Mob_Demob!$A$6:$A$14,0)))*Settings!$B$6+N(INDEX(Mob_Demob!$M$6:$M$14,MATCH(AM355,Mob_Demob!$A$6:$A$14,0)))*N(INDEX(Mob_Demob!$N$6:$N$14,MATCH(AM355,Mob_Demob!$A$6:$A$14,0))),0)),"")</f>
        <v/>
      </c>
      <c r="AR355" s="16" t="str">
        <f aca="false">IF(AQ355="","",ROUND(AQ355*Settings!$B$18,0))</f>
        <v/>
      </c>
      <c r="AS355" s="13" t="s">
        <v>2321</v>
      </c>
      <c r="AT355" s="14" t="s">
        <v>2365</v>
      </c>
      <c r="AU355" s="14" t="s">
        <v>1054</v>
      </c>
    </row>
    <row r="356" customFormat="false" ht="64.15" hidden="false" customHeight="false" outlineLevel="0" collapsed="false">
      <c r="A356" s="11" t="s">
        <v>2376</v>
      </c>
      <c r="B356" s="11" t="s">
        <v>2168</v>
      </c>
      <c r="C356" s="11" t="s">
        <v>2356</v>
      </c>
      <c r="D356" s="11" t="s">
        <v>2357</v>
      </c>
      <c r="E356" s="12" t="s">
        <v>2377</v>
      </c>
      <c r="F356" s="13" t="s">
        <v>149</v>
      </c>
      <c r="G356" s="13" t="n">
        <v>100</v>
      </c>
      <c r="H356" s="13" t="s">
        <v>926</v>
      </c>
      <c r="I356" s="14" t="s">
        <v>2359</v>
      </c>
      <c r="J356" s="15"/>
      <c r="K356" s="13"/>
      <c r="L356" s="13" t="s">
        <v>2331</v>
      </c>
      <c r="M356" s="13"/>
      <c r="N356" s="13" t="s">
        <v>184</v>
      </c>
      <c r="O356" s="13" t="s">
        <v>2361</v>
      </c>
      <c r="P356" s="13" t="s">
        <v>1049</v>
      </c>
      <c r="Q356" s="16"/>
      <c r="R356" s="16"/>
      <c r="S356" s="16"/>
      <c r="T356" s="16"/>
      <c r="U356" s="16"/>
      <c r="V356" s="13" t="s">
        <v>1050</v>
      </c>
      <c r="W356" s="18" t="n">
        <v>355</v>
      </c>
      <c r="X356" s="13" t="n">
        <v>4</v>
      </c>
      <c r="Y356" s="13" t="s">
        <v>2352</v>
      </c>
      <c r="Z356" s="13" t="s">
        <v>260</v>
      </c>
      <c r="AA356" s="13" t="s">
        <v>192</v>
      </c>
      <c r="AB356" s="13"/>
      <c r="AC356" s="17"/>
      <c r="AD356" s="13"/>
      <c r="AE356" s="19"/>
      <c r="AF356" s="19"/>
      <c r="AG356" s="19"/>
      <c r="AH356" s="13"/>
      <c r="AI356" s="17"/>
      <c r="AJ356" s="13" t="s">
        <v>188</v>
      </c>
      <c r="AK356" s="13" t="s">
        <v>188</v>
      </c>
      <c r="AL356" s="14" t="s">
        <v>2301</v>
      </c>
      <c r="AM356" s="13" t="s">
        <v>484</v>
      </c>
      <c r="AN356" s="15"/>
      <c r="AO356" s="13"/>
      <c r="AP356" s="13" t="s">
        <v>196</v>
      </c>
      <c r="AQ356" s="16" t="str">
        <f aca="false">IFERROR(IF(AND(INDEX(Mob_Demob!$D$6:$D$14,MATCH(AM356,Mob_Demob!$A$6:$A$14,0))="",INDEX(Mob_Demob!$G$6:$G$14,MATCH(AM356,Mob_Demob!$A$6:$A$14,0))=""),"",ROUND(MAX(N(INDEX(Mob_Demob!$G$6:$G$14,MATCH(AM356,Mob_Demob!$A$6:$A$14,0))),N(INDEX(Mob_Demob!$D$6:$D$14,MATCH(AM356,Mob_Demob!$A$6:$A$14,0)))*Settings!$B$6)+IF(AP356="Y",N(INDEX(Mob_Demob!$I$6:$I$14,MATCH(AM356,Mob_Demob!$A$6:$A$14,0)))*Settings!$B$19,0)+N(INDEX(Mob_Demob!$L$6:$L$14,MATCH(AM356,Mob_Demob!$A$6:$A$14,0)))*N(INDEX(Mob_Demob!$K$6:$K$14,MATCH(AM356,Mob_Demob!$A$6:$A$14,0)))*Settings!$B$6+N(INDEX(Mob_Demob!$M$6:$M$14,MATCH(AM356,Mob_Demob!$A$6:$A$14,0)))*N(INDEX(Mob_Demob!$N$6:$N$14,MATCH(AM356,Mob_Demob!$A$6:$A$14,0))),0)),"")</f>
        <v/>
      </c>
      <c r="AR356" s="16" t="str">
        <f aca="false">IF(AQ356="","",ROUND(AQ356*Settings!$B$18,0))</f>
        <v/>
      </c>
      <c r="AS356" s="13" t="s">
        <v>2321</v>
      </c>
      <c r="AT356" s="14" t="s">
        <v>2365</v>
      </c>
      <c r="AU356" s="14" t="s">
        <v>1054</v>
      </c>
    </row>
    <row r="357" customFormat="false" ht="64.15" hidden="false" customHeight="false" outlineLevel="0" collapsed="false">
      <c r="A357" s="11" t="s">
        <v>2378</v>
      </c>
      <c r="B357" s="11" t="s">
        <v>2168</v>
      </c>
      <c r="C357" s="11" t="s">
        <v>2356</v>
      </c>
      <c r="D357" s="11" t="s">
        <v>2357</v>
      </c>
      <c r="E357" s="12" t="s">
        <v>2379</v>
      </c>
      <c r="F357" s="13" t="s">
        <v>149</v>
      </c>
      <c r="G357" s="13" t="n">
        <v>110</v>
      </c>
      <c r="H357" s="13" t="s">
        <v>926</v>
      </c>
      <c r="I357" s="14" t="s">
        <v>2359</v>
      </c>
      <c r="J357" s="15"/>
      <c r="K357" s="13"/>
      <c r="L357" s="13" t="s">
        <v>2380</v>
      </c>
      <c r="M357" s="13"/>
      <c r="N357" s="13" t="s">
        <v>184</v>
      </c>
      <c r="O357" s="13" t="s">
        <v>2361</v>
      </c>
      <c r="P357" s="13" t="s">
        <v>1049</v>
      </c>
      <c r="Q357" s="16"/>
      <c r="R357" s="16"/>
      <c r="S357" s="16"/>
      <c r="T357" s="16"/>
      <c r="U357" s="16"/>
      <c r="V357" s="13" t="s">
        <v>1050</v>
      </c>
      <c r="W357" s="18" t="n">
        <v>385</v>
      </c>
      <c r="X357" s="13" t="n">
        <v>4</v>
      </c>
      <c r="Y357" s="13" t="s">
        <v>2352</v>
      </c>
      <c r="Z357" s="13" t="s">
        <v>260</v>
      </c>
      <c r="AA357" s="13" t="s">
        <v>192</v>
      </c>
      <c r="AB357" s="13"/>
      <c r="AC357" s="17"/>
      <c r="AD357" s="13"/>
      <c r="AE357" s="19"/>
      <c r="AF357" s="19"/>
      <c r="AG357" s="19"/>
      <c r="AH357" s="13"/>
      <c r="AI357" s="17"/>
      <c r="AJ357" s="13" t="s">
        <v>188</v>
      </c>
      <c r="AK357" s="13" t="s">
        <v>188</v>
      </c>
      <c r="AL357" s="14" t="s">
        <v>2301</v>
      </c>
      <c r="AM357" s="13" t="s">
        <v>484</v>
      </c>
      <c r="AN357" s="15"/>
      <c r="AO357" s="13"/>
      <c r="AP357" s="13" t="s">
        <v>196</v>
      </c>
      <c r="AQ357" s="16" t="str">
        <f aca="false">IFERROR(IF(AND(INDEX(Mob_Demob!$D$6:$D$14,MATCH(AM357,Mob_Demob!$A$6:$A$14,0))="",INDEX(Mob_Demob!$G$6:$G$14,MATCH(AM357,Mob_Demob!$A$6:$A$14,0))=""),"",ROUND(MAX(N(INDEX(Mob_Demob!$G$6:$G$14,MATCH(AM357,Mob_Demob!$A$6:$A$14,0))),N(INDEX(Mob_Demob!$D$6:$D$14,MATCH(AM357,Mob_Demob!$A$6:$A$14,0)))*Settings!$B$6)+IF(AP357="Y",N(INDEX(Mob_Demob!$I$6:$I$14,MATCH(AM357,Mob_Demob!$A$6:$A$14,0)))*Settings!$B$19,0)+N(INDEX(Mob_Demob!$L$6:$L$14,MATCH(AM357,Mob_Demob!$A$6:$A$14,0)))*N(INDEX(Mob_Demob!$K$6:$K$14,MATCH(AM357,Mob_Demob!$A$6:$A$14,0)))*Settings!$B$6+N(INDEX(Mob_Demob!$M$6:$M$14,MATCH(AM357,Mob_Demob!$A$6:$A$14,0)))*N(INDEX(Mob_Demob!$N$6:$N$14,MATCH(AM357,Mob_Demob!$A$6:$A$14,0))),0)),"")</f>
        <v/>
      </c>
      <c r="AR357" s="16" t="str">
        <f aca="false">IF(AQ357="","",ROUND(AQ357*Settings!$B$18,0))</f>
        <v/>
      </c>
      <c r="AS357" s="13" t="s">
        <v>2321</v>
      </c>
      <c r="AT357" s="14" t="s">
        <v>2365</v>
      </c>
      <c r="AU357" s="14" t="s">
        <v>1054</v>
      </c>
    </row>
    <row r="358" customFormat="false" ht="64.15" hidden="false" customHeight="false" outlineLevel="0" collapsed="false">
      <c r="A358" s="11" t="s">
        <v>2381</v>
      </c>
      <c r="B358" s="11" t="s">
        <v>2168</v>
      </c>
      <c r="C358" s="11" t="s">
        <v>2356</v>
      </c>
      <c r="D358" s="11" t="s">
        <v>2357</v>
      </c>
      <c r="E358" s="12" t="s">
        <v>2382</v>
      </c>
      <c r="F358" s="13" t="s">
        <v>149</v>
      </c>
      <c r="G358" s="13" t="n">
        <v>120</v>
      </c>
      <c r="H358" s="13" t="s">
        <v>926</v>
      </c>
      <c r="I358" s="14" t="s">
        <v>2359</v>
      </c>
      <c r="J358" s="15"/>
      <c r="K358" s="13"/>
      <c r="L358" s="13" t="s">
        <v>2383</v>
      </c>
      <c r="M358" s="13"/>
      <c r="N358" s="13" t="s">
        <v>184</v>
      </c>
      <c r="O358" s="13" t="s">
        <v>2361</v>
      </c>
      <c r="P358" s="13" t="s">
        <v>1049</v>
      </c>
      <c r="Q358" s="16"/>
      <c r="R358" s="16"/>
      <c r="S358" s="16"/>
      <c r="T358" s="16"/>
      <c r="U358" s="16"/>
      <c r="V358" s="13" t="s">
        <v>1050</v>
      </c>
      <c r="W358" s="18" t="n">
        <v>445</v>
      </c>
      <c r="X358" s="13" t="n">
        <v>4</v>
      </c>
      <c r="Y358" s="13" t="s">
        <v>2345</v>
      </c>
      <c r="Z358" s="13" t="s">
        <v>260</v>
      </c>
      <c r="AA358" s="13" t="s">
        <v>213</v>
      </c>
      <c r="AB358" s="13"/>
      <c r="AC358" s="17"/>
      <c r="AD358" s="13"/>
      <c r="AE358" s="19"/>
      <c r="AF358" s="19"/>
      <c r="AG358" s="19"/>
      <c r="AH358" s="13"/>
      <c r="AI358" s="17"/>
      <c r="AJ358" s="13" t="s">
        <v>188</v>
      </c>
      <c r="AK358" s="13" t="s">
        <v>188</v>
      </c>
      <c r="AL358" s="14" t="s">
        <v>2301</v>
      </c>
      <c r="AM358" s="13" t="s">
        <v>484</v>
      </c>
      <c r="AN358" s="15"/>
      <c r="AO358" s="13"/>
      <c r="AP358" s="13" t="s">
        <v>196</v>
      </c>
      <c r="AQ358" s="16" t="str">
        <f aca="false">IFERROR(IF(AND(INDEX(Mob_Demob!$D$6:$D$14,MATCH(AM358,Mob_Demob!$A$6:$A$14,0))="",INDEX(Mob_Demob!$G$6:$G$14,MATCH(AM358,Mob_Demob!$A$6:$A$14,0))=""),"",ROUND(MAX(N(INDEX(Mob_Demob!$G$6:$G$14,MATCH(AM358,Mob_Demob!$A$6:$A$14,0))),N(INDEX(Mob_Demob!$D$6:$D$14,MATCH(AM358,Mob_Demob!$A$6:$A$14,0)))*Settings!$B$6)+IF(AP358="Y",N(INDEX(Mob_Demob!$I$6:$I$14,MATCH(AM358,Mob_Demob!$A$6:$A$14,0)))*Settings!$B$19,0)+N(INDEX(Mob_Demob!$L$6:$L$14,MATCH(AM358,Mob_Demob!$A$6:$A$14,0)))*N(INDEX(Mob_Demob!$K$6:$K$14,MATCH(AM358,Mob_Demob!$A$6:$A$14,0)))*Settings!$B$6+N(INDEX(Mob_Demob!$M$6:$M$14,MATCH(AM358,Mob_Demob!$A$6:$A$14,0)))*N(INDEX(Mob_Demob!$N$6:$N$14,MATCH(AM358,Mob_Demob!$A$6:$A$14,0))),0)),"")</f>
        <v/>
      </c>
      <c r="AR358" s="16" t="str">
        <f aca="false">IF(AQ358="","",ROUND(AQ358*Settings!$B$18,0))</f>
        <v/>
      </c>
      <c r="AS358" s="13" t="s">
        <v>2321</v>
      </c>
      <c r="AT358" s="14" t="s">
        <v>2384</v>
      </c>
      <c r="AU358" s="14" t="s">
        <v>1054</v>
      </c>
    </row>
    <row r="359" customFormat="false" ht="64.15" hidden="false" customHeight="false" outlineLevel="0" collapsed="false">
      <c r="A359" s="11" t="s">
        <v>2385</v>
      </c>
      <c r="B359" s="11" t="s">
        <v>2168</v>
      </c>
      <c r="C359" s="11" t="s">
        <v>2356</v>
      </c>
      <c r="D359" s="11" t="s">
        <v>2357</v>
      </c>
      <c r="E359" s="12" t="s">
        <v>2386</v>
      </c>
      <c r="F359" s="13" t="s">
        <v>149</v>
      </c>
      <c r="G359" s="13" t="n">
        <v>165</v>
      </c>
      <c r="H359" s="13" t="s">
        <v>926</v>
      </c>
      <c r="I359" s="14" t="s">
        <v>2359</v>
      </c>
      <c r="J359" s="15"/>
      <c r="K359" s="13"/>
      <c r="L359" s="13" t="s">
        <v>2387</v>
      </c>
      <c r="M359" s="13"/>
      <c r="N359" s="13" t="s">
        <v>184</v>
      </c>
      <c r="O359" s="13" t="s">
        <v>2361</v>
      </c>
      <c r="P359" s="13" t="s">
        <v>1049</v>
      </c>
      <c r="Q359" s="16"/>
      <c r="R359" s="16"/>
      <c r="S359" s="16"/>
      <c r="T359" s="16"/>
      <c r="U359" s="16"/>
      <c r="V359" s="13" t="s">
        <v>1050</v>
      </c>
      <c r="W359" s="18" t="n">
        <v>520</v>
      </c>
      <c r="X359" s="13" t="n">
        <v>4</v>
      </c>
      <c r="Y359" s="13" t="s">
        <v>2352</v>
      </c>
      <c r="Z359" s="13" t="s">
        <v>260</v>
      </c>
      <c r="AA359" s="13" t="s">
        <v>192</v>
      </c>
      <c r="AB359" s="13"/>
      <c r="AC359" s="17"/>
      <c r="AD359" s="13"/>
      <c r="AE359" s="19"/>
      <c r="AF359" s="19"/>
      <c r="AG359" s="19"/>
      <c r="AH359" s="13"/>
      <c r="AI359" s="17"/>
      <c r="AJ359" s="13" t="s">
        <v>188</v>
      </c>
      <c r="AK359" s="13" t="s">
        <v>188</v>
      </c>
      <c r="AL359" s="14" t="s">
        <v>2301</v>
      </c>
      <c r="AM359" s="13" t="s">
        <v>2388</v>
      </c>
      <c r="AN359" s="15"/>
      <c r="AO359" s="13"/>
      <c r="AP359" s="13" t="s">
        <v>269</v>
      </c>
      <c r="AQ359" s="16" t="str">
        <f aca="false">IFERROR(IF(AND(INDEX(Mob_Demob!$D$6:$D$14,MATCH(AM359,Mob_Demob!$A$6:$A$14,0))="",INDEX(Mob_Demob!$G$6:$G$14,MATCH(AM359,Mob_Demob!$A$6:$A$14,0))=""),"",ROUND(MAX(N(INDEX(Mob_Demob!$G$6:$G$14,MATCH(AM359,Mob_Demob!$A$6:$A$14,0))),N(INDEX(Mob_Demob!$D$6:$D$14,MATCH(AM359,Mob_Demob!$A$6:$A$14,0)))*Settings!$B$6)+IF(AP359="Y",N(INDEX(Mob_Demob!$I$6:$I$14,MATCH(AM359,Mob_Demob!$A$6:$A$14,0)))*Settings!$B$19,0)+N(INDEX(Mob_Demob!$L$6:$L$14,MATCH(AM359,Mob_Demob!$A$6:$A$14,0)))*N(INDEX(Mob_Demob!$K$6:$K$14,MATCH(AM359,Mob_Demob!$A$6:$A$14,0)))*Settings!$B$6+N(INDEX(Mob_Demob!$M$6:$M$14,MATCH(AM359,Mob_Demob!$A$6:$A$14,0)))*N(INDEX(Mob_Demob!$N$6:$N$14,MATCH(AM359,Mob_Demob!$A$6:$A$14,0))),0)),"")</f>
        <v/>
      </c>
      <c r="AR359" s="16" t="str">
        <f aca="false">IF(AQ359="","",ROUND(AQ359*Settings!$B$18,0))</f>
        <v/>
      </c>
      <c r="AS359" s="13" t="s">
        <v>2321</v>
      </c>
      <c r="AT359" s="14" t="s">
        <v>2365</v>
      </c>
      <c r="AU359" s="14" t="s">
        <v>1054</v>
      </c>
    </row>
    <row r="360" customFormat="false" ht="64.15" hidden="false" customHeight="false" outlineLevel="0" collapsed="false">
      <c r="A360" s="11" t="s">
        <v>2389</v>
      </c>
      <c r="B360" s="11" t="s">
        <v>2168</v>
      </c>
      <c r="C360" s="11" t="s">
        <v>2356</v>
      </c>
      <c r="D360" s="11" t="s">
        <v>2357</v>
      </c>
      <c r="E360" s="12" t="s">
        <v>2390</v>
      </c>
      <c r="F360" s="13" t="s">
        <v>149</v>
      </c>
      <c r="G360" s="13" t="n">
        <v>210</v>
      </c>
      <c r="H360" s="13" t="s">
        <v>926</v>
      </c>
      <c r="I360" s="14" t="s">
        <v>2359</v>
      </c>
      <c r="J360" s="15"/>
      <c r="K360" s="13"/>
      <c r="L360" s="13" t="s">
        <v>2391</v>
      </c>
      <c r="M360" s="13"/>
      <c r="N360" s="13" t="s">
        <v>184</v>
      </c>
      <c r="O360" s="13" t="s">
        <v>2361</v>
      </c>
      <c r="P360" s="13" t="s">
        <v>1049</v>
      </c>
      <c r="Q360" s="16"/>
      <c r="R360" s="16"/>
      <c r="S360" s="16"/>
      <c r="T360" s="16"/>
      <c r="U360" s="16"/>
      <c r="V360" s="13" t="s">
        <v>1050</v>
      </c>
      <c r="W360" s="18" t="n">
        <v>550</v>
      </c>
      <c r="X360" s="13" t="n">
        <v>4</v>
      </c>
      <c r="Y360" s="13" t="s">
        <v>2352</v>
      </c>
      <c r="Z360" s="13" t="s">
        <v>260</v>
      </c>
      <c r="AA360" s="13" t="s">
        <v>192</v>
      </c>
      <c r="AB360" s="13"/>
      <c r="AC360" s="17"/>
      <c r="AD360" s="13"/>
      <c r="AE360" s="19"/>
      <c r="AF360" s="19"/>
      <c r="AG360" s="19"/>
      <c r="AH360" s="13"/>
      <c r="AI360" s="17"/>
      <c r="AJ360" s="13" t="s">
        <v>188</v>
      </c>
      <c r="AK360" s="13" t="s">
        <v>188</v>
      </c>
      <c r="AL360" s="14" t="s">
        <v>2301</v>
      </c>
      <c r="AM360" s="13" t="s">
        <v>2388</v>
      </c>
      <c r="AN360" s="15"/>
      <c r="AO360" s="13"/>
      <c r="AP360" s="13" t="s">
        <v>269</v>
      </c>
      <c r="AQ360" s="16" t="str">
        <f aca="false">IFERROR(IF(AND(INDEX(Mob_Demob!$D$6:$D$14,MATCH(AM360,Mob_Demob!$A$6:$A$14,0))="",INDEX(Mob_Demob!$G$6:$G$14,MATCH(AM360,Mob_Demob!$A$6:$A$14,0))=""),"",ROUND(MAX(N(INDEX(Mob_Demob!$G$6:$G$14,MATCH(AM360,Mob_Demob!$A$6:$A$14,0))),N(INDEX(Mob_Demob!$D$6:$D$14,MATCH(AM360,Mob_Demob!$A$6:$A$14,0)))*Settings!$B$6)+IF(AP360="Y",N(INDEX(Mob_Demob!$I$6:$I$14,MATCH(AM360,Mob_Demob!$A$6:$A$14,0)))*Settings!$B$19,0)+N(INDEX(Mob_Demob!$L$6:$L$14,MATCH(AM360,Mob_Demob!$A$6:$A$14,0)))*N(INDEX(Mob_Demob!$K$6:$K$14,MATCH(AM360,Mob_Demob!$A$6:$A$14,0)))*Settings!$B$6+N(INDEX(Mob_Demob!$M$6:$M$14,MATCH(AM360,Mob_Demob!$A$6:$A$14,0)))*N(INDEX(Mob_Demob!$N$6:$N$14,MATCH(AM360,Mob_Demob!$A$6:$A$14,0))),0)),"")</f>
        <v/>
      </c>
      <c r="AR360" s="16" t="str">
        <f aca="false">IF(AQ360="","",ROUND(AQ360*Settings!$B$18,0))</f>
        <v/>
      </c>
      <c r="AS360" s="13" t="s">
        <v>2321</v>
      </c>
      <c r="AT360" s="14" t="s">
        <v>2365</v>
      </c>
      <c r="AU360" s="14" t="s">
        <v>1054</v>
      </c>
    </row>
    <row r="361" customFormat="false" ht="64.15" hidden="false" customHeight="false" outlineLevel="0" collapsed="false">
      <c r="A361" s="11" t="s">
        <v>2392</v>
      </c>
      <c r="B361" s="11" t="s">
        <v>2168</v>
      </c>
      <c r="C361" s="11" t="s">
        <v>2356</v>
      </c>
      <c r="D361" s="11" t="s">
        <v>2357</v>
      </c>
      <c r="E361" s="12" t="s">
        <v>2393</v>
      </c>
      <c r="F361" s="13" t="s">
        <v>149</v>
      </c>
      <c r="G361" s="13" t="n">
        <v>240</v>
      </c>
      <c r="H361" s="13" t="s">
        <v>926</v>
      </c>
      <c r="I361" s="14" t="s">
        <v>2359</v>
      </c>
      <c r="J361" s="15"/>
      <c r="K361" s="13"/>
      <c r="L361" s="13" t="s">
        <v>2394</v>
      </c>
      <c r="M361" s="13"/>
      <c r="N361" s="13" t="s">
        <v>184</v>
      </c>
      <c r="O361" s="13" t="s">
        <v>2361</v>
      </c>
      <c r="P361" s="13" t="s">
        <v>1049</v>
      </c>
      <c r="Q361" s="16"/>
      <c r="R361" s="16"/>
      <c r="S361" s="16"/>
      <c r="T361" s="16"/>
      <c r="U361" s="16"/>
      <c r="V361" s="13" t="s">
        <v>1050</v>
      </c>
      <c r="W361" s="18" t="n">
        <v>575</v>
      </c>
      <c r="X361" s="13" t="n">
        <v>4</v>
      </c>
      <c r="Y361" s="13" t="s">
        <v>2352</v>
      </c>
      <c r="Z361" s="13" t="s">
        <v>260</v>
      </c>
      <c r="AA361" s="13" t="s">
        <v>192</v>
      </c>
      <c r="AB361" s="13"/>
      <c r="AC361" s="17"/>
      <c r="AD361" s="13"/>
      <c r="AE361" s="19"/>
      <c r="AF361" s="19"/>
      <c r="AG361" s="19"/>
      <c r="AH361" s="13"/>
      <c r="AI361" s="17"/>
      <c r="AJ361" s="13" t="s">
        <v>188</v>
      </c>
      <c r="AK361" s="13" t="s">
        <v>188</v>
      </c>
      <c r="AL361" s="14" t="s">
        <v>2301</v>
      </c>
      <c r="AM361" s="13" t="s">
        <v>2388</v>
      </c>
      <c r="AN361" s="15"/>
      <c r="AO361" s="13"/>
      <c r="AP361" s="13" t="s">
        <v>269</v>
      </c>
      <c r="AQ361" s="16" t="str">
        <f aca="false">IFERROR(IF(AND(INDEX(Mob_Demob!$D$6:$D$14,MATCH(AM361,Mob_Demob!$A$6:$A$14,0))="",INDEX(Mob_Demob!$G$6:$G$14,MATCH(AM361,Mob_Demob!$A$6:$A$14,0))=""),"",ROUND(MAX(N(INDEX(Mob_Demob!$G$6:$G$14,MATCH(AM361,Mob_Demob!$A$6:$A$14,0))),N(INDEX(Mob_Demob!$D$6:$D$14,MATCH(AM361,Mob_Demob!$A$6:$A$14,0)))*Settings!$B$6)+IF(AP361="Y",N(INDEX(Mob_Demob!$I$6:$I$14,MATCH(AM361,Mob_Demob!$A$6:$A$14,0)))*Settings!$B$19,0)+N(INDEX(Mob_Demob!$L$6:$L$14,MATCH(AM361,Mob_Demob!$A$6:$A$14,0)))*N(INDEX(Mob_Demob!$K$6:$K$14,MATCH(AM361,Mob_Demob!$A$6:$A$14,0)))*Settings!$B$6+N(INDEX(Mob_Demob!$M$6:$M$14,MATCH(AM361,Mob_Demob!$A$6:$A$14,0)))*N(INDEX(Mob_Demob!$N$6:$N$14,MATCH(AM361,Mob_Demob!$A$6:$A$14,0))),0)),"")</f>
        <v/>
      </c>
      <c r="AR361" s="16" t="str">
        <f aca="false">IF(AQ361="","",ROUND(AQ361*Settings!$B$18,0))</f>
        <v/>
      </c>
      <c r="AS361" s="13" t="s">
        <v>2321</v>
      </c>
      <c r="AT361" s="14" t="s">
        <v>2365</v>
      </c>
      <c r="AU361" s="14" t="s">
        <v>1054</v>
      </c>
    </row>
    <row r="362" customFormat="false" ht="64.15" hidden="false" customHeight="false" outlineLevel="0" collapsed="false">
      <c r="A362" s="11" t="s">
        <v>2395</v>
      </c>
      <c r="B362" s="11" t="s">
        <v>2168</v>
      </c>
      <c r="C362" s="11" t="s">
        <v>2356</v>
      </c>
      <c r="D362" s="11" t="s">
        <v>2357</v>
      </c>
      <c r="E362" s="12" t="s">
        <v>2396</v>
      </c>
      <c r="F362" s="13" t="s">
        <v>149</v>
      </c>
      <c r="G362" s="13" t="n">
        <v>275</v>
      </c>
      <c r="H362" s="13" t="s">
        <v>926</v>
      </c>
      <c r="I362" s="14" t="s">
        <v>2359</v>
      </c>
      <c r="J362" s="15"/>
      <c r="K362" s="13"/>
      <c r="L362" s="13" t="s">
        <v>2397</v>
      </c>
      <c r="M362" s="13"/>
      <c r="N362" s="13" t="s">
        <v>184</v>
      </c>
      <c r="O362" s="13" t="s">
        <v>2361</v>
      </c>
      <c r="P362" s="13" t="s">
        <v>1049</v>
      </c>
      <c r="Q362" s="16"/>
      <c r="R362" s="16"/>
      <c r="S362" s="16"/>
      <c r="T362" s="16"/>
      <c r="U362" s="16"/>
      <c r="V362" s="13" t="s">
        <v>1050</v>
      </c>
      <c r="W362" s="18" t="n">
        <v>595</v>
      </c>
      <c r="X362" s="13" t="n">
        <v>4</v>
      </c>
      <c r="Y362" s="13" t="s">
        <v>2352</v>
      </c>
      <c r="Z362" s="13" t="s">
        <v>260</v>
      </c>
      <c r="AA362" s="13" t="s">
        <v>192</v>
      </c>
      <c r="AB362" s="13"/>
      <c r="AC362" s="17"/>
      <c r="AD362" s="13"/>
      <c r="AE362" s="19"/>
      <c r="AF362" s="19"/>
      <c r="AG362" s="19"/>
      <c r="AH362" s="13"/>
      <c r="AI362" s="17"/>
      <c r="AJ362" s="13" t="s">
        <v>188</v>
      </c>
      <c r="AK362" s="13" t="s">
        <v>188</v>
      </c>
      <c r="AL362" s="14" t="s">
        <v>2301</v>
      </c>
      <c r="AM362" s="13" t="s">
        <v>2388</v>
      </c>
      <c r="AN362" s="15"/>
      <c r="AO362" s="13"/>
      <c r="AP362" s="13" t="s">
        <v>269</v>
      </c>
      <c r="AQ362" s="16" t="str">
        <f aca="false">IFERROR(IF(AND(INDEX(Mob_Demob!$D$6:$D$14,MATCH(AM362,Mob_Demob!$A$6:$A$14,0))="",INDEX(Mob_Demob!$G$6:$G$14,MATCH(AM362,Mob_Demob!$A$6:$A$14,0))=""),"",ROUND(MAX(N(INDEX(Mob_Demob!$G$6:$G$14,MATCH(AM362,Mob_Demob!$A$6:$A$14,0))),N(INDEX(Mob_Demob!$D$6:$D$14,MATCH(AM362,Mob_Demob!$A$6:$A$14,0)))*Settings!$B$6)+IF(AP362="Y",N(INDEX(Mob_Demob!$I$6:$I$14,MATCH(AM362,Mob_Demob!$A$6:$A$14,0)))*Settings!$B$19,0)+N(INDEX(Mob_Demob!$L$6:$L$14,MATCH(AM362,Mob_Demob!$A$6:$A$14,0)))*N(INDEX(Mob_Demob!$K$6:$K$14,MATCH(AM362,Mob_Demob!$A$6:$A$14,0)))*Settings!$B$6+N(INDEX(Mob_Demob!$M$6:$M$14,MATCH(AM362,Mob_Demob!$A$6:$A$14,0)))*N(INDEX(Mob_Demob!$N$6:$N$14,MATCH(AM362,Mob_Demob!$A$6:$A$14,0))),0)),"")</f>
        <v/>
      </c>
      <c r="AR362" s="16" t="str">
        <f aca="false">IF(AQ362="","",ROUND(AQ362*Settings!$B$18,0))</f>
        <v/>
      </c>
      <c r="AS362" s="13" t="s">
        <v>2321</v>
      </c>
      <c r="AT362" s="14" t="s">
        <v>2365</v>
      </c>
      <c r="AU362" s="14" t="s">
        <v>1054</v>
      </c>
    </row>
    <row r="363" customFormat="false" ht="64.15" hidden="false" customHeight="false" outlineLevel="0" collapsed="false">
      <c r="A363" s="11" t="s">
        <v>2398</v>
      </c>
      <c r="B363" s="11" t="s">
        <v>2168</v>
      </c>
      <c r="C363" s="11" t="s">
        <v>2399</v>
      </c>
      <c r="D363" s="11" t="s">
        <v>2400</v>
      </c>
      <c r="E363" s="12" t="s">
        <v>2401</v>
      </c>
      <c r="F363" s="13" t="s">
        <v>149</v>
      </c>
      <c r="G363" s="13" t="n">
        <v>35</v>
      </c>
      <c r="H363" s="13" t="s">
        <v>926</v>
      </c>
      <c r="I363" s="14" t="s">
        <v>2402</v>
      </c>
      <c r="J363" s="15"/>
      <c r="K363" s="13"/>
      <c r="L363" s="13" t="s">
        <v>2403</v>
      </c>
      <c r="M363" s="13"/>
      <c r="N363" s="13" t="s">
        <v>184</v>
      </c>
      <c r="O363" s="13" t="s">
        <v>2300</v>
      </c>
      <c r="P363" s="13" t="s">
        <v>186</v>
      </c>
      <c r="Q363" s="16"/>
      <c r="R363" s="16"/>
      <c r="S363" s="16"/>
      <c r="T363" s="16"/>
      <c r="U363" s="16"/>
      <c r="V363" s="13" t="s">
        <v>187</v>
      </c>
      <c r="W363" s="17"/>
      <c r="X363" s="13"/>
      <c r="Y363" s="13"/>
      <c r="Z363" s="13"/>
      <c r="AA363" s="13" t="s">
        <v>188</v>
      </c>
      <c r="AB363" s="13" t="s">
        <v>2404</v>
      </c>
      <c r="AC363" s="18" t="n">
        <v>176.98</v>
      </c>
      <c r="AD363" s="13" t="s">
        <v>190</v>
      </c>
      <c r="AE363" s="19"/>
      <c r="AF363" s="19"/>
      <c r="AG363" s="19"/>
      <c r="AH363" s="13"/>
      <c r="AI363" s="17" t="str">
        <f aca="false">IF(OR(AC363="",AF363="",Settings!$B$5=""),"",ROUND(AC363-AF363*Settings!$B$5,2))</f>
        <v/>
      </c>
      <c r="AJ363" s="13" t="s">
        <v>192</v>
      </c>
      <c r="AK363" s="13" t="s">
        <v>193</v>
      </c>
      <c r="AL363" s="14" t="s">
        <v>2301</v>
      </c>
      <c r="AM363" s="13" t="s">
        <v>484</v>
      </c>
      <c r="AN363" s="15"/>
      <c r="AO363" s="13"/>
      <c r="AP363" s="13" t="s">
        <v>196</v>
      </c>
      <c r="AQ363" s="16" t="str">
        <f aca="false">IFERROR(IF(AND(INDEX(Mob_Demob!$D$6:$D$14,MATCH(AM363,Mob_Demob!$A$6:$A$14,0))="",INDEX(Mob_Demob!$G$6:$G$14,MATCH(AM363,Mob_Demob!$A$6:$A$14,0))=""),"",ROUND(MAX(N(INDEX(Mob_Demob!$G$6:$G$14,MATCH(AM363,Mob_Demob!$A$6:$A$14,0))),N(INDEX(Mob_Demob!$D$6:$D$14,MATCH(AM363,Mob_Demob!$A$6:$A$14,0)))*Settings!$B$6)+IF(AP363="Y",N(INDEX(Mob_Demob!$I$6:$I$14,MATCH(AM363,Mob_Demob!$A$6:$A$14,0)))*Settings!$B$19,0)+N(INDEX(Mob_Demob!$L$6:$L$14,MATCH(AM363,Mob_Demob!$A$6:$A$14,0)))*N(INDEX(Mob_Demob!$K$6:$K$14,MATCH(AM363,Mob_Demob!$A$6:$A$14,0)))*Settings!$B$6+N(INDEX(Mob_Demob!$M$6:$M$14,MATCH(AM363,Mob_Demob!$A$6:$A$14,0)))*N(INDEX(Mob_Demob!$N$6:$N$14,MATCH(AM363,Mob_Demob!$A$6:$A$14,0))),0)),"")</f>
        <v/>
      </c>
      <c r="AR363" s="16" t="str">
        <f aca="false">IF(AQ363="","",ROUND(AQ363*Settings!$B$18,0))</f>
        <v/>
      </c>
      <c r="AS363" s="13" t="s">
        <v>2321</v>
      </c>
      <c r="AT363" s="14" t="s">
        <v>2405</v>
      </c>
      <c r="AU363" s="14" t="s">
        <v>838</v>
      </c>
    </row>
    <row r="364" customFormat="false" ht="64.15" hidden="false" customHeight="false" outlineLevel="0" collapsed="false">
      <c r="A364" s="11" t="s">
        <v>2406</v>
      </c>
      <c r="B364" s="11" t="s">
        <v>2168</v>
      </c>
      <c r="C364" s="11" t="s">
        <v>2399</v>
      </c>
      <c r="D364" s="11" t="s">
        <v>2400</v>
      </c>
      <c r="E364" s="12" t="s">
        <v>2407</v>
      </c>
      <c r="F364" s="13" t="s">
        <v>149</v>
      </c>
      <c r="G364" s="13" t="n">
        <v>60</v>
      </c>
      <c r="H364" s="13" t="s">
        <v>926</v>
      </c>
      <c r="I364" s="14" t="s">
        <v>2408</v>
      </c>
      <c r="J364" s="15"/>
      <c r="K364" s="13"/>
      <c r="L364" s="13" t="s">
        <v>2368</v>
      </c>
      <c r="M364" s="13"/>
      <c r="N364" s="13" t="s">
        <v>184</v>
      </c>
      <c r="O364" s="13" t="s">
        <v>2300</v>
      </c>
      <c r="P364" s="13" t="s">
        <v>186</v>
      </c>
      <c r="Q364" s="16"/>
      <c r="R364" s="16"/>
      <c r="S364" s="16"/>
      <c r="T364" s="16"/>
      <c r="U364" s="16"/>
      <c r="V364" s="13" t="s">
        <v>187</v>
      </c>
      <c r="W364" s="17"/>
      <c r="X364" s="13"/>
      <c r="Y364" s="13"/>
      <c r="Z364" s="13"/>
      <c r="AA364" s="13" t="s">
        <v>188</v>
      </c>
      <c r="AB364" s="13" t="s">
        <v>2409</v>
      </c>
      <c r="AC364" s="18" t="n">
        <v>209.49</v>
      </c>
      <c r="AD364" s="13" t="s">
        <v>190</v>
      </c>
      <c r="AE364" s="19"/>
      <c r="AF364" s="19"/>
      <c r="AG364" s="19"/>
      <c r="AH364" s="13"/>
      <c r="AI364" s="17" t="str">
        <f aca="false">IF(OR(AC364="",AF364="",Settings!$B$5=""),"",ROUND(AC364-AF364*Settings!$B$5,2))</f>
        <v/>
      </c>
      <c r="AJ364" s="13" t="s">
        <v>192</v>
      </c>
      <c r="AK364" s="13" t="s">
        <v>193</v>
      </c>
      <c r="AL364" s="14" t="s">
        <v>2301</v>
      </c>
      <c r="AM364" s="13" t="s">
        <v>484</v>
      </c>
      <c r="AN364" s="15"/>
      <c r="AO364" s="13"/>
      <c r="AP364" s="13" t="s">
        <v>196</v>
      </c>
      <c r="AQ364" s="16" t="str">
        <f aca="false">IFERROR(IF(AND(INDEX(Mob_Demob!$D$6:$D$14,MATCH(AM364,Mob_Demob!$A$6:$A$14,0))="",INDEX(Mob_Demob!$G$6:$G$14,MATCH(AM364,Mob_Demob!$A$6:$A$14,0))=""),"",ROUND(MAX(N(INDEX(Mob_Demob!$G$6:$G$14,MATCH(AM364,Mob_Demob!$A$6:$A$14,0))),N(INDEX(Mob_Demob!$D$6:$D$14,MATCH(AM364,Mob_Demob!$A$6:$A$14,0)))*Settings!$B$6)+IF(AP364="Y",N(INDEX(Mob_Demob!$I$6:$I$14,MATCH(AM364,Mob_Demob!$A$6:$A$14,0)))*Settings!$B$19,0)+N(INDEX(Mob_Demob!$L$6:$L$14,MATCH(AM364,Mob_Demob!$A$6:$A$14,0)))*N(INDEX(Mob_Demob!$K$6:$K$14,MATCH(AM364,Mob_Demob!$A$6:$A$14,0)))*Settings!$B$6+N(INDEX(Mob_Demob!$M$6:$M$14,MATCH(AM364,Mob_Demob!$A$6:$A$14,0)))*N(INDEX(Mob_Demob!$N$6:$N$14,MATCH(AM364,Mob_Demob!$A$6:$A$14,0))),0)),"")</f>
        <v/>
      </c>
      <c r="AR364" s="16" t="str">
        <f aca="false">IF(AQ364="","",ROUND(AQ364*Settings!$B$18,0))</f>
        <v/>
      </c>
      <c r="AS364" s="13" t="s">
        <v>2321</v>
      </c>
      <c r="AT364" s="14" t="s">
        <v>2405</v>
      </c>
      <c r="AU364" s="14" t="s">
        <v>838</v>
      </c>
    </row>
    <row r="365" customFormat="false" ht="64.15" hidden="false" customHeight="false" outlineLevel="0" collapsed="false">
      <c r="A365" s="11" t="s">
        <v>2410</v>
      </c>
      <c r="B365" s="11" t="s">
        <v>2168</v>
      </c>
      <c r="C365" s="11" t="s">
        <v>2399</v>
      </c>
      <c r="D365" s="11" t="s">
        <v>2411</v>
      </c>
      <c r="E365" s="12" t="s">
        <v>2412</v>
      </c>
      <c r="F365" s="13" t="s">
        <v>149</v>
      </c>
      <c r="G365" s="13"/>
      <c r="H365" s="13" t="s">
        <v>926</v>
      </c>
      <c r="I365" s="14"/>
      <c r="J365" s="15"/>
      <c r="K365" s="13"/>
      <c r="L365" s="13"/>
      <c r="M365" s="13"/>
      <c r="N365" s="13" t="s">
        <v>184</v>
      </c>
      <c r="O365" s="13" t="s">
        <v>2413</v>
      </c>
      <c r="P365" s="13" t="s">
        <v>1049</v>
      </c>
      <c r="Q365" s="16"/>
      <c r="R365" s="16"/>
      <c r="S365" s="16"/>
      <c r="T365" s="16"/>
      <c r="U365" s="16"/>
      <c r="V365" s="13" t="s">
        <v>1050</v>
      </c>
      <c r="W365" s="18" t="n">
        <v>1350</v>
      </c>
      <c r="X365" s="13" t="n">
        <v>8</v>
      </c>
      <c r="Y365" s="13" t="s">
        <v>2414</v>
      </c>
      <c r="Z365" s="13" t="s">
        <v>2415</v>
      </c>
      <c r="AA365" s="13" t="s">
        <v>192</v>
      </c>
      <c r="AB365" s="13"/>
      <c r="AC365" s="17"/>
      <c r="AD365" s="13"/>
      <c r="AE365" s="19"/>
      <c r="AF365" s="19"/>
      <c r="AG365" s="19"/>
      <c r="AH365" s="13"/>
      <c r="AI365" s="17"/>
      <c r="AJ365" s="13" t="s">
        <v>188</v>
      </c>
      <c r="AK365" s="13" t="s">
        <v>188</v>
      </c>
      <c r="AL365" s="14" t="s">
        <v>2301</v>
      </c>
      <c r="AM365" s="13" t="s">
        <v>2388</v>
      </c>
      <c r="AN365" s="15"/>
      <c r="AO365" s="13"/>
      <c r="AP365" s="13" t="s">
        <v>269</v>
      </c>
      <c r="AQ365" s="16" t="str">
        <f aca="false">IFERROR(IF(AND(INDEX(Mob_Demob!$D$6:$D$14,MATCH(AM365,Mob_Demob!$A$6:$A$14,0))="",INDEX(Mob_Demob!$G$6:$G$14,MATCH(AM365,Mob_Demob!$A$6:$A$14,0))=""),"",ROUND(MAX(N(INDEX(Mob_Demob!$G$6:$G$14,MATCH(AM365,Mob_Demob!$A$6:$A$14,0))),N(INDEX(Mob_Demob!$D$6:$D$14,MATCH(AM365,Mob_Demob!$A$6:$A$14,0)))*Settings!$B$6)+IF(AP365="Y",N(INDEX(Mob_Demob!$I$6:$I$14,MATCH(AM365,Mob_Demob!$A$6:$A$14,0)))*Settings!$B$19,0)+N(INDEX(Mob_Demob!$L$6:$L$14,MATCH(AM365,Mob_Demob!$A$6:$A$14,0)))*N(INDEX(Mob_Demob!$K$6:$K$14,MATCH(AM365,Mob_Demob!$A$6:$A$14,0)))*Settings!$B$6+N(INDEX(Mob_Demob!$M$6:$M$14,MATCH(AM365,Mob_Demob!$A$6:$A$14,0)))*N(INDEX(Mob_Demob!$N$6:$N$14,MATCH(AM365,Mob_Demob!$A$6:$A$14,0))),0)),"")</f>
        <v/>
      </c>
      <c r="AR365" s="16" t="str">
        <f aca="false">IF(AQ365="","",ROUND(AQ365*Settings!$B$18,0))</f>
        <v/>
      </c>
      <c r="AS365" s="13" t="s">
        <v>2416</v>
      </c>
      <c r="AT365" s="14" t="s">
        <v>2417</v>
      </c>
      <c r="AU365" s="14" t="s">
        <v>1054</v>
      </c>
    </row>
    <row r="366" customFormat="false" ht="53.7" hidden="false" customHeight="false" outlineLevel="0" collapsed="false">
      <c r="A366" s="11" t="s">
        <v>2418</v>
      </c>
      <c r="B366" s="11" t="s">
        <v>2168</v>
      </c>
      <c r="C366" s="11" t="s">
        <v>2419</v>
      </c>
      <c r="D366" s="11" t="s">
        <v>2420</v>
      </c>
      <c r="E366" s="12" t="s">
        <v>2421</v>
      </c>
      <c r="F366" s="13" t="s">
        <v>149</v>
      </c>
      <c r="G366" s="13" t="n">
        <v>125</v>
      </c>
      <c r="H366" s="13" t="s">
        <v>926</v>
      </c>
      <c r="I366" s="14" t="s">
        <v>2422</v>
      </c>
      <c r="J366" s="15"/>
      <c r="K366" s="13"/>
      <c r="L366" s="13" t="s">
        <v>2423</v>
      </c>
      <c r="M366" s="13"/>
      <c r="N366" s="13" t="s">
        <v>184</v>
      </c>
      <c r="O366" s="13" t="s">
        <v>2300</v>
      </c>
      <c r="P366" s="13" t="s">
        <v>186</v>
      </c>
      <c r="Q366" s="16"/>
      <c r="R366" s="16"/>
      <c r="S366" s="16"/>
      <c r="T366" s="16"/>
      <c r="U366" s="16"/>
      <c r="V366" s="13" t="s">
        <v>187</v>
      </c>
      <c r="W366" s="17"/>
      <c r="X366" s="13"/>
      <c r="Y366" s="13"/>
      <c r="Z366" s="13"/>
      <c r="AA366" s="13" t="s">
        <v>188</v>
      </c>
      <c r="AB366" s="13" t="s">
        <v>2424</v>
      </c>
      <c r="AC366" s="18" t="n">
        <v>288.74</v>
      </c>
      <c r="AD366" s="13" t="s">
        <v>190</v>
      </c>
      <c r="AE366" s="19"/>
      <c r="AF366" s="19"/>
      <c r="AG366" s="19"/>
      <c r="AH366" s="13"/>
      <c r="AI366" s="17" t="str">
        <f aca="false">IF(OR(AC366="",AF366="",Settings!$B$5=""),"",ROUND(AC366-AF366*Settings!$B$5,2))</f>
        <v/>
      </c>
      <c r="AJ366" s="13" t="s">
        <v>192</v>
      </c>
      <c r="AK366" s="13" t="s">
        <v>193</v>
      </c>
      <c r="AL366" s="14" t="s">
        <v>2425</v>
      </c>
      <c r="AM366" s="13" t="s">
        <v>2388</v>
      </c>
      <c r="AN366" s="15"/>
      <c r="AO366" s="13"/>
      <c r="AP366" s="13" t="s">
        <v>269</v>
      </c>
      <c r="AQ366" s="16" t="str">
        <f aca="false">IFERROR(IF(AND(INDEX(Mob_Demob!$D$6:$D$14,MATCH(AM366,Mob_Demob!$A$6:$A$14,0))="",INDEX(Mob_Demob!$G$6:$G$14,MATCH(AM366,Mob_Demob!$A$6:$A$14,0))=""),"",ROUND(MAX(N(INDEX(Mob_Demob!$G$6:$G$14,MATCH(AM366,Mob_Demob!$A$6:$A$14,0))),N(INDEX(Mob_Demob!$D$6:$D$14,MATCH(AM366,Mob_Demob!$A$6:$A$14,0)))*Settings!$B$6)+IF(AP366="Y",N(INDEX(Mob_Demob!$I$6:$I$14,MATCH(AM366,Mob_Demob!$A$6:$A$14,0)))*Settings!$B$19,0)+N(INDEX(Mob_Demob!$L$6:$L$14,MATCH(AM366,Mob_Demob!$A$6:$A$14,0)))*N(INDEX(Mob_Demob!$K$6:$K$14,MATCH(AM366,Mob_Demob!$A$6:$A$14,0)))*Settings!$B$6+N(INDEX(Mob_Demob!$M$6:$M$14,MATCH(AM366,Mob_Demob!$A$6:$A$14,0)))*N(INDEX(Mob_Demob!$N$6:$N$14,MATCH(AM366,Mob_Demob!$A$6:$A$14,0))),0)),"")</f>
        <v/>
      </c>
      <c r="AR366" s="16" t="str">
        <f aca="false">IF(AQ366="","",ROUND(AQ366*Settings!$B$18,0))</f>
        <v/>
      </c>
      <c r="AS366" s="13" t="s">
        <v>2426</v>
      </c>
      <c r="AT366" s="14" t="s">
        <v>2427</v>
      </c>
      <c r="AU366" s="14" t="s">
        <v>838</v>
      </c>
    </row>
    <row r="367" customFormat="false" ht="53.7" hidden="false" customHeight="false" outlineLevel="0" collapsed="false">
      <c r="A367" s="11" t="s">
        <v>2428</v>
      </c>
      <c r="B367" s="11" t="s">
        <v>2168</v>
      </c>
      <c r="C367" s="11" t="s">
        <v>2419</v>
      </c>
      <c r="D367" s="11" t="s">
        <v>2429</v>
      </c>
      <c r="E367" s="12" t="s">
        <v>2430</v>
      </c>
      <c r="F367" s="13" t="s">
        <v>149</v>
      </c>
      <c r="G367" s="13" t="n">
        <v>70</v>
      </c>
      <c r="H367" s="13" t="s">
        <v>926</v>
      </c>
      <c r="I367" s="14"/>
      <c r="J367" s="15"/>
      <c r="K367" s="13"/>
      <c r="L367" s="13" t="s">
        <v>2431</v>
      </c>
      <c r="M367" s="13"/>
      <c r="N367" s="13" t="s">
        <v>184</v>
      </c>
      <c r="O367" s="13" t="s">
        <v>2300</v>
      </c>
      <c r="P367" s="13" t="s">
        <v>186</v>
      </c>
      <c r="Q367" s="16"/>
      <c r="R367" s="16"/>
      <c r="S367" s="16"/>
      <c r="T367" s="16"/>
      <c r="U367" s="16"/>
      <c r="V367" s="13" t="s">
        <v>187</v>
      </c>
      <c r="W367" s="17"/>
      <c r="X367" s="13"/>
      <c r="Y367" s="13"/>
      <c r="Z367" s="13"/>
      <c r="AA367" s="13" t="s">
        <v>188</v>
      </c>
      <c r="AB367" s="13" t="s">
        <v>2432</v>
      </c>
      <c r="AC367" s="17"/>
      <c r="AD367" s="13"/>
      <c r="AE367" s="19"/>
      <c r="AF367" s="19"/>
      <c r="AG367" s="19"/>
      <c r="AH367" s="13"/>
      <c r="AI367" s="17"/>
      <c r="AJ367" s="13" t="s">
        <v>188</v>
      </c>
      <c r="AK367" s="13" t="s">
        <v>188</v>
      </c>
      <c r="AL367" s="14" t="s">
        <v>2433</v>
      </c>
      <c r="AM367" s="13" t="s">
        <v>2388</v>
      </c>
      <c r="AN367" s="15"/>
      <c r="AO367" s="13"/>
      <c r="AP367" s="13" t="s">
        <v>269</v>
      </c>
      <c r="AQ367" s="16" t="str">
        <f aca="false">IFERROR(IF(AND(INDEX(Mob_Demob!$D$6:$D$14,MATCH(AM367,Mob_Demob!$A$6:$A$14,0))="",INDEX(Mob_Demob!$G$6:$G$14,MATCH(AM367,Mob_Demob!$A$6:$A$14,0))=""),"",ROUND(MAX(N(INDEX(Mob_Demob!$G$6:$G$14,MATCH(AM367,Mob_Demob!$A$6:$A$14,0))),N(INDEX(Mob_Demob!$D$6:$D$14,MATCH(AM367,Mob_Demob!$A$6:$A$14,0)))*Settings!$B$6)+IF(AP367="Y",N(INDEX(Mob_Demob!$I$6:$I$14,MATCH(AM367,Mob_Demob!$A$6:$A$14,0)))*Settings!$B$19,0)+N(INDEX(Mob_Demob!$L$6:$L$14,MATCH(AM367,Mob_Demob!$A$6:$A$14,0)))*N(INDEX(Mob_Demob!$K$6:$K$14,MATCH(AM367,Mob_Demob!$A$6:$A$14,0)))*Settings!$B$6+N(INDEX(Mob_Demob!$M$6:$M$14,MATCH(AM367,Mob_Demob!$A$6:$A$14,0)))*N(INDEX(Mob_Demob!$N$6:$N$14,MATCH(AM367,Mob_Demob!$A$6:$A$14,0))),0)),"")</f>
        <v/>
      </c>
      <c r="AR367" s="16" t="str">
        <f aca="false">IF(AQ367="","",ROUND(AQ367*Settings!$B$18,0))</f>
        <v/>
      </c>
      <c r="AS367" s="13" t="s">
        <v>2302</v>
      </c>
      <c r="AT367" s="14" t="s">
        <v>2434</v>
      </c>
      <c r="AU367" s="14" t="s">
        <v>1381</v>
      </c>
    </row>
    <row r="368" customFormat="false" ht="53.7" hidden="false" customHeight="false" outlineLevel="0" collapsed="false">
      <c r="A368" s="11" t="s">
        <v>2435</v>
      </c>
      <c r="B368" s="11" t="s">
        <v>2168</v>
      </c>
      <c r="C368" s="11" t="s">
        <v>2419</v>
      </c>
      <c r="D368" s="11" t="s">
        <v>2429</v>
      </c>
      <c r="E368" s="12" t="s">
        <v>2436</v>
      </c>
      <c r="F368" s="13" t="s">
        <v>149</v>
      </c>
      <c r="G368" s="13" t="n">
        <v>120</v>
      </c>
      <c r="H368" s="13" t="s">
        <v>926</v>
      </c>
      <c r="I368" s="14"/>
      <c r="J368" s="15"/>
      <c r="K368" s="13"/>
      <c r="L368" s="13" t="s">
        <v>2383</v>
      </c>
      <c r="M368" s="13"/>
      <c r="N368" s="13" t="s">
        <v>184</v>
      </c>
      <c r="O368" s="13" t="s">
        <v>2300</v>
      </c>
      <c r="P368" s="13" t="s">
        <v>186</v>
      </c>
      <c r="Q368" s="16"/>
      <c r="R368" s="16"/>
      <c r="S368" s="16"/>
      <c r="T368" s="16"/>
      <c r="U368" s="16"/>
      <c r="V368" s="13" t="s">
        <v>187</v>
      </c>
      <c r="W368" s="17"/>
      <c r="X368" s="13"/>
      <c r="Y368" s="13"/>
      <c r="Z368" s="13"/>
      <c r="AA368" s="13" t="s">
        <v>188</v>
      </c>
      <c r="AB368" s="13" t="s">
        <v>2437</v>
      </c>
      <c r="AC368" s="17"/>
      <c r="AD368" s="13"/>
      <c r="AE368" s="19"/>
      <c r="AF368" s="19"/>
      <c r="AG368" s="19"/>
      <c r="AH368" s="13"/>
      <c r="AI368" s="17"/>
      <c r="AJ368" s="13" t="s">
        <v>188</v>
      </c>
      <c r="AK368" s="13" t="s">
        <v>188</v>
      </c>
      <c r="AL368" s="14" t="s">
        <v>2433</v>
      </c>
      <c r="AM368" s="13" t="s">
        <v>2388</v>
      </c>
      <c r="AN368" s="15"/>
      <c r="AO368" s="13"/>
      <c r="AP368" s="13" t="s">
        <v>269</v>
      </c>
      <c r="AQ368" s="16" t="str">
        <f aca="false">IFERROR(IF(AND(INDEX(Mob_Demob!$D$6:$D$14,MATCH(AM368,Mob_Demob!$A$6:$A$14,0))="",INDEX(Mob_Demob!$G$6:$G$14,MATCH(AM368,Mob_Demob!$A$6:$A$14,0))=""),"",ROUND(MAX(N(INDEX(Mob_Demob!$G$6:$G$14,MATCH(AM368,Mob_Demob!$A$6:$A$14,0))),N(INDEX(Mob_Demob!$D$6:$D$14,MATCH(AM368,Mob_Demob!$A$6:$A$14,0)))*Settings!$B$6)+IF(AP368="Y",N(INDEX(Mob_Demob!$I$6:$I$14,MATCH(AM368,Mob_Demob!$A$6:$A$14,0)))*Settings!$B$19,0)+N(INDEX(Mob_Demob!$L$6:$L$14,MATCH(AM368,Mob_Demob!$A$6:$A$14,0)))*N(INDEX(Mob_Demob!$K$6:$K$14,MATCH(AM368,Mob_Demob!$A$6:$A$14,0)))*Settings!$B$6+N(INDEX(Mob_Demob!$M$6:$M$14,MATCH(AM368,Mob_Demob!$A$6:$A$14,0)))*N(INDEX(Mob_Demob!$N$6:$N$14,MATCH(AM368,Mob_Demob!$A$6:$A$14,0))),0)),"")</f>
        <v/>
      </c>
      <c r="AR368" s="16" t="str">
        <f aca="false">IF(AQ368="","",ROUND(AQ368*Settings!$B$18,0))</f>
        <v/>
      </c>
      <c r="AS368" s="13" t="s">
        <v>2302</v>
      </c>
      <c r="AT368" s="14" t="s">
        <v>2438</v>
      </c>
      <c r="AU368" s="14" t="s">
        <v>1381</v>
      </c>
    </row>
    <row r="369" customFormat="false" ht="64.15" hidden="false" customHeight="false" outlineLevel="0" collapsed="false">
      <c r="A369" s="11" t="s">
        <v>2439</v>
      </c>
      <c r="B369" s="11" t="s">
        <v>2168</v>
      </c>
      <c r="C369" s="11" t="s">
        <v>2440</v>
      </c>
      <c r="D369" s="11" t="s">
        <v>2441</v>
      </c>
      <c r="E369" s="12" t="s">
        <v>2441</v>
      </c>
      <c r="F369" s="13" t="s">
        <v>141</v>
      </c>
      <c r="G369" s="13" t="s">
        <v>2442</v>
      </c>
      <c r="H369" s="13"/>
      <c r="I369" s="14" t="s">
        <v>2443</v>
      </c>
      <c r="J369" s="15"/>
      <c r="K369" s="13"/>
      <c r="L369" s="13"/>
      <c r="M369" s="13"/>
      <c r="N369" s="13" t="s">
        <v>184</v>
      </c>
      <c r="O369" s="13" t="s">
        <v>2300</v>
      </c>
      <c r="P369" s="13" t="s">
        <v>186</v>
      </c>
      <c r="Q369" s="16"/>
      <c r="R369" s="16"/>
      <c r="S369" s="16"/>
      <c r="T369" s="16"/>
      <c r="U369" s="16"/>
      <c r="V369" s="13" t="s">
        <v>187</v>
      </c>
      <c r="W369" s="17"/>
      <c r="X369" s="13"/>
      <c r="Y369" s="13"/>
      <c r="Z369" s="13"/>
      <c r="AA369" s="13" t="s">
        <v>188</v>
      </c>
      <c r="AB369" s="13" t="s">
        <v>2444</v>
      </c>
      <c r="AC369" s="17"/>
      <c r="AD369" s="13"/>
      <c r="AE369" s="19"/>
      <c r="AF369" s="19"/>
      <c r="AG369" s="19"/>
      <c r="AH369" s="13"/>
      <c r="AI369" s="17"/>
      <c r="AJ369" s="13" t="s">
        <v>188</v>
      </c>
      <c r="AK369" s="13" t="s">
        <v>188</v>
      </c>
      <c r="AL369" s="14" t="s">
        <v>2301</v>
      </c>
      <c r="AM369" s="13" t="s">
        <v>484</v>
      </c>
      <c r="AN369" s="15"/>
      <c r="AO369" s="13"/>
      <c r="AP369" s="13" t="s">
        <v>196</v>
      </c>
      <c r="AQ369" s="16" t="str">
        <f aca="false">IFERROR(IF(AND(INDEX(Mob_Demob!$D$6:$D$14,MATCH(AM369,Mob_Demob!$A$6:$A$14,0))="",INDEX(Mob_Demob!$G$6:$G$14,MATCH(AM369,Mob_Demob!$A$6:$A$14,0))=""),"",ROUND(MAX(N(INDEX(Mob_Demob!$G$6:$G$14,MATCH(AM369,Mob_Demob!$A$6:$A$14,0))),N(INDEX(Mob_Demob!$D$6:$D$14,MATCH(AM369,Mob_Demob!$A$6:$A$14,0)))*Settings!$B$6)+IF(AP369="Y",N(INDEX(Mob_Demob!$I$6:$I$14,MATCH(AM369,Mob_Demob!$A$6:$A$14,0)))*Settings!$B$19,0)+N(INDEX(Mob_Demob!$L$6:$L$14,MATCH(AM369,Mob_Demob!$A$6:$A$14,0)))*N(INDEX(Mob_Demob!$K$6:$K$14,MATCH(AM369,Mob_Demob!$A$6:$A$14,0)))*Settings!$B$6+N(INDEX(Mob_Demob!$M$6:$M$14,MATCH(AM369,Mob_Demob!$A$6:$A$14,0)))*N(INDEX(Mob_Demob!$N$6:$N$14,MATCH(AM369,Mob_Demob!$A$6:$A$14,0))),0)),"")</f>
        <v/>
      </c>
      <c r="AR369" s="16" t="str">
        <f aca="false">IF(AQ369="","",ROUND(AQ369*Settings!$B$18,0))</f>
        <v/>
      </c>
      <c r="AS369" s="13" t="s">
        <v>2302</v>
      </c>
      <c r="AT369" s="14" t="s">
        <v>2445</v>
      </c>
      <c r="AU369" s="14" t="s">
        <v>1381</v>
      </c>
    </row>
    <row r="370" customFormat="false" ht="64.15" hidden="false" customHeight="false" outlineLevel="0" collapsed="false">
      <c r="A370" s="11" t="s">
        <v>2446</v>
      </c>
      <c r="B370" s="11" t="s">
        <v>2168</v>
      </c>
      <c r="C370" s="11" t="s">
        <v>2447</v>
      </c>
      <c r="D370" s="11" t="s">
        <v>2448</v>
      </c>
      <c r="E370" s="12" t="s">
        <v>2449</v>
      </c>
      <c r="F370" s="13" t="s">
        <v>141</v>
      </c>
      <c r="G370" s="13" t="s">
        <v>2450</v>
      </c>
      <c r="H370" s="13"/>
      <c r="I370" s="14"/>
      <c r="J370" s="15"/>
      <c r="K370" s="13"/>
      <c r="L370" s="13"/>
      <c r="M370" s="13"/>
      <c r="N370" s="13" t="s">
        <v>1737</v>
      </c>
      <c r="O370" s="13" t="s">
        <v>2300</v>
      </c>
      <c r="P370" s="13" t="s">
        <v>2451</v>
      </c>
      <c r="Q370" s="16"/>
      <c r="R370" s="16"/>
      <c r="S370" s="20" t="n">
        <v>37500</v>
      </c>
      <c r="T370" s="20" t="n">
        <v>15000</v>
      </c>
      <c r="U370" s="20" t="n">
        <v>60000</v>
      </c>
      <c r="V370" s="13" t="s">
        <v>2452</v>
      </c>
      <c r="W370" s="17"/>
      <c r="X370" s="13"/>
      <c r="Y370" s="13" t="s">
        <v>2453</v>
      </c>
      <c r="Z370" s="13" t="s">
        <v>2454</v>
      </c>
      <c r="AA370" s="13" t="s">
        <v>192</v>
      </c>
      <c r="AB370" s="13"/>
      <c r="AC370" s="17"/>
      <c r="AD370" s="13"/>
      <c r="AE370" s="19" t="n">
        <v>0</v>
      </c>
      <c r="AF370" s="19" t="n">
        <v>0</v>
      </c>
      <c r="AG370" s="19" t="n">
        <v>0</v>
      </c>
      <c r="AH370" s="13" t="s">
        <v>1739</v>
      </c>
      <c r="AI370" s="17"/>
      <c r="AJ370" s="13" t="s">
        <v>188</v>
      </c>
      <c r="AK370" s="13" t="s">
        <v>188</v>
      </c>
      <c r="AL370" s="14" t="s">
        <v>2301</v>
      </c>
      <c r="AM370" s="13" t="s">
        <v>2388</v>
      </c>
      <c r="AN370" s="15"/>
      <c r="AO370" s="13"/>
      <c r="AP370" s="13" t="s">
        <v>269</v>
      </c>
      <c r="AQ370" s="16" t="str">
        <f aca="false">IFERROR(IF(AND(INDEX(Mob_Demob!$D$6:$D$14,MATCH(AM370,Mob_Demob!$A$6:$A$14,0))="",INDEX(Mob_Demob!$G$6:$G$14,MATCH(AM370,Mob_Demob!$A$6:$A$14,0))=""),"",ROUND(MAX(N(INDEX(Mob_Demob!$G$6:$G$14,MATCH(AM370,Mob_Demob!$A$6:$A$14,0))),N(INDEX(Mob_Demob!$D$6:$D$14,MATCH(AM370,Mob_Demob!$A$6:$A$14,0)))*Settings!$B$6)+IF(AP370="Y",N(INDEX(Mob_Demob!$I$6:$I$14,MATCH(AM370,Mob_Demob!$A$6:$A$14,0)))*Settings!$B$19,0)+N(INDEX(Mob_Demob!$L$6:$L$14,MATCH(AM370,Mob_Demob!$A$6:$A$14,0)))*N(INDEX(Mob_Demob!$K$6:$K$14,MATCH(AM370,Mob_Demob!$A$6:$A$14,0)))*Settings!$B$6+N(INDEX(Mob_Demob!$M$6:$M$14,MATCH(AM370,Mob_Demob!$A$6:$A$14,0)))*N(INDEX(Mob_Demob!$N$6:$N$14,MATCH(AM370,Mob_Demob!$A$6:$A$14,0))),0)),"")</f>
        <v/>
      </c>
      <c r="AR370" s="16" t="str">
        <f aca="false">IF(AQ370="","",ROUND(AQ370*Settings!$B$18,0))</f>
        <v/>
      </c>
      <c r="AS370" s="13" t="s">
        <v>2455</v>
      </c>
      <c r="AT370" s="14" t="s">
        <v>2456</v>
      </c>
      <c r="AU370" s="14" t="s">
        <v>2457</v>
      </c>
    </row>
    <row r="371" customFormat="false" ht="64.15" hidden="false" customHeight="false" outlineLevel="0" collapsed="false">
      <c r="A371" s="11" t="s">
        <v>2458</v>
      </c>
      <c r="B371" s="11" t="s">
        <v>2168</v>
      </c>
      <c r="C371" s="11" t="s">
        <v>2459</v>
      </c>
      <c r="D371" s="11" t="s">
        <v>2459</v>
      </c>
      <c r="E371" s="12" t="s">
        <v>2459</v>
      </c>
      <c r="F371" s="13" t="s">
        <v>149</v>
      </c>
      <c r="G371" s="13"/>
      <c r="H371" s="13" t="s">
        <v>926</v>
      </c>
      <c r="I371" s="14"/>
      <c r="J371" s="15"/>
      <c r="K371" s="13"/>
      <c r="L371" s="13"/>
      <c r="M371" s="13"/>
      <c r="N371" s="13" t="s">
        <v>184</v>
      </c>
      <c r="O371" s="13" t="s">
        <v>2300</v>
      </c>
      <c r="P371" s="13" t="s">
        <v>186</v>
      </c>
      <c r="Q371" s="16"/>
      <c r="R371" s="16"/>
      <c r="S371" s="16"/>
      <c r="T371" s="16"/>
      <c r="U371" s="16"/>
      <c r="V371" s="13" t="s">
        <v>187</v>
      </c>
      <c r="W371" s="17"/>
      <c r="X371" s="13"/>
      <c r="Y371" s="13"/>
      <c r="Z371" s="13"/>
      <c r="AA371" s="13" t="s">
        <v>188</v>
      </c>
      <c r="AB371" s="13"/>
      <c r="AC371" s="17"/>
      <c r="AD371" s="13"/>
      <c r="AE371" s="19"/>
      <c r="AF371" s="19"/>
      <c r="AG371" s="19"/>
      <c r="AH371" s="13"/>
      <c r="AI371" s="17"/>
      <c r="AJ371" s="13" t="s">
        <v>188</v>
      </c>
      <c r="AK371" s="13" t="s">
        <v>188</v>
      </c>
      <c r="AL371" s="14" t="s">
        <v>2301</v>
      </c>
      <c r="AM371" s="13" t="s">
        <v>195</v>
      </c>
      <c r="AN371" s="15"/>
      <c r="AO371" s="13"/>
      <c r="AP371" s="13" t="s">
        <v>196</v>
      </c>
      <c r="AQ371" s="16" t="n">
        <f aca="false">IFERROR(IF(AND(INDEX(Mob_Demob!$D$6:$D$14,MATCH(AM371,Mob_Demob!$A$6:$A$14,0))="",INDEX(Mob_Demob!$G$6:$G$14,MATCH(AM371,Mob_Demob!$A$6:$A$14,0))=""),"",ROUND(MAX(N(INDEX(Mob_Demob!$G$6:$G$14,MATCH(AM371,Mob_Demob!$A$6:$A$14,0))),N(INDEX(Mob_Demob!$D$6:$D$14,MATCH(AM371,Mob_Demob!$A$6:$A$14,0)))*Settings!$B$6)+IF(AP371="Y",N(INDEX(Mob_Demob!$I$6:$I$14,MATCH(AM371,Mob_Demob!$A$6:$A$14,0)))*Settings!$B$19,0)+N(INDEX(Mob_Demob!$L$6:$L$14,MATCH(AM371,Mob_Demob!$A$6:$A$14,0)))*N(INDEX(Mob_Demob!$K$6:$K$14,MATCH(AM371,Mob_Demob!$A$6:$A$14,0)))*Settings!$B$6+N(INDEX(Mob_Demob!$M$6:$M$14,MATCH(AM371,Mob_Demob!$A$6:$A$14,0)))*N(INDEX(Mob_Demob!$N$6:$N$14,MATCH(AM371,Mob_Demob!$A$6:$A$14,0))),0)),"")</f>
        <v>500</v>
      </c>
      <c r="AR371" s="16" t="n">
        <f aca="false">IF(AQ371="","",ROUND(AQ371*Settings!$B$18,0))</f>
        <v>500</v>
      </c>
      <c r="AS371" s="13" t="s">
        <v>2302</v>
      </c>
      <c r="AT371" s="14" t="s">
        <v>2460</v>
      </c>
      <c r="AU371" s="14" t="s">
        <v>1712</v>
      </c>
    </row>
    <row r="372" customFormat="false" ht="64.15" hidden="false" customHeight="false" outlineLevel="0" collapsed="false">
      <c r="A372" s="11" t="s">
        <v>2461</v>
      </c>
      <c r="B372" s="11" t="s">
        <v>2168</v>
      </c>
      <c r="C372" s="11" t="s">
        <v>2462</v>
      </c>
      <c r="D372" s="11" t="s">
        <v>2462</v>
      </c>
      <c r="E372" s="12" t="s">
        <v>2462</v>
      </c>
      <c r="F372" s="13" t="s">
        <v>149</v>
      </c>
      <c r="G372" s="13"/>
      <c r="H372" s="13" t="s">
        <v>926</v>
      </c>
      <c r="I372" s="14"/>
      <c r="J372" s="15"/>
      <c r="K372" s="13"/>
      <c r="L372" s="13"/>
      <c r="M372" s="13"/>
      <c r="N372" s="13" t="s">
        <v>184</v>
      </c>
      <c r="O372" s="13" t="s">
        <v>2300</v>
      </c>
      <c r="P372" s="13" t="s">
        <v>186</v>
      </c>
      <c r="Q372" s="16"/>
      <c r="R372" s="16"/>
      <c r="S372" s="16"/>
      <c r="T372" s="16"/>
      <c r="U372" s="16"/>
      <c r="V372" s="13" t="s">
        <v>187</v>
      </c>
      <c r="W372" s="17"/>
      <c r="X372" s="13"/>
      <c r="Y372" s="13"/>
      <c r="Z372" s="13"/>
      <c r="AA372" s="13" t="s">
        <v>188</v>
      </c>
      <c r="AB372" s="13"/>
      <c r="AC372" s="17"/>
      <c r="AD372" s="13"/>
      <c r="AE372" s="19"/>
      <c r="AF372" s="19"/>
      <c r="AG372" s="19"/>
      <c r="AH372" s="13"/>
      <c r="AI372" s="17"/>
      <c r="AJ372" s="13" t="s">
        <v>188</v>
      </c>
      <c r="AK372" s="13" t="s">
        <v>188</v>
      </c>
      <c r="AL372" s="14" t="s">
        <v>2301</v>
      </c>
      <c r="AM372" s="13" t="s">
        <v>484</v>
      </c>
      <c r="AN372" s="15"/>
      <c r="AO372" s="13"/>
      <c r="AP372" s="13" t="s">
        <v>196</v>
      </c>
      <c r="AQ372" s="16" t="str">
        <f aca="false">IFERROR(IF(AND(INDEX(Mob_Demob!$D$6:$D$14,MATCH(AM372,Mob_Demob!$A$6:$A$14,0))="",INDEX(Mob_Demob!$G$6:$G$14,MATCH(AM372,Mob_Demob!$A$6:$A$14,0))=""),"",ROUND(MAX(N(INDEX(Mob_Demob!$G$6:$G$14,MATCH(AM372,Mob_Demob!$A$6:$A$14,0))),N(INDEX(Mob_Demob!$D$6:$D$14,MATCH(AM372,Mob_Demob!$A$6:$A$14,0)))*Settings!$B$6)+IF(AP372="Y",N(INDEX(Mob_Demob!$I$6:$I$14,MATCH(AM372,Mob_Demob!$A$6:$A$14,0)))*Settings!$B$19,0)+N(INDEX(Mob_Demob!$L$6:$L$14,MATCH(AM372,Mob_Demob!$A$6:$A$14,0)))*N(INDEX(Mob_Demob!$K$6:$K$14,MATCH(AM372,Mob_Demob!$A$6:$A$14,0)))*Settings!$B$6+N(INDEX(Mob_Demob!$M$6:$M$14,MATCH(AM372,Mob_Demob!$A$6:$A$14,0)))*N(INDEX(Mob_Demob!$N$6:$N$14,MATCH(AM372,Mob_Demob!$A$6:$A$14,0))),0)),"")</f>
        <v/>
      </c>
      <c r="AR372" s="16" t="str">
        <f aca="false">IF(AQ372="","",ROUND(AQ372*Settings!$B$18,0))</f>
        <v/>
      </c>
      <c r="AS372" s="13" t="s">
        <v>2302</v>
      </c>
      <c r="AT372" s="14" t="s">
        <v>2460</v>
      </c>
      <c r="AU372" s="14" t="s">
        <v>1712</v>
      </c>
    </row>
    <row r="373" customFormat="false" ht="64.15" hidden="false" customHeight="false" outlineLevel="0" collapsed="false">
      <c r="A373" s="11" t="s">
        <v>2463</v>
      </c>
      <c r="B373" s="11" t="s">
        <v>2168</v>
      </c>
      <c r="C373" s="11" t="s">
        <v>2464</v>
      </c>
      <c r="D373" s="11" t="s">
        <v>2465</v>
      </c>
      <c r="E373" s="12" t="s">
        <v>2464</v>
      </c>
      <c r="F373" s="13" t="s">
        <v>857</v>
      </c>
      <c r="G373" s="13" t="s">
        <v>2466</v>
      </c>
      <c r="H373" s="13"/>
      <c r="I373" s="14" t="s">
        <v>2467</v>
      </c>
      <c r="J373" s="15"/>
      <c r="K373" s="13"/>
      <c r="L373" s="13"/>
      <c r="M373" s="13"/>
      <c r="N373" s="13" t="s">
        <v>184</v>
      </c>
      <c r="O373" s="13" t="s">
        <v>2300</v>
      </c>
      <c r="P373" s="13" t="s">
        <v>186</v>
      </c>
      <c r="Q373" s="16"/>
      <c r="R373" s="16"/>
      <c r="S373" s="16"/>
      <c r="T373" s="16"/>
      <c r="U373" s="16"/>
      <c r="V373" s="13" t="s">
        <v>187</v>
      </c>
      <c r="W373" s="17"/>
      <c r="X373" s="13"/>
      <c r="Y373" s="13"/>
      <c r="Z373" s="13"/>
      <c r="AA373" s="13" t="s">
        <v>188</v>
      </c>
      <c r="AB373" s="13" t="s">
        <v>2468</v>
      </c>
      <c r="AC373" s="17"/>
      <c r="AD373" s="13"/>
      <c r="AE373" s="19"/>
      <c r="AF373" s="19"/>
      <c r="AG373" s="19"/>
      <c r="AH373" s="13"/>
      <c r="AI373" s="17"/>
      <c r="AJ373" s="13" t="s">
        <v>188</v>
      </c>
      <c r="AK373" s="13" t="s">
        <v>188</v>
      </c>
      <c r="AL373" s="14" t="s">
        <v>2301</v>
      </c>
      <c r="AM373" s="13" t="s">
        <v>216</v>
      </c>
      <c r="AN373" s="15"/>
      <c r="AO373" s="13"/>
      <c r="AP373" s="13" t="s">
        <v>241</v>
      </c>
      <c r="AQ373" s="16" t="n">
        <f aca="false">IFERROR(IF(AND(INDEX(Mob_Demob!$D$6:$D$14,MATCH(AM373,Mob_Demob!$A$6:$A$14,0))="",INDEX(Mob_Demob!$G$6:$G$14,MATCH(AM373,Mob_Demob!$A$6:$A$14,0))=""),"",ROUND(MAX(N(INDEX(Mob_Demob!$G$6:$G$14,MATCH(AM373,Mob_Demob!$A$6:$A$14,0))),N(INDEX(Mob_Demob!$D$6:$D$14,MATCH(AM373,Mob_Demob!$A$6:$A$14,0)))*Settings!$B$6)+IF(AP373="Y",N(INDEX(Mob_Demob!$I$6:$I$14,MATCH(AM373,Mob_Demob!$A$6:$A$14,0)))*Settings!$B$19,0)+N(INDEX(Mob_Demob!$L$6:$L$14,MATCH(AM373,Mob_Demob!$A$6:$A$14,0)))*N(INDEX(Mob_Demob!$K$6:$K$14,MATCH(AM373,Mob_Demob!$A$6:$A$14,0)))*Settings!$B$6+N(INDEX(Mob_Demob!$M$6:$M$14,MATCH(AM373,Mob_Demob!$A$6:$A$14,0)))*N(INDEX(Mob_Demob!$N$6:$N$14,MATCH(AM373,Mob_Demob!$A$6:$A$14,0))),0)),"")</f>
        <v>550</v>
      </c>
      <c r="AR373" s="16" t="n">
        <f aca="false">IF(AQ373="","",ROUND(AQ373*Settings!$B$18,0))</f>
        <v>550</v>
      </c>
      <c r="AS373" s="13"/>
      <c r="AT373" s="14" t="s">
        <v>2469</v>
      </c>
      <c r="AU373" s="14" t="s">
        <v>1381</v>
      </c>
    </row>
    <row r="374" customFormat="false" ht="64.15" hidden="false" customHeight="false" outlineLevel="0" collapsed="false">
      <c r="A374" s="11" t="s">
        <v>2470</v>
      </c>
      <c r="B374" s="11" t="s">
        <v>2168</v>
      </c>
      <c r="C374" s="11" t="s">
        <v>2471</v>
      </c>
      <c r="D374" s="11" t="s">
        <v>2472</v>
      </c>
      <c r="E374" s="12" t="s">
        <v>2473</v>
      </c>
      <c r="F374" s="13" t="s">
        <v>149</v>
      </c>
      <c r="G374" s="13"/>
      <c r="H374" s="13" t="s">
        <v>334</v>
      </c>
      <c r="I374" s="14"/>
      <c r="J374" s="15"/>
      <c r="K374" s="13"/>
      <c r="L374" s="13"/>
      <c r="M374" s="13"/>
      <c r="N374" s="13" t="s">
        <v>1737</v>
      </c>
      <c r="O374" s="13" t="s">
        <v>2474</v>
      </c>
      <c r="P374" s="13" t="s">
        <v>186</v>
      </c>
      <c r="Q374" s="16"/>
      <c r="R374" s="16"/>
      <c r="S374" s="16"/>
      <c r="T374" s="16"/>
      <c r="U374" s="16"/>
      <c r="V374" s="13" t="s">
        <v>187</v>
      </c>
      <c r="W374" s="17"/>
      <c r="X374" s="13"/>
      <c r="Y374" s="13"/>
      <c r="Z374" s="13"/>
      <c r="AA374" s="13" t="s">
        <v>188</v>
      </c>
      <c r="AB374" s="13"/>
      <c r="AC374" s="17"/>
      <c r="AD374" s="13"/>
      <c r="AE374" s="19" t="n">
        <v>0</v>
      </c>
      <c r="AF374" s="19" t="n">
        <v>0</v>
      </c>
      <c r="AG374" s="19" t="n">
        <v>0</v>
      </c>
      <c r="AH374" s="13" t="s">
        <v>1739</v>
      </c>
      <c r="AI374" s="17"/>
      <c r="AJ374" s="13" t="s">
        <v>188</v>
      </c>
      <c r="AK374" s="13" t="s">
        <v>188</v>
      </c>
      <c r="AL374" s="14" t="s">
        <v>194</v>
      </c>
      <c r="AM374" s="13" t="s">
        <v>507</v>
      </c>
      <c r="AN374" s="15"/>
      <c r="AO374" s="13"/>
      <c r="AP374" s="13" t="s">
        <v>196</v>
      </c>
      <c r="AQ374" s="16" t="n">
        <f aca="false">IFERROR(IF(AND(INDEX(Mob_Demob!$D$6:$D$14,MATCH(AM374,Mob_Demob!$A$6:$A$14,0))="",INDEX(Mob_Demob!$G$6:$G$14,MATCH(AM374,Mob_Demob!$A$6:$A$14,0))=""),"",ROUND(MAX(N(INDEX(Mob_Demob!$G$6:$G$14,MATCH(AM374,Mob_Demob!$A$6:$A$14,0))),N(INDEX(Mob_Demob!$D$6:$D$14,MATCH(AM374,Mob_Demob!$A$6:$A$14,0)))*Settings!$B$6)+IF(AP374="Y",N(INDEX(Mob_Demob!$I$6:$I$14,MATCH(AM374,Mob_Demob!$A$6:$A$14,0)))*Settings!$B$19,0)+N(INDEX(Mob_Demob!$L$6:$L$14,MATCH(AM374,Mob_Demob!$A$6:$A$14,0)))*N(INDEX(Mob_Demob!$K$6:$K$14,MATCH(AM374,Mob_Demob!$A$6:$A$14,0)))*Settings!$B$6+N(INDEX(Mob_Demob!$M$6:$M$14,MATCH(AM374,Mob_Demob!$A$6:$A$14,0)))*N(INDEX(Mob_Demob!$N$6:$N$14,MATCH(AM374,Mob_Demob!$A$6:$A$14,0))),0)),"")</f>
        <v>400</v>
      </c>
      <c r="AR374" s="16" t="n">
        <f aca="false">IF(AQ374="","",ROUND(AQ374*Settings!$B$18,0))</f>
        <v>400</v>
      </c>
      <c r="AS374" s="13" t="s">
        <v>2302</v>
      </c>
      <c r="AT374" s="14" t="s">
        <v>2475</v>
      </c>
      <c r="AU374" s="14" t="s">
        <v>251</v>
      </c>
    </row>
    <row r="375" customFormat="false" ht="64.15" hidden="false" customHeight="false" outlineLevel="0" collapsed="false">
      <c r="A375" s="21" t="s">
        <v>2476</v>
      </c>
      <c r="B375" s="21" t="s">
        <v>2477</v>
      </c>
      <c r="C375" s="21" t="s">
        <v>2478</v>
      </c>
      <c r="D375" s="21" t="s">
        <v>2479</v>
      </c>
      <c r="E375" s="22" t="s">
        <v>2480</v>
      </c>
      <c r="F375" s="13" t="s">
        <v>2481</v>
      </c>
      <c r="G375" s="13" t="n">
        <v>36</v>
      </c>
      <c r="H375" s="13" t="s">
        <v>1196</v>
      </c>
      <c r="I375" s="14" t="s">
        <v>2482</v>
      </c>
      <c r="J375" s="15"/>
      <c r="K375" s="13"/>
      <c r="L375" s="13" t="s">
        <v>2483</v>
      </c>
      <c r="M375" s="13"/>
      <c r="N375" s="13" t="s">
        <v>1163</v>
      </c>
      <c r="O375" s="13" t="s">
        <v>1164</v>
      </c>
      <c r="P375" s="13" t="s">
        <v>186</v>
      </c>
      <c r="Q375" s="20" t="n">
        <v>250</v>
      </c>
      <c r="R375" s="20" t="n">
        <v>750</v>
      </c>
      <c r="S375" s="20" t="n">
        <v>2250</v>
      </c>
      <c r="T375" s="20" t="n">
        <v>1575</v>
      </c>
      <c r="U375" s="20" t="n">
        <v>2279</v>
      </c>
      <c r="V375" s="13" t="s">
        <v>187</v>
      </c>
      <c r="W375" s="17"/>
      <c r="X375" s="13"/>
      <c r="Y375" s="13" t="s">
        <v>1178</v>
      </c>
      <c r="Z375" s="13" t="s">
        <v>212</v>
      </c>
      <c r="AA375" s="13" t="s">
        <v>213</v>
      </c>
      <c r="AB375" s="13"/>
      <c r="AC375" s="17"/>
      <c r="AD375" s="13"/>
      <c r="AE375" s="19"/>
      <c r="AF375" s="19"/>
      <c r="AG375" s="19"/>
      <c r="AH375" s="13"/>
      <c r="AI375" s="17"/>
      <c r="AJ375" s="13" t="s">
        <v>188</v>
      </c>
      <c r="AK375" s="13" t="s">
        <v>188</v>
      </c>
      <c r="AL375" s="14" t="s">
        <v>194</v>
      </c>
      <c r="AM375" s="13" t="s">
        <v>195</v>
      </c>
      <c r="AN375" s="15"/>
      <c r="AO375" s="13"/>
      <c r="AP375" s="13" t="s">
        <v>196</v>
      </c>
      <c r="AQ375" s="16" t="n">
        <f aca="false">IFERROR(IF(AND(INDEX(Mob_Demob!$D$6:$D$14,MATCH(AM375,Mob_Demob!$A$6:$A$14,0))="",INDEX(Mob_Demob!$G$6:$G$14,MATCH(AM375,Mob_Demob!$A$6:$A$14,0))=""),"",ROUND(MAX(N(INDEX(Mob_Demob!$G$6:$G$14,MATCH(AM375,Mob_Demob!$A$6:$A$14,0))),N(INDEX(Mob_Demob!$D$6:$D$14,MATCH(AM375,Mob_Demob!$A$6:$A$14,0)))*Settings!$B$6)+IF(AP375="Y",N(INDEX(Mob_Demob!$I$6:$I$14,MATCH(AM375,Mob_Demob!$A$6:$A$14,0)))*Settings!$B$19,0)+N(INDEX(Mob_Demob!$L$6:$L$14,MATCH(AM375,Mob_Demob!$A$6:$A$14,0)))*N(INDEX(Mob_Demob!$K$6:$K$14,MATCH(AM375,Mob_Demob!$A$6:$A$14,0)))*Settings!$B$6+N(INDEX(Mob_Demob!$M$6:$M$14,MATCH(AM375,Mob_Demob!$A$6:$A$14,0)))*N(INDEX(Mob_Demob!$N$6:$N$14,MATCH(AM375,Mob_Demob!$A$6:$A$14,0))),0)),"")</f>
        <v>500</v>
      </c>
      <c r="AR375" s="16" t="n">
        <f aca="false">IF(AQ375="","",ROUND(AQ375*Settings!$B$18,0))</f>
        <v>500</v>
      </c>
      <c r="AS375" s="13" t="s">
        <v>2484</v>
      </c>
      <c r="AT375" s="14" t="s">
        <v>2485</v>
      </c>
      <c r="AU375" s="14" t="s">
        <v>262</v>
      </c>
    </row>
    <row r="376" customFormat="false" ht="64.15" hidden="false" customHeight="false" outlineLevel="0" collapsed="false">
      <c r="A376" s="21" t="s">
        <v>2486</v>
      </c>
      <c r="B376" s="21" t="s">
        <v>2477</v>
      </c>
      <c r="C376" s="21" t="s">
        <v>2478</v>
      </c>
      <c r="D376" s="21" t="s">
        <v>1203</v>
      </c>
      <c r="E376" s="22" t="s">
        <v>2487</v>
      </c>
      <c r="F376" s="13" t="s">
        <v>2481</v>
      </c>
      <c r="G376" s="13" t="n">
        <v>48</v>
      </c>
      <c r="H376" s="13" t="s">
        <v>1196</v>
      </c>
      <c r="I376" s="14" t="s">
        <v>2488</v>
      </c>
      <c r="J376" s="15"/>
      <c r="K376" s="13"/>
      <c r="L376" s="13"/>
      <c r="M376" s="13"/>
      <c r="N376" s="13" t="s">
        <v>503</v>
      </c>
      <c r="O376" s="13" t="s">
        <v>504</v>
      </c>
      <c r="P376" s="13" t="s">
        <v>186</v>
      </c>
      <c r="Q376" s="20" t="n">
        <v>200</v>
      </c>
      <c r="R376" s="20" t="n">
        <v>795</v>
      </c>
      <c r="S376" s="20" t="n">
        <v>2395</v>
      </c>
      <c r="T376" s="16"/>
      <c r="U376" s="16"/>
      <c r="V376" s="13" t="s">
        <v>187</v>
      </c>
      <c r="W376" s="17"/>
      <c r="X376" s="13"/>
      <c r="Y376" s="13" t="s">
        <v>764</v>
      </c>
      <c r="Z376" s="13" t="s">
        <v>765</v>
      </c>
      <c r="AA376" s="13" t="s">
        <v>192</v>
      </c>
      <c r="AB376" s="13"/>
      <c r="AC376" s="17"/>
      <c r="AD376" s="13"/>
      <c r="AE376" s="19" t="n">
        <v>0</v>
      </c>
      <c r="AF376" s="19" t="n">
        <v>0</v>
      </c>
      <c r="AG376" s="19" t="n">
        <v>0</v>
      </c>
      <c r="AH376" s="13" t="s">
        <v>506</v>
      </c>
      <c r="AI376" s="17"/>
      <c r="AJ376" s="13" t="s">
        <v>188</v>
      </c>
      <c r="AK376" s="13" t="s">
        <v>188</v>
      </c>
      <c r="AL376" s="14" t="s">
        <v>194</v>
      </c>
      <c r="AM376" s="13" t="s">
        <v>195</v>
      </c>
      <c r="AN376" s="15"/>
      <c r="AO376" s="13"/>
      <c r="AP376" s="13" t="s">
        <v>196</v>
      </c>
      <c r="AQ376" s="16" t="n">
        <f aca="false">IFERROR(IF(AND(INDEX(Mob_Demob!$D$6:$D$14,MATCH(AM376,Mob_Demob!$A$6:$A$14,0))="",INDEX(Mob_Demob!$G$6:$G$14,MATCH(AM376,Mob_Demob!$A$6:$A$14,0))=""),"",ROUND(MAX(N(INDEX(Mob_Demob!$G$6:$G$14,MATCH(AM376,Mob_Demob!$A$6:$A$14,0))),N(INDEX(Mob_Demob!$D$6:$D$14,MATCH(AM376,Mob_Demob!$A$6:$A$14,0)))*Settings!$B$6)+IF(AP376="Y",N(INDEX(Mob_Demob!$I$6:$I$14,MATCH(AM376,Mob_Demob!$A$6:$A$14,0)))*Settings!$B$19,0)+N(INDEX(Mob_Demob!$L$6:$L$14,MATCH(AM376,Mob_Demob!$A$6:$A$14,0)))*N(INDEX(Mob_Demob!$K$6:$K$14,MATCH(AM376,Mob_Demob!$A$6:$A$14,0)))*Settings!$B$6+N(INDEX(Mob_Demob!$M$6:$M$14,MATCH(AM376,Mob_Demob!$A$6:$A$14,0)))*N(INDEX(Mob_Demob!$N$6:$N$14,MATCH(AM376,Mob_Demob!$A$6:$A$14,0))),0)),"")</f>
        <v>500</v>
      </c>
      <c r="AR376" s="16" t="n">
        <f aca="false">IF(AQ376="","",ROUND(AQ376*Settings!$B$18,0))</f>
        <v>500</v>
      </c>
      <c r="AS376" s="13" t="s">
        <v>2484</v>
      </c>
      <c r="AT376" s="14" t="s">
        <v>1825</v>
      </c>
      <c r="AU376" s="14" t="s">
        <v>341</v>
      </c>
    </row>
    <row r="377" customFormat="false" ht="64.15" hidden="false" customHeight="false" outlineLevel="0" collapsed="false">
      <c r="A377" s="21" t="s">
        <v>2489</v>
      </c>
      <c r="B377" s="21" t="s">
        <v>2477</v>
      </c>
      <c r="C377" s="21" t="s">
        <v>2478</v>
      </c>
      <c r="D377" s="21" t="s">
        <v>2490</v>
      </c>
      <c r="E377" s="22" t="s">
        <v>2491</v>
      </c>
      <c r="F377" s="13" t="s">
        <v>2481</v>
      </c>
      <c r="G377" s="13" t="n">
        <v>60</v>
      </c>
      <c r="H377" s="13" t="s">
        <v>1196</v>
      </c>
      <c r="I377" s="14" t="s">
        <v>2492</v>
      </c>
      <c r="J377" s="15"/>
      <c r="K377" s="13" t="n">
        <v>116</v>
      </c>
      <c r="L377" s="13"/>
      <c r="M377" s="13"/>
      <c r="N377" s="13" t="s">
        <v>184</v>
      </c>
      <c r="O377" s="13" t="s">
        <v>336</v>
      </c>
      <c r="P377" s="13" t="s">
        <v>186</v>
      </c>
      <c r="Q377" s="16"/>
      <c r="R377" s="16"/>
      <c r="S377" s="16"/>
      <c r="T377" s="16"/>
      <c r="U377" s="16"/>
      <c r="V377" s="13" t="s">
        <v>187</v>
      </c>
      <c r="W377" s="17"/>
      <c r="X377" s="13"/>
      <c r="Y377" s="13"/>
      <c r="Z377" s="13"/>
      <c r="AA377" s="13" t="s">
        <v>188</v>
      </c>
      <c r="AB377" s="13" t="s">
        <v>2493</v>
      </c>
      <c r="AC377" s="18" t="n">
        <v>286.18</v>
      </c>
      <c r="AD377" s="13" t="s">
        <v>190</v>
      </c>
      <c r="AE377" s="19" t="n">
        <f aca="false">ROUND(K377*Settings!$B$11*Settings!$B$13,2)</f>
        <v>1.97</v>
      </c>
      <c r="AF377" s="19" t="n">
        <f aca="false">ROUND(K377*Settings!$B$11*Settings!$B$14,2)</f>
        <v>2.59</v>
      </c>
      <c r="AG377" s="19" t="n">
        <f aca="false">ROUND(K377*Settings!$B$11*Settings!$B$15,2)</f>
        <v>3.38</v>
      </c>
      <c r="AH377" s="13" t="s">
        <v>191</v>
      </c>
      <c r="AI377" s="17" t="n">
        <f aca="false">IF(OR(AC377="",AF377="",Settings!$B$5=""),"",ROUND(AC377-AF377*Settings!$B$5,2))</f>
        <v>276.7</v>
      </c>
      <c r="AJ377" s="13" t="s">
        <v>192</v>
      </c>
      <c r="AK377" s="13" t="s">
        <v>193</v>
      </c>
      <c r="AL377" s="14" t="s">
        <v>194</v>
      </c>
      <c r="AM377" s="13" t="s">
        <v>216</v>
      </c>
      <c r="AN377" s="15"/>
      <c r="AO377" s="13"/>
      <c r="AP377" s="13" t="s">
        <v>241</v>
      </c>
      <c r="AQ377" s="16" t="n">
        <f aca="false">IFERROR(IF(AND(INDEX(Mob_Demob!$D$6:$D$14,MATCH(AM377,Mob_Demob!$A$6:$A$14,0))="",INDEX(Mob_Demob!$G$6:$G$14,MATCH(AM377,Mob_Demob!$A$6:$A$14,0))=""),"",ROUND(MAX(N(INDEX(Mob_Demob!$G$6:$G$14,MATCH(AM377,Mob_Demob!$A$6:$A$14,0))),N(INDEX(Mob_Demob!$D$6:$D$14,MATCH(AM377,Mob_Demob!$A$6:$A$14,0)))*Settings!$B$6)+IF(AP377="Y",N(INDEX(Mob_Demob!$I$6:$I$14,MATCH(AM377,Mob_Demob!$A$6:$A$14,0)))*Settings!$B$19,0)+N(INDEX(Mob_Demob!$L$6:$L$14,MATCH(AM377,Mob_Demob!$A$6:$A$14,0)))*N(INDEX(Mob_Demob!$K$6:$K$14,MATCH(AM377,Mob_Demob!$A$6:$A$14,0)))*Settings!$B$6+N(INDEX(Mob_Demob!$M$6:$M$14,MATCH(AM377,Mob_Demob!$A$6:$A$14,0)))*N(INDEX(Mob_Demob!$N$6:$N$14,MATCH(AM377,Mob_Demob!$A$6:$A$14,0))),0)),"")</f>
        <v>550</v>
      </c>
      <c r="AR377" s="16" t="n">
        <f aca="false">IF(AQ377="","",ROUND(AQ377*Settings!$B$18,0))</f>
        <v>550</v>
      </c>
      <c r="AS377" s="13" t="s">
        <v>2494</v>
      </c>
      <c r="AT377" s="14" t="s">
        <v>2495</v>
      </c>
      <c r="AU377" s="14" t="s">
        <v>2496</v>
      </c>
    </row>
    <row r="378" customFormat="false" ht="64.15" hidden="false" customHeight="false" outlineLevel="0" collapsed="false">
      <c r="A378" s="21" t="s">
        <v>2497</v>
      </c>
      <c r="B378" s="21" t="s">
        <v>2477</v>
      </c>
      <c r="C378" s="21" t="s">
        <v>2478</v>
      </c>
      <c r="D378" s="21" t="s">
        <v>2498</v>
      </c>
      <c r="E378" s="22" t="s">
        <v>2499</v>
      </c>
      <c r="F378" s="13" t="s">
        <v>1461</v>
      </c>
      <c r="G378" s="13" t="s">
        <v>2500</v>
      </c>
      <c r="H378" s="13"/>
      <c r="I378" s="14" t="s">
        <v>2501</v>
      </c>
      <c r="J378" s="15"/>
      <c r="K378" s="13"/>
      <c r="L378" s="13"/>
      <c r="M378" s="13"/>
      <c r="N378" s="13" t="s">
        <v>184</v>
      </c>
      <c r="O378" s="13" t="s">
        <v>336</v>
      </c>
      <c r="P378" s="13" t="s">
        <v>186</v>
      </c>
      <c r="Q378" s="16"/>
      <c r="R378" s="16"/>
      <c r="S378" s="16"/>
      <c r="T378" s="16"/>
      <c r="U378" s="16"/>
      <c r="V378" s="13" t="s">
        <v>187</v>
      </c>
      <c r="W378" s="17"/>
      <c r="X378" s="13"/>
      <c r="Y378" s="13"/>
      <c r="Z378" s="13"/>
      <c r="AA378" s="13" t="s">
        <v>188</v>
      </c>
      <c r="AB378" s="13" t="s">
        <v>2500</v>
      </c>
      <c r="AC378" s="17"/>
      <c r="AD378" s="13"/>
      <c r="AE378" s="19"/>
      <c r="AF378" s="19"/>
      <c r="AG378" s="19"/>
      <c r="AH378" s="13"/>
      <c r="AI378" s="17"/>
      <c r="AJ378" s="13" t="s">
        <v>188</v>
      </c>
      <c r="AK378" s="13" t="s">
        <v>188</v>
      </c>
      <c r="AL378" s="14" t="s">
        <v>194</v>
      </c>
      <c r="AM378" s="13" t="s">
        <v>216</v>
      </c>
      <c r="AN378" s="15"/>
      <c r="AO378" s="13"/>
      <c r="AP378" s="13" t="s">
        <v>241</v>
      </c>
      <c r="AQ378" s="16" t="n">
        <f aca="false">IFERROR(IF(AND(INDEX(Mob_Demob!$D$6:$D$14,MATCH(AM378,Mob_Demob!$A$6:$A$14,0))="",INDEX(Mob_Demob!$G$6:$G$14,MATCH(AM378,Mob_Demob!$A$6:$A$14,0))=""),"",ROUND(MAX(N(INDEX(Mob_Demob!$G$6:$G$14,MATCH(AM378,Mob_Demob!$A$6:$A$14,0))),N(INDEX(Mob_Demob!$D$6:$D$14,MATCH(AM378,Mob_Demob!$A$6:$A$14,0)))*Settings!$B$6)+IF(AP378="Y",N(INDEX(Mob_Demob!$I$6:$I$14,MATCH(AM378,Mob_Demob!$A$6:$A$14,0)))*Settings!$B$19,0)+N(INDEX(Mob_Demob!$L$6:$L$14,MATCH(AM378,Mob_Demob!$A$6:$A$14,0)))*N(INDEX(Mob_Demob!$K$6:$K$14,MATCH(AM378,Mob_Demob!$A$6:$A$14,0)))*Settings!$B$6+N(INDEX(Mob_Demob!$M$6:$M$14,MATCH(AM378,Mob_Demob!$A$6:$A$14,0)))*N(INDEX(Mob_Demob!$N$6:$N$14,MATCH(AM378,Mob_Demob!$A$6:$A$14,0))),0)),"")</f>
        <v>550</v>
      </c>
      <c r="AR378" s="16" t="n">
        <f aca="false">IF(AQ378="","",ROUND(AQ378*Settings!$B$18,0))</f>
        <v>550</v>
      </c>
      <c r="AS378" s="13" t="s">
        <v>2494</v>
      </c>
      <c r="AT378" s="14" t="s">
        <v>2502</v>
      </c>
      <c r="AU378" s="14" t="s">
        <v>1381</v>
      </c>
    </row>
    <row r="379" customFormat="false" ht="64.15" hidden="false" customHeight="false" outlineLevel="0" collapsed="false">
      <c r="A379" s="21" t="s">
        <v>2503</v>
      </c>
      <c r="B379" s="21" t="s">
        <v>2477</v>
      </c>
      <c r="C379" s="21" t="s">
        <v>2478</v>
      </c>
      <c r="D379" s="21" t="s">
        <v>2498</v>
      </c>
      <c r="E379" s="22" t="s">
        <v>2504</v>
      </c>
      <c r="F379" s="13" t="s">
        <v>1461</v>
      </c>
      <c r="G379" s="13" t="s">
        <v>2505</v>
      </c>
      <c r="H379" s="13"/>
      <c r="I379" s="14" t="s">
        <v>2501</v>
      </c>
      <c r="J379" s="15"/>
      <c r="K379" s="13"/>
      <c r="L379" s="13"/>
      <c r="M379" s="13"/>
      <c r="N379" s="13" t="s">
        <v>184</v>
      </c>
      <c r="O379" s="13" t="s">
        <v>336</v>
      </c>
      <c r="P379" s="13" t="s">
        <v>186</v>
      </c>
      <c r="Q379" s="16"/>
      <c r="R379" s="16"/>
      <c r="S379" s="16"/>
      <c r="T379" s="16"/>
      <c r="U379" s="16"/>
      <c r="V379" s="13" t="s">
        <v>187</v>
      </c>
      <c r="W379" s="17"/>
      <c r="X379" s="13"/>
      <c r="Y379" s="13"/>
      <c r="Z379" s="13"/>
      <c r="AA379" s="13" t="s">
        <v>188</v>
      </c>
      <c r="AB379" s="13" t="s">
        <v>2505</v>
      </c>
      <c r="AC379" s="17"/>
      <c r="AD379" s="13"/>
      <c r="AE379" s="19"/>
      <c r="AF379" s="19"/>
      <c r="AG379" s="19"/>
      <c r="AH379" s="13"/>
      <c r="AI379" s="17"/>
      <c r="AJ379" s="13" t="s">
        <v>188</v>
      </c>
      <c r="AK379" s="13" t="s">
        <v>188</v>
      </c>
      <c r="AL379" s="14" t="s">
        <v>194</v>
      </c>
      <c r="AM379" s="13" t="s">
        <v>216</v>
      </c>
      <c r="AN379" s="15"/>
      <c r="AO379" s="13"/>
      <c r="AP379" s="13" t="s">
        <v>241</v>
      </c>
      <c r="AQ379" s="16" t="n">
        <f aca="false">IFERROR(IF(AND(INDEX(Mob_Demob!$D$6:$D$14,MATCH(AM379,Mob_Demob!$A$6:$A$14,0))="",INDEX(Mob_Demob!$G$6:$G$14,MATCH(AM379,Mob_Demob!$A$6:$A$14,0))=""),"",ROUND(MAX(N(INDEX(Mob_Demob!$G$6:$G$14,MATCH(AM379,Mob_Demob!$A$6:$A$14,0))),N(INDEX(Mob_Demob!$D$6:$D$14,MATCH(AM379,Mob_Demob!$A$6:$A$14,0)))*Settings!$B$6)+IF(AP379="Y",N(INDEX(Mob_Demob!$I$6:$I$14,MATCH(AM379,Mob_Demob!$A$6:$A$14,0)))*Settings!$B$19,0)+N(INDEX(Mob_Demob!$L$6:$L$14,MATCH(AM379,Mob_Demob!$A$6:$A$14,0)))*N(INDEX(Mob_Demob!$K$6:$K$14,MATCH(AM379,Mob_Demob!$A$6:$A$14,0)))*Settings!$B$6+N(INDEX(Mob_Demob!$M$6:$M$14,MATCH(AM379,Mob_Demob!$A$6:$A$14,0)))*N(INDEX(Mob_Demob!$N$6:$N$14,MATCH(AM379,Mob_Demob!$A$6:$A$14,0))),0)),"")</f>
        <v>550</v>
      </c>
      <c r="AR379" s="16" t="n">
        <f aca="false">IF(AQ379="","",ROUND(AQ379*Settings!$B$18,0))</f>
        <v>550</v>
      </c>
      <c r="AS379" s="13" t="s">
        <v>2494</v>
      </c>
      <c r="AT379" s="14" t="s">
        <v>2506</v>
      </c>
      <c r="AU379" s="14" t="s">
        <v>1381</v>
      </c>
    </row>
    <row r="380" customFormat="false" ht="64.15" hidden="false" customHeight="false" outlineLevel="0" collapsed="false">
      <c r="A380" s="21" t="s">
        <v>2507</v>
      </c>
      <c r="B380" s="21" t="s">
        <v>2477</v>
      </c>
      <c r="C380" s="21" t="s">
        <v>2478</v>
      </c>
      <c r="D380" s="21" t="s">
        <v>2498</v>
      </c>
      <c r="E380" s="22" t="s">
        <v>2508</v>
      </c>
      <c r="F380" s="13" t="s">
        <v>1461</v>
      </c>
      <c r="G380" s="13" t="s">
        <v>2509</v>
      </c>
      <c r="H380" s="13"/>
      <c r="I380" s="14" t="s">
        <v>2510</v>
      </c>
      <c r="J380" s="15"/>
      <c r="K380" s="13"/>
      <c r="L380" s="13"/>
      <c r="M380" s="13"/>
      <c r="N380" s="13" t="s">
        <v>184</v>
      </c>
      <c r="O380" s="13" t="s">
        <v>336</v>
      </c>
      <c r="P380" s="13" t="s">
        <v>186</v>
      </c>
      <c r="Q380" s="16"/>
      <c r="R380" s="16"/>
      <c r="S380" s="16"/>
      <c r="T380" s="16"/>
      <c r="U380" s="16"/>
      <c r="V380" s="13" t="s">
        <v>187</v>
      </c>
      <c r="W380" s="17"/>
      <c r="X380" s="13"/>
      <c r="Y380" s="13"/>
      <c r="Z380" s="13"/>
      <c r="AA380" s="13" t="s">
        <v>188</v>
      </c>
      <c r="AB380" s="13" t="s">
        <v>2509</v>
      </c>
      <c r="AC380" s="17"/>
      <c r="AD380" s="13"/>
      <c r="AE380" s="19"/>
      <c r="AF380" s="19"/>
      <c r="AG380" s="19"/>
      <c r="AH380" s="13"/>
      <c r="AI380" s="17"/>
      <c r="AJ380" s="13" t="s">
        <v>188</v>
      </c>
      <c r="AK380" s="13" t="s">
        <v>188</v>
      </c>
      <c r="AL380" s="14" t="s">
        <v>194</v>
      </c>
      <c r="AM380" s="13" t="s">
        <v>216</v>
      </c>
      <c r="AN380" s="15"/>
      <c r="AO380" s="13"/>
      <c r="AP380" s="13" t="s">
        <v>241</v>
      </c>
      <c r="AQ380" s="16" t="n">
        <f aca="false">IFERROR(IF(AND(INDEX(Mob_Demob!$D$6:$D$14,MATCH(AM380,Mob_Demob!$A$6:$A$14,0))="",INDEX(Mob_Demob!$G$6:$G$14,MATCH(AM380,Mob_Demob!$A$6:$A$14,0))=""),"",ROUND(MAX(N(INDEX(Mob_Demob!$G$6:$G$14,MATCH(AM380,Mob_Demob!$A$6:$A$14,0))),N(INDEX(Mob_Demob!$D$6:$D$14,MATCH(AM380,Mob_Demob!$A$6:$A$14,0)))*Settings!$B$6)+IF(AP380="Y",N(INDEX(Mob_Demob!$I$6:$I$14,MATCH(AM380,Mob_Demob!$A$6:$A$14,0)))*Settings!$B$19,0)+N(INDEX(Mob_Demob!$L$6:$L$14,MATCH(AM380,Mob_Demob!$A$6:$A$14,0)))*N(INDEX(Mob_Demob!$K$6:$K$14,MATCH(AM380,Mob_Demob!$A$6:$A$14,0)))*Settings!$B$6+N(INDEX(Mob_Demob!$M$6:$M$14,MATCH(AM380,Mob_Demob!$A$6:$A$14,0)))*N(INDEX(Mob_Demob!$N$6:$N$14,MATCH(AM380,Mob_Demob!$A$6:$A$14,0))),0)),"")</f>
        <v>550</v>
      </c>
      <c r="AR380" s="16" t="n">
        <f aca="false">IF(AQ380="","",ROUND(AQ380*Settings!$B$18,0))</f>
        <v>550</v>
      </c>
      <c r="AS380" s="13" t="s">
        <v>2494</v>
      </c>
      <c r="AT380" s="14" t="s">
        <v>2511</v>
      </c>
      <c r="AU380" s="14" t="s">
        <v>1381</v>
      </c>
    </row>
    <row r="381" customFormat="false" ht="64.15" hidden="false" customHeight="false" outlineLevel="0" collapsed="false">
      <c r="A381" s="21" t="s">
        <v>2512</v>
      </c>
      <c r="B381" s="21" t="s">
        <v>2477</v>
      </c>
      <c r="C381" s="21" t="s">
        <v>2478</v>
      </c>
      <c r="D381" s="21" t="s">
        <v>2498</v>
      </c>
      <c r="E381" s="22" t="s">
        <v>2513</v>
      </c>
      <c r="F381" s="13" t="s">
        <v>1461</v>
      </c>
      <c r="G381" s="13" t="s">
        <v>2514</v>
      </c>
      <c r="H381" s="13"/>
      <c r="I381" s="14" t="s">
        <v>2510</v>
      </c>
      <c r="J381" s="15"/>
      <c r="K381" s="13"/>
      <c r="L381" s="13"/>
      <c r="M381" s="13"/>
      <c r="N381" s="13" t="s">
        <v>184</v>
      </c>
      <c r="O381" s="13" t="s">
        <v>336</v>
      </c>
      <c r="P381" s="13" t="s">
        <v>186</v>
      </c>
      <c r="Q381" s="16"/>
      <c r="R381" s="16"/>
      <c r="S381" s="16"/>
      <c r="T381" s="16"/>
      <c r="U381" s="16"/>
      <c r="V381" s="13" t="s">
        <v>187</v>
      </c>
      <c r="W381" s="17"/>
      <c r="X381" s="13"/>
      <c r="Y381" s="13"/>
      <c r="Z381" s="13"/>
      <c r="AA381" s="13" t="s">
        <v>188</v>
      </c>
      <c r="AB381" s="13" t="s">
        <v>2514</v>
      </c>
      <c r="AC381" s="17"/>
      <c r="AD381" s="13"/>
      <c r="AE381" s="19"/>
      <c r="AF381" s="19"/>
      <c r="AG381" s="19"/>
      <c r="AH381" s="13"/>
      <c r="AI381" s="17"/>
      <c r="AJ381" s="13" t="s">
        <v>188</v>
      </c>
      <c r="AK381" s="13" t="s">
        <v>188</v>
      </c>
      <c r="AL381" s="14" t="s">
        <v>194</v>
      </c>
      <c r="AM381" s="13" t="s">
        <v>216</v>
      </c>
      <c r="AN381" s="15"/>
      <c r="AO381" s="13"/>
      <c r="AP381" s="13" t="s">
        <v>241</v>
      </c>
      <c r="AQ381" s="16" t="n">
        <f aca="false">IFERROR(IF(AND(INDEX(Mob_Demob!$D$6:$D$14,MATCH(AM381,Mob_Demob!$A$6:$A$14,0))="",INDEX(Mob_Demob!$G$6:$G$14,MATCH(AM381,Mob_Demob!$A$6:$A$14,0))=""),"",ROUND(MAX(N(INDEX(Mob_Demob!$G$6:$G$14,MATCH(AM381,Mob_Demob!$A$6:$A$14,0))),N(INDEX(Mob_Demob!$D$6:$D$14,MATCH(AM381,Mob_Demob!$A$6:$A$14,0)))*Settings!$B$6)+IF(AP381="Y",N(INDEX(Mob_Demob!$I$6:$I$14,MATCH(AM381,Mob_Demob!$A$6:$A$14,0)))*Settings!$B$19,0)+N(INDEX(Mob_Demob!$L$6:$L$14,MATCH(AM381,Mob_Demob!$A$6:$A$14,0)))*N(INDEX(Mob_Demob!$K$6:$K$14,MATCH(AM381,Mob_Demob!$A$6:$A$14,0)))*Settings!$B$6+N(INDEX(Mob_Demob!$M$6:$M$14,MATCH(AM381,Mob_Demob!$A$6:$A$14,0)))*N(INDEX(Mob_Demob!$N$6:$N$14,MATCH(AM381,Mob_Demob!$A$6:$A$14,0))),0)),"")</f>
        <v>550</v>
      </c>
      <c r="AR381" s="16" t="n">
        <f aca="false">IF(AQ381="","",ROUND(AQ381*Settings!$B$18,0))</f>
        <v>550</v>
      </c>
      <c r="AS381" s="13" t="s">
        <v>2494</v>
      </c>
      <c r="AT381" s="14" t="s">
        <v>2515</v>
      </c>
      <c r="AU381" s="14" t="s">
        <v>1381</v>
      </c>
    </row>
    <row r="382" customFormat="false" ht="64.15" hidden="false" customHeight="false" outlineLevel="0" collapsed="false">
      <c r="A382" s="21" t="s">
        <v>2516</v>
      </c>
      <c r="B382" s="21" t="s">
        <v>2477</v>
      </c>
      <c r="C382" s="21" t="s">
        <v>2517</v>
      </c>
      <c r="D382" s="21" t="s">
        <v>2518</v>
      </c>
      <c r="E382" s="22" t="s">
        <v>2519</v>
      </c>
      <c r="F382" s="13" t="s">
        <v>2520</v>
      </c>
      <c r="G382" s="13" t="n">
        <v>18</v>
      </c>
      <c r="H382" s="13" t="s">
        <v>1196</v>
      </c>
      <c r="I382" s="14" t="s">
        <v>2521</v>
      </c>
      <c r="J382" s="15"/>
      <c r="K382" s="13" t="n">
        <v>82</v>
      </c>
      <c r="L382" s="13"/>
      <c r="M382" s="13"/>
      <c r="N382" s="13" t="s">
        <v>184</v>
      </c>
      <c r="O382" s="13" t="s">
        <v>336</v>
      </c>
      <c r="P382" s="13" t="s">
        <v>186</v>
      </c>
      <c r="Q382" s="16"/>
      <c r="R382" s="16"/>
      <c r="S382" s="16"/>
      <c r="T382" s="16"/>
      <c r="U382" s="16"/>
      <c r="V382" s="13" t="s">
        <v>187</v>
      </c>
      <c r="W382" s="17"/>
      <c r="X382" s="13"/>
      <c r="Y382" s="13"/>
      <c r="Z382" s="13"/>
      <c r="AA382" s="13" t="s">
        <v>188</v>
      </c>
      <c r="AB382" s="13" t="s">
        <v>2522</v>
      </c>
      <c r="AC382" s="17"/>
      <c r="AD382" s="13"/>
      <c r="AE382" s="19" t="n">
        <f aca="false">ROUND(K382*Settings!$B$11*Settings!$B$13,2)</f>
        <v>1.39</v>
      </c>
      <c r="AF382" s="19" t="n">
        <f aca="false">ROUND(K382*Settings!$B$11*Settings!$B$14,2)</f>
        <v>1.83</v>
      </c>
      <c r="AG382" s="19" t="n">
        <f aca="false">ROUND(K382*Settings!$B$11*Settings!$B$15,2)</f>
        <v>2.39</v>
      </c>
      <c r="AH382" s="13" t="s">
        <v>191</v>
      </c>
      <c r="AI382" s="17"/>
      <c r="AJ382" s="13" t="s">
        <v>188</v>
      </c>
      <c r="AK382" s="13" t="s">
        <v>188</v>
      </c>
      <c r="AL382" s="14" t="s">
        <v>194</v>
      </c>
      <c r="AM382" s="13" t="s">
        <v>216</v>
      </c>
      <c r="AN382" s="15"/>
      <c r="AO382" s="13"/>
      <c r="AP382" s="13" t="s">
        <v>241</v>
      </c>
      <c r="AQ382" s="16" t="n">
        <f aca="false">IFERROR(IF(AND(INDEX(Mob_Demob!$D$6:$D$14,MATCH(AM382,Mob_Demob!$A$6:$A$14,0))="",INDEX(Mob_Demob!$G$6:$G$14,MATCH(AM382,Mob_Demob!$A$6:$A$14,0))=""),"",ROUND(MAX(N(INDEX(Mob_Demob!$G$6:$G$14,MATCH(AM382,Mob_Demob!$A$6:$A$14,0))),N(INDEX(Mob_Demob!$D$6:$D$14,MATCH(AM382,Mob_Demob!$A$6:$A$14,0)))*Settings!$B$6)+IF(AP382="Y",N(INDEX(Mob_Demob!$I$6:$I$14,MATCH(AM382,Mob_Demob!$A$6:$A$14,0)))*Settings!$B$19,0)+N(INDEX(Mob_Demob!$L$6:$L$14,MATCH(AM382,Mob_Demob!$A$6:$A$14,0)))*N(INDEX(Mob_Demob!$K$6:$K$14,MATCH(AM382,Mob_Demob!$A$6:$A$14,0)))*Settings!$B$6+N(INDEX(Mob_Demob!$M$6:$M$14,MATCH(AM382,Mob_Demob!$A$6:$A$14,0)))*N(INDEX(Mob_Demob!$N$6:$N$14,MATCH(AM382,Mob_Demob!$A$6:$A$14,0))),0)),"")</f>
        <v>550</v>
      </c>
      <c r="AR382" s="16" t="n">
        <f aca="false">IF(AQ382="","",ROUND(AQ382*Settings!$B$18,0))</f>
        <v>550</v>
      </c>
      <c r="AS382" s="13" t="s">
        <v>2523</v>
      </c>
      <c r="AT382" s="14" t="s">
        <v>2524</v>
      </c>
      <c r="AU382" s="14" t="s">
        <v>509</v>
      </c>
    </row>
    <row r="383" customFormat="false" ht="64.15" hidden="false" customHeight="false" outlineLevel="0" collapsed="false">
      <c r="A383" s="21" t="s">
        <v>2525</v>
      </c>
      <c r="B383" s="21" t="s">
        <v>2477</v>
      </c>
      <c r="C383" s="21" t="s">
        <v>2517</v>
      </c>
      <c r="D383" s="21" t="s">
        <v>2518</v>
      </c>
      <c r="E383" s="22" t="s">
        <v>2526</v>
      </c>
      <c r="F383" s="13" t="s">
        <v>2520</v>
      </c>
      <c r="G383" s="13" t="n">
        <v>42</v>
      </c>
      <c r="H383" s="13" t="s">
        <v>1196</v>
      </c>
      <c r="I383" s="14" t="s">
        <v>2527</v>
      </c>
      <c r="J383" s="15"/>
      <c r="K383" s="13" t="n">
        <v>110</v>
      </c>
      <c r="L383" s="13"/>
      <c r="M383" s="13"/>
      <c r="N383" s="13" t="s">
        <v>184</v>
      </c>
      <c r="O383" s="13" t="s">
        <v>336</v>
      </c>
      <c r="P383" s="13" t="s">
        <v>186</v>
      </c>
      <c r="Q383" s="16"/>
      <c r="R383" s="16"/>
      <c r="S383" s="16"/>
      <c r="T383" s="16"/>
      <c r="U383" s="16"/>
      <c r="V383" s="13" t="s">
        <v>187</v>
      </c>
      <c r="W383" s="17"/>
      <c r="X383" s="13"/>
      <c r="Y383" s="13"/>
      <c r="Z383" s="13"/>
      <c r="AA383" s="13" t="s">
        <v>188</v>
      </c>
      <c r="AB383" s="13" t="s">
        <v>2528</v>
      </c>
      <c r="AC383" s="17"/>
      <c r="AD383" s="13"/>
      <c r="AE383" s="19" t="n">
        <f aca="false">ROUND(K383*Settings!$B$11*Settings!$B$13,2)</f>
        <v>1.87</v>
      </c>
      <c r="AF383" s="19" t="n">
        <f aca="false">ROUND(K383*Settings!$B$11*Settings!$B$14,2)</f>
        <v>2.46</v>
      </c>
      <c r="AG383" s="19" t="n">
        <f aca="false">ROUND(K383*Settings!$B$11*Settings!$B$15,2)</f>
        <v>3.21</v>
      </c>
      <c r="AH383" s="13" t="s">
        <v>191</v>
      </c>
      <c r="AI383" s="17"/>
      <c r="AJ383" s="13" t="s">
        <v>188</v>
      </c>
      <c r="AK383" s="13" t="s">
        <v>188</v>
      </c>
      <c r="AL383" s="14" t="s">
        <v>194</v>
      </c>
      <c r="AM383" s="13" t="s">
        <v>216</v>
      </c>
      <c r="AN383" s="15"/>
      <c r="AO383" s="13"/>
      <c r="AP383" s="13" t="s">
        <v>241</v>
      </c>
      <c r="AQ383" s="16" t="n">
        <f aca="false">IFERROR(IF(AND(INDEX(Mob_Demob!$D$6:$D$14,MATCH(AM383,Mob_Demob!$A$6:$A$14,0))="",INDEX(Mob_Demob!$G$6:$G$14,MATCH(AM383,Mob_Demob!$A$6:$A$14,0))=""),"",ROUND(MAX(N(INDEX(Mob_Demob!$G$6:$G$14,MATCH(AM383,Mob_Demob!$A$6:$A$14,0))),N(INDEX(Mob_Demob!$D$6:$D$14,MATCH(AM383,Mob_Demob!$A$6:$A$14,0)))*Settings!$B$6)+IF(AP383="Y",N(INDEX(Mob_Demob!$I$6:$I$14,MATCH(AM383,Mob_Demob!$A$6:$A$14,0)))*Settings!$B$19,0)+N(INDEX(Mob_Demob!$L$6:$L$14,MATCH(AM383,Mob_Demob!$A$6:$A$14,0)))*N(INDEX(Mob_Demob!$K$6:$K$14,MATCH(AM383,Mob_Demob!$A$6:$A$14,0)))*Settings!$B$6+N(INDEX(Mob_Demob!$M$6:$M$14,MATCH(AM383,Mob_Demob!$A$6:$A$14,0)))*N(INDEX(Mob_Demob!$N$6:$N$14,MATCH(AM383,Mob_Demob!$A$6:$A$14,0))),0)),"")</f>
        <v>550</v>
      </c>
      <c r="AR383" s="16" t="n">
        <f aca="false">IF(AQ383="","",ROUND(AQ383*Settings!$B$18,0))</f>
        <v>550</v>
      </c>
      <c r="AS383" s="13" t="s">
        <v>2523</v>
      </c>
      <c r="AT383" s="14" t="s">
        <v>2529</v>
      </c>
      <c r="AU383" s="14" t="s">
        <v>509</v>
      </c>
    </row>
    <row r="384" customFormat="false" ht="64.15" hidden="false" customHeight="false" outlineLevel="0" collapsed="false">
      <c r="A384" s="21" t="s">
        <v>2530</v>
      </c>
      <c r="B384" s="21" t="s">
        <v>2477</v>
      </c>
      <c r="C384" s="21" t="s">
        <v>2517</v>
      </c>
      <c r="D384" s="21" t="s">
        <v>2518</v>
      </c>
      <c r="E384" s="22" t="s">
        <v>2531</v>
      </c>
      <c r="F384" s="13" t="s">
        <v>2520</v>
      </c>
      <c r="G384" s="13" t="n">
        <v>24</v>
      </c>
      <c r="H384" s="13" t="s">
        <v>1196</v>
      </c>
      <c r="I384" s="14" t="s">
        <v>2532</v>
      </c>
      <c r="J384" s="15"/>
      <c r="K384" s="13" t="n">
        <v>210</v>
      </c>
      <c r="L384" s="13"/>
      <c r="M384" s="13"/>
      <c r="N384" s="13" t="s">
        <v>184</v>
      </c>
      <c r="O384" s="13" t="s">
        <v>336</v>
      </c>
      <c r="P384" s="13" t="s">
        <v>186</v>
      </c>
      <c r="Q384" s="16"/>
      <c r="R384" s="16"/>
      <c r="S384" s="16"/>
      <c r="T384" s="16"/>
      <c r="U384" s="16"/>
      <c r="V384" s="13" t="s">
        <v>187</v>
      </c>
      <c r="W384" s="17"/>
      <c r="X384" s="13"/>
      <c r="Y384" s="13"/>
      <c r="Z384" s="13"/>
      <c r="AA384" s="13" t="s">
        <v>188</v>
      </c>
      <c r="AB384" s="13" t="s">
        <v>2533</v>
      </c>
      <c r="AC384" s="17"/>
      <c r="AD384" s="13"/>
      <c r="AE384" s="19" t="n">
        <f aca="false">ROUND(K384*Settings!$B$11*Settings!$B$13,2)</f>
        <v>3.57</v>
      </c>
      <c r="AF384" s="19" t="n">
        <f aca="false">ROUND(K384*Settings!$B$11*Settings!$B$14,2)</f>
        <v>4.69</v>
      </c>
      <c r="AG384" s="19" t="n">
        <f aca="false">ROUND(K384*Settings!$B$11*Settings!$B$15,2)</f>
        <v>6.12</v>
      </c>
      <c r="AH384" s="13" t="s">
        <v>191</v>
      </c>
      <c r="AI384" s="17"/>
      <c r="AJ384" s="13" t="s">
        <v>188</v>
      </c>
      <c r="AK384" s="13" t="s">
        <v>188</v>
      </c>
      <c r="AL384" s="14" t="s">
        <v>194</v>
      </c>
      <c r="AM384" s="13" t="s">
        <v>216</v>
      </c>
      <c r="AN384" s="15"/>
      <c r="AO384" s="13"/>
      <c r="AP384" s="13" t="s">
        <v>241</v>
      </c>
      <c r="AQ384" s="16" t="n">
        <f aca="false">IFERROR(IF(AND(INDEX(Mob_Demob!$D$6:$D$14,MATCH(AM384,Mob_Demob!$A$6:$A$14,0))="",INDEX(Mob_Demob!$G$6:$G$14,MATCH(AM384,Mob_Demob!$A$6:$A$14,0))=""),"",ROUND(MAX(N(INDEX(Mob_Demob!$G$6:$G$14,MATCH(AM384,Mob_Demob!$A$6:$A$14,0))),N(INDEX(Mob_Demob!$D$6:$D$14,MATCH(AM384,Mob_Demob!$A$6:$A$14,0)))*Settings!$B$6)+IF(AP384="Y",N(INDEX(Mob_Demob!$I$6:$I$14,MATCH(AM384,Mob_Demob!$A$6:$A$14,0)))*Settings!$B$19,0)+N(INDEX(Mob_Demob!$L$6:$L$14,MATCH(AM384,Mob_Demob!$A$6:$A$14,0)))*N(INDEX(Mob_Demob!$K$6:$K$14,MATCH(AM384,Mob_Demob!$A$6:$A$14,0)))*Settings!$B$6+N(INDEX(Mob_Demob!$M$6:$M$14,MATCH(AM384,Mob_Demob!$A$6:$A$14,0)))*N(INDEX(Mob_Demob!$N$6:$N$14,MATCH(AM384,Mob_Demob!$A$6:$A$14,0))),0)),"")</f>
        <v>550</v>
      </c>
      <c r="AR384" s="16" t="n">
        <f aca="false">IF(AQ384="","",ROUND(AQ384*Settings!$B$18,0))</f>
        <v>550</v>
      </c>
      <c r="AS384" s="13" t="s">
        <v>2523</v>
      </c>
      <c r="AT384" s="14" t="s">
        <v>2534</v>
      </c>
      <c r="AU384" s="14" t="s">
        <v>509</v>
      </c>
    </row>
    <row r="385" customFormat="false" ht="64.15" hidden="false" customHeight="false" outlineLevel="0" collapsed="false">
      <c r="A385" s="21" t="s">
        <v>2535</v>
      </c>
      <c r="B385" s="21" t="s">
        <v>2477</v>
      </c>
      <c r="C385" s="21" t="s">
        <v>2536</v>
      </c>
      <c r="D385" s="21" t="s">
        <v>2537</v>
      </c>
      <c r="E385" s="22" t="s">
        <v>2538</v>
      </c>
      <c r="F385" s="13" t="s">
        <v>2539</v>
      </c>
      <c r="G385" s="13" t="n">
        <v>7000</v>
      </c>
      <c r="H385" s="13" t="s">
        <v>334</v>
      </c>
      <c r="I385" s="14" t="s">
        <v>2540</v>
      </c>
      <c r="J385" s="15"/>
      <c r="K385" s="13" t="n">
        <v>25</v>
      </c>
      <c r="L385" s="13"/>
      <c r="M385" s="13"/>
      <c r="N385" s="13" t="s">
        <v>184</v>
      </c>
      <c r="O385" s="13" t="s">
        <v>336</v>
      </c>
      <c r="P385" s="13" t="s">
        <v>186</v>
      </c>
      <c r="Q385" s="16"/>
      <c r="R385" s="16"/>
      <c r="S385" s="16"/>
      <c r="T385" s="16"/>
      <c r="U385" s="16"/>
      <c r="V385" s="13" t="s">
        <v>187</v>
      </c>
      <c r="W385" s="17"/>
      <c r="X385" s="13"/>
      <c r="Y385" s="13"/>
      <c r="Z385" s="13"/>
      <c r="AA385" s="13" t="s">
        <v>188</v>
      </c>
      <c r="AB385" s="13" t="s">
        <v>2541</v>
      </c>
      <c r="AC385" s="17"/>
      <c r="AD385" s="13"/>
      <c r="AE385" s="19" t="n">
        <f aca="false">ROUND(K385*Settings!$B$11*Settings!$B$13,2)</f>
        <v>0.43</v>
      </c>
      <c r="AF385" s="19" t="n">
        <f aca="false">ROUND(K385*Settings!$B$11*Settings!$B$14,2)</f>
        <v>0.56</v>
      </c>
      <c r="AG385" s="19" t="n">
        <f aca="false">ROUND(K385*Settings!$B$11*Settings!$B$15,2)</f>
        <v>0.73</v>
      </c>
      <c r="AH385" s="13" t="s">
        <v>191</v>
      </c>
      <c r="AI385" s="17"/>
      <c r="AJ385" s="13" t="s">
        <v>188</v>
      </c>
      <c r="AK385" s="13" t="s">
        <v>188</v>
      </c>
      <c r="AL385" s="14" t="s">
        <v>194</v>
      </c>
      <c r="AM385" s="13" t="s">
        <v>195</v>
      </c>
      <c r="AN385" s="15"/>
      <c r="AO385" s="13"/>
      <c r="AP385" s="13" t="s">
        <v>196</v>
      </c>
      <c r="AQ385" s="16" t="n">
        <f aca="false">IFERROR(IF(AND(INDEX(Mob_Demob!$D$6:$D$14,MATCH(AM385,Mob_Demob!$A$6:$A$14,0))="",INDEX(Mob_Demob!$G$6:$G$14,MATCH(AM385,Mob_Demob!$A$6:$A$14,0))=""),"",ROUND(MAX(N(INDEX(Mob_Demob!$G$6:$G$14,MATCH(AM385,Mob_Demob!$A$6:$A$14,0))),N(INDEX(Mob_Demob!$D$6:$D$14,MATCH(AM385,Mob_Demob!$A$6:$A$14,0)))*Settings!$B$6)+IF(AP385="Y",N(INDEX(Mob_Demob!$I$6:$I$14,MATCH(AM385,Mob_Demob!$A$6:$A$14,0)))*Settings!$B$19,0)+N(INDEX(Mob_Demob!$L$6:$L$14,MATCH(AM385,Mob_Demob!$A$6:$A$14,0)))*N(INDEX(Mob_Demob!$K$6:$K$14,MATCH(AM385,Mob_Demob!$A$6:$A$14,0)))*Settings!$B$6+N(INDEX(Mob_Demob!$M$6:$M$14,MATCH(AM385,Mob_Demob!$A$6:$A$14,0)))*N(INDEX(Mob_Demob!$N$6:$N$14,MATCH(AM385,Mob_Demob!$A$6:$A$14,0))),0)),"")</f>
        <v>500</v>
      </c>
      <c r="AR385" s="16" t="n">
        <f aca="false">IF(AQ385="","",ROUND(AQ385*Settings!$B$18,0))</f>
        <v>500</v>
      </c>
      <c r="AS385" s="13" t="s">
        <v>2542</v>
      </c>
      <c r="AT385" s="14" t="s">
        <v>2543</v>
      </c>
      <c r="AU385" s="14" t="s">
        <v>509</v>
      </c>
    </row>
    <row r="386" customFormat="false" ht="64.15" hidden="false" customHeight="false" outlineLevel="0" collapsed="false">
      <c r="A386" s="21" t="s">
        <v>2544</v>
      </c>
      <c r="B386" s="21" t="s">
        <v>2477</v>
      </c>
      <c r="C386" s="21" t="s">
        <v>2536</v>
      </c>
      <c r="D386" s="21" t="s">
        <v>2545</v>
      </c>
      <c r="E386" s="22" t="s">
        <v>2546</v>
      </c>
      <c r="F386" s="13" t="s">
        <v>2539</v>
      </c>
      <c r="G386" s="13" t="n">
        <v>24000</v>
      </c>
      <c r="H386" s="13" t="s">
        <v>334</v>
      </c>
      <c r="I386" s="14" t="s">
        <v>2547</v>
      </c>
      <c r="J386" s="15"/>
      <c r="K386" s="13" t="n">
        <v>125</v>
      </c>
      <c r="L386" s="13" t="s">
        <v>2548</v>
      </c>
      <c r="M386" s="13"/>
      <c r="N386" s="13" t="s">
        <v>184</v>
      </c>
      <c r="O386" s="13" t="s">
        <v>336</v>
      </c>
      <c r="P386" s="13" t="s">
        <v>186</v>
      </c>
      <c r="Q386" s="16"/>
      <c r="R386" s="16"/>
      <c r="S386" s="16"/>
      <c r="T386" s="16"/>
      <c r="U386" s="16"/>
      <c r="V386" s="13" t="s">
        <v>187</v>
      </c>
      <c r="W386" s="17"/>
      <c r="X386" s="13"/>
      <c r="Y386" s="13"/>
      <c r="Z386" s="13"/>
      <c r="AA386" s="13" t="s">
        <v>188</v>
      </c>
      <c r="AB386" s="13" t="s">
        <v>2549</v>
      </c>
      <c r="AC386" s="17"/>
      <c r="AD386" s="13"/>
      <c r="AE386" s="19" t="n">
        <f aca="false">ROUND(K386*Settings!$B$11*Settings!$B$13,2)</f>
        <v>2.13</v>
      </c>
      <c r="AF386" s="19" t="n">
        <f aca="false">ROUND(K386*Settings!$B$11*Settings!$B$14,2)</f>
        <v>2.79</v>
      </c>
      <c r="AG386" s="19" t="n">
        <f aca="false">ROUND(K386*Settings!$B$11*Settings!$B$15,2)</f>
        <v>3.65</v>
      </c>
      <c r="AH386" s="13" t="s">
        <v>191</v>
      </c>
      <c r="AI386" s="17"/>
      <c r="AJ386" s="13" t="s">
        <v>188</v>
      </c>
      <c r="AK386" s="13" t="s">
        <v>188</v>
      </c>
      <c r="AL386" s="14" t="s">
        <v>194</v>
      </c>
      <c r="AM386" s="13" t="s">
        <v>216</v>
      </c>
      <c r="AN386" s="15"/>
      <c r="AO386" s="13"/>
      <c r="AP386" s="13" t="s">
        <v>241</v>
      </c>
      <c r="AQ386" s="16" t="n">
        <f aca="false">IFERROR(IF(AND(INDEX(Mob_Demob!$D$6:$D$14,MATCH(AM386,Mob_Demob!$A$6:$A$14,0))="",INDEX(Mob_Demob!$G$6:$G$14,MATCH(AM386,Mob_Demob!$A$6:$A$14,0))=""),"",ROUND(MAX(N(INDEX(Mob_Demob!$G$6:$G$14,MATCH(AM386,Mob_Demob!$A$6:$A$14,0))),N(INDEX(Mob_Demob!$D$6:$D$14,MATCH(AM386,Mob_Demob!$A$6:$A$14,0)))*Settings!$B$6)+IF(AP386="Y",N(INDEX(Mob_Demob!$I$6:$I$14,MATCH(AM386,Mob_Demob!$A$6:$A$14,0)))*Settings!$B$19,0)+N(INDEX(Mob_Demob!$L$6:$L$14,MATCH(AM386,Mob_Demob!$A$6:$A$14,0)))*N(INDEX(Mob_Demob!$K$6:$K$14,MATCH(AM386,Mob_Demob!$A$6:$A$14,0)))*Settings!$B$6+N(INDEX(Mob_Demob!$M$6:$M$14,MATCH(AM386,Mob_Demob!$A$6:$A$14,0)))*N(INDEX(Mob_Demob!$N$6:$N$14,MATCH(AM386,Mob_Demob!$A$6:$A$14,0))),0)),"")</f>
        <v>550</v>
      </c>
      <c r="AR386" s="16" t="n">
        <f aca="false">IF(AQ386="","",ROUND(AQ386*Settings!$B$18,0))</f>
        <v>550</v>
      </c>
      <c r="AS386" s="13" t="s">
        <v>2542</v>
      </c>
      <c r="AT386" s="14" t="s">
        <v>2550</v>
      </c>
      <c r="AU386" s="14" t="s">
        <v>509</v>
      </c>
    </row>
    <row r="387" customFormat="false" ht="64.15" hidden="false" customHeight="false" outlineLevel="0" collapsed="false">
      <c r="A387" s="21" t="s">
        <v>2551</v>
      </c>
      <c r="B387" s="21" t="s">
        <v>2477</v>
      </c>
      <c r="C387" s="21" t="s">
        <v>2536</v>
      </c>
      <c r="D387" s="21" t="s">
        <v>2552</v>
      </c>
      <c r="E387" s="22" t="s">
        <v>2553</v>
      </c>
      <c r="F387" s="13" t="s">
        <v>2539</v>
      </c>
      <c r="G387" s="13" t="n">
        <v>70000</v>
      </c>
      <c r="H387" s="13" t="s">
        <v>334</v>
      </c>
      <c r="I387" s="14" t="s">
        <v>2554</v>
      </c>
      <c r="J387" s="15"/>
      <c r="K387" s="13"/>
      <c r="L387" s="13"/>
      <c r="M387" s="13"/>
      <c r="N387" s="13" t="s">
        <v>184</v>
      </c>
      <c r="O387" s="13" t="s">
        <v>185</v>
      </c>
      <c r="P387" s="13" t="s">
        <v>186</v>
      </c>
      <c r="Q387" s="16"/>
      <c r="R387" s="16"/>
      <c r="S387" s="16"/>
      <c r="T387" s="16"/>
      <c r="U387" s="16"/>
      <c r="V387" s="13" t="s">
        <v>187</v>
      </c>
      <c r="W387" s="17"/>
      <c r="X387" s="13"/>
      <c r="Y387" s="13"/>
      <c r="Z387" s="13"/>
      <c r="AA387" s="13" t="s">
        <v>188</v>
      </c>
      <c r="AB387" s="13"/>
      <c r="AC387" s="17"/>
      <c r="AD387" s="13"/>
      <c r="AE387" s="19"/>
      <c r="AF387" s="19"/>
      <c r="AG387" s="19"/>
      <c r="AH387" s="13"/>
      <c r="AI387" s="17"/>
      <c r="AJ387" s="13" t="s">
        <v>188</v>
      </c>
      <c r="AK387" s="13" t="s">
        <v>188</v>
      </c>
      <c r="AL387" s="14" t="s">
        <v>194</v>
      </c>
      <c r="AM387" s="13" t="s">
        <v>268</v>
      </c>
      <c r="AN387" s="15"/>
      <c r="AO387" s="13"/>
      <c r="AP387" s="13" t="s">
        <v>269</v>
      </c>
      <c r="AQ387" s="16" t="n">
        <f aca="false">IFERROR(IF(AND(INDEX(Mob_Demob!$D$6:$D$14,MATCH(AM387,Mob_Demob!$A$6:$A$14,0))="",INDEX(Mob_Demob!$G$6:$G$14,MATCH(AM387,Mob_Demob!$A$6:$A$14,0))=""),"",ROUND(MAX(N(INDEX(Mob_Demob!$G$6:$G$14,MATCH(AM387,Mob_Demob!$A$6:$A$14,0))),N(INDEX(Mob_Demob!$D$6:$D$14,MATCH(AM387,Mob_Demob!$A$6:$A$14,0)))*Settings!$B$6)+IF(AP387="Y",N(INDEX(Mob_Demob!$I$6:$I$14,MATCH(AM387,Mob_Demob!$A$6:$A$14,0)))*Settings!$B$19,0)+N(INDEX(Mob_Demob!$L$6:$L$14,MATCH(AM387,Mob_Demob!$A$6:$A$14,0)))*N(INDEX(Mob_Demob!$K$6:$K$14,MATCH(AM387,Mob_Demob!$A$6:$A$14,0)))*Settings!$B$6+N(INDEX(Mob_Demob!$M$6:$M$14,MATCH(AM387,Mob_Demob!$A$6:$A$14,0)))*N(INDEX(Mob_Demob!$N$6:$N$14,MATCH(AM387,Mob_Demob!$A$6:$A$14,0))),0)),"")</f>
        <v>1800</v>
      </c>
      <c r="AR387" s="16" t="n">
        <f aca="false">IF(AQ387="","",ROUND(AQ387*Settings!$B$18,0))</f>
        <v>1800</v>
      </c>
      <c r="AS387" s="13" t="s">
        <v>2542</v>
      </c>
      <c r="AT387" s="14" t="s">
        <v>2555</v>
      </c>
      <c r="AU387" s="14" t="s">
        <v>1712</v>
      </c>
    </row>
    <row r="388" customFormat="false" ht="64.15" hidden="false" customHeight="false" outlineLevel="0" collapsed="false">
      <c r="A388" s="21" t="s">
        <v>2556</v>
      </c>
      <c r="B388" s="21" t="s">
        <v>2477</v>
      </c>
      <c r="C388" s="21" t="s">
        <v>2536</v>
      </c>
      <c r="D388" s="21" t="s">
        <v>2557</v>
      </c>
      <c r="E388" s="22" t="s">
        <v>2558</v>
      </c>
      <c r="F388" s="13" t="s">
        <v>2539</v>
      </c>
      <c r="G388" s="13" t="n">
        <v>100000</v>
      </c>
      <c r="H388" s="13" t="s">
        <v>334</v>
      </c>
      <c r="I388" s="14" t="s">
        <v>2559</v>
      </c>
      <c r="J388" s="15"/>
      <c r="K388" s="13" t="n">
        <v>300</v>
      </c>
      <c r="L388" s="13"/>
      <c r="M388" s="13"/>
      <c r="N388" s="13" t="s">
        <v>184</v>
      </c>
      <c r="O388" s="13" t="s">
        <v>185</v>
      </c>
      <c r="P388" s="13" t="s">
        <v>186</v>
      </c>
      <c r="Q388" s="16"/>
      <c r="R388" s="16"/>
      <c r="S388" s="16"/>
      <c r="T388" s="16"/>
      <c r="U388" s="16"/>
      <c r="V388" s="13" t="s">
        <v>187</v>
      </c>
      <c r="W388" s="17"/>
      <c r="X388" s="13"/>
      <c r="Y388" s="13"/>
      <c r="Z388" s="13"/>
      <c r="AA388" s="13" t="s">
        <v>188</v>
      </c>
      <c r="AB388" s="13" t="s">
        <v>2560</v>
      </c>
      <c r="AC388" s="17"/>
      <c r="AD388" s="13"/>
      <c r="AE388" s="19" t="n">
        <f aca="false">ROUND(K388*Settings!$B$11*Settings!$B$13,2)</f>
        <v>5.1</v>
      </c>
      <c r="AF388" s="19" t="n">
        <f aca="false">ROUND(K388*Settings!$B$11*Settings!$B$14,2)</f>
        <v>6.71</v>
      </c>
      <c r="AG388" s="19" t="n">
        <f aca="false">ROUND(K388*Settings!$B$11*Settings!$B$15,2)</f>
        <v>8.75</v>
      </c>
      <c r="AH388" s="13" t="s">
        <v>191</v>
      </c>
      <c r="AI388" s="17"/>
      <c r="AJ388" s="13" t="s">
        <v>188</v>
      </c>
      <c r="AK388" s="13" t="s">
        <v>188</v>
      </c>
      <c r="AL388" s="14" t="s">
        <v>194</v>
      </c>
      <c r="AM388" s="13" t="s">
        <v>286</v>
      </c>
      <c r="AN388" s="15"/>
      <c r="AO388" s="13"/>
      <c r="AP388" s="13" t="s">
        <v>269</v>
      </c>
      <c r="AQ388" s="16" t="n">
        <f aca="false">IFERROR(IF(AND(INDEX(Mob_Demob!$D$6:$D$14,MATCH(AM388,Mob_Demob!$A$6:$A$14,0))="",INDEX(Mob_Demob!$G$6:$G$14,MATCH(AM388,Mob_Demob!$A$6:$A$14,0))=""),"",ROUND(MAX(N(INDEX(Mob_Demob!$G$6:$G$14,MATCH(AM388,Mob_Demob!$A$6:$A$14,0))),N(INDEX(Mob_Demob!$D$6:$D$14,MATCH(AM388,Mob_Demob!$A$6:$A$14,0)))*Settings!$B$6)+IF(AP388="Y",N(INDEX(Mob_Demob!$I$6:$I$14,MATCH(AM388,Mob_Demob!$A$6:$A$14,0)))*Settings!$B$19,0)+N(INDEX(Mob_Demob!$L$6:$L$14,MATCH(AM388,Mob_Demob!$A$6:$A$14,0)))*N(INDEX(Mob_Demob!$K$6:$K$14,MATCH(AM388,Mob_Demob!$A$6:$A$14,0)))*Settings!$B$6+N(INDEX(Mob_Demob!$M$6:$M$14,MATCH(AM388,Mob_Demob!$A$6:$A$14,0)))*N(INDEX(Mob_Demob!$N$6:$N$14,MATCH(AM388,Mob_Demob!$A$6:$A$14,0))),0)),"")</f>
        <v>1913</v>
      </c>
      <c r="AR388" s="16" t="n">
        <f aca="false">IF(AQ388="","",ROUND(AQ388*Settings!$B$18,0))</f>
        <v>1913</v>
      </c>
      <c r="AS388" s="13" t="s">
        <v>2542</v>
      </c>
      <c r="AT388" s="14" t="s">
        <v>2561</v>
      </c>
      <c r="AU388" s="14" t="s">
        <v>509</v>
      </c>
    </row>
    <row r="389" customFormat="false" ht="64.15" hidden="false" customHeight="false" outlineLevel="0" collapsed="false">
      <c r="A389" s="21" t="s">
        <v>2562</v>
      </c>
      <c r="B389" s="21" t="s">
        <v>2477</v>
      </c>
      <c r="C389" s="21" t="s">
        <v>2563</v>
      </c>
      <c r="D389" s="21" t="s">
        <v>2564</v>
      </c>
      <c r="E389" s="22" t="s">
        <v>2565</v>
      </c>
      <c r="F389" s="13" t="s">
        <v>2566</v>
      </c>
      <c r="G389" s="13" t="n">
        <v>30</v>
      </c>
      <c r="H389" s="13" t="s">
        <v>462</v>
      </c>
      <c r="I389" s="14" t="s">
        <v>2567</v>
      </c>
      <c r="J389" s="15"/>
      <c r="K389" s="13"/>
      <c r="L389" s="13"/>
      <c r="M389" s="13"/>
      <c r="N389" s="13" t="s">
        <v>184</v>
      </c>
      <c r="O389" s="13" t="s">
        <v>336</v>
      </c>
      <c r="P389" s="13" t="s">
        <v>186</v>
      </c>
      <c r="Q389" s="16"/>
      <c r="R389" s="16"/>
      <c r="S389" s="16"/>
      <c r="T389" s="16"/>
      <c r="U389" s="16"/>
      <c r="V389" s="13" t="s">
        <v>187</v>
      </c>
      <c r="W389" s="17"/>
      <c r="X389" s="13"/>
      <c r="Y389" s="13"/>
      <c r="Z389" s="13"/>
      <c r="AA389" s="13" t="s">
        <v>188</v>
      </c>
      <c r="AB389" s="13"/>
      <c r="AC389" s="17"/>
      <c r="AD389" s="13"/>
      <c r="AE389" s="19"/>
      <c r="AF389" s="19"/>
      <c r="AG389" s="19"/>
      <c r="AH389" s="13"/>
      <c r="AI389" s="17"/>
      <c r="AJ389" s="13" t="s">
        <v>188</v>
      </c>
      <c r="AK389" s="13" t="s">
        <v>188</v>
      </c>
      <c r="AL389" s="14" t="s">
        <v>194</v>
      </c>
      <c r="AM389" s="13" t="s">
        <v>507</v>
      </c>
      <c r="AN389" s="15"/>
      <c r="AO389" s="13"/>
      <c r="AP389" s="13" t="s">
        <v>196</v>
      </c>
      <c r="AQ389" s="16" t="n">
        <f aca="false">IFERROR(IF(AND(INDEX(Mob_Demob!$D$6:$D$14,MATCH(AM389,Mob_Demob!$A$6:$A$14,0))="",INDEX(Mob_Demob!$G$6:$G$14,MATCH(AM389,Mob_Demob!$A$6:$A$14,0))=""),"",ROUND(MAX(N(INDEX(Mob_Demob!$G$6:$G$14,MATCH(AM389,Mob_Demob!$A$6:$A$14,0))),N(INDEX(Mob_Demob!$D$6:$D$14,MATCH(AM389,Mob_Demob!$A$6:$A$14,0)))*Settings!$B$6)+IF(AP389="Y",N(INDEX(Mob_Demob!$I$6:$I$14,MATCH(AM389,Mob_Demob!$A$6:$A$14,0)))*Settings!$B$19,0)+N(INDEX(Mob_Demob!$L$6:$L$14,MATCH(AM389,Mob_Demob!$A$6:$A$14,0)))*N(INDEX(Mob_Demob!$K$6:$K$14,MATCH(AM389,Mob_Demob!$A$6:$A$14,0)))*Settings!$B$6+N(INDEX(Mob_Demob!$M$6:$M$14,MATCH(AM389,Mob_Demob!$A$6:$A$14,0)))*N(INDEX(Mob_Demob!$N$6:$N$14,MATCH(AM389,Mob_Demob!$A$6:$A$14,0))),0)),"")</f>
        <v>400</v>
      </c>
      <c r="AR389" s="16" t="n">
        <f aca="false">IF(AQ389="","",ROUND(AQ389*Settings!$B$18,0))</f>
        <v>400</v>
      </c>
      <c r="AS389" s="13" t="s">
        <v>2568</v>
      </c>
      <c r="AT389" s="14"/>
      <c r="AU389" s="14" t="s">
        <v>1712</v>
      </c>
    </row>
    <row r="390" customFormat="false" ht="64.15" hidden="false" customHeight="false" outlineLevel="0" collapsed="false">
      <c r="A390" s="21" t="s">
        <v>2569</v>
      </c>
      <c r="B390" s="21" t="s">
        <v>2477</v>
      </c>
      <c r="C390" s="21" t="s">
        <v>2570</v>
      </c>
      <c r="D390" s="21" t="s">
        <v>2571</v>
      </c>
      <c r="E390" s="22" t="s">
        <v>2572</v>
      </c>
      <c r="F390" s="13" t="s">
        <v>2573</v>
      </c>
      <c r="G390" s="13" t="n">
        <v>50</v>
      </c>
      <c r="H390" s="13" t="s">
        <v>926</v>
      </c>
      <c r="I390" s="14"/>
      <c r="J390" s="15"/>
      <c r="K390" s="13"/>
      <c r="L390" s="13"/>
      <c r="M390" s="13"/>
      <c r="N390" s="13" t="s">
        <v>184</v>
      </c>
      <c r="O390" s="13" t="s">
        <v>336</v>
      </c>
      <c r="P390" s="13" t="s">
        <v>186</v>
      </c>
      <c r="Q390" s="16"/>
      <c r="R390" s="16"/>
      <c r="S390" s="16"/>
      <c r="T390" s="16"/>
      <c r="U390" s="16"/>
      <c r="V390" s="13" t="s">
        <v>187</v>
      </c>
      <c r="W390" s="17"/>
      <c r="X390" s="13"/>
      <c r="Y390" s="13"/>
      <c r="Z390" s="13"/>
      <c r="AA390" s="13" t="s">
        <v>188</v>
      </c>
      <c r="AB390" s="13"/>
      <c r="AC390" s="17"/>
      <c r="AD390" s="13"/>
      <c r="AE390" s="19"/>
      <c r="AF390" s="19"/>
      <c r="AG390" s="19"/>
      <c r="AH390" s="13"/>
      <c r="AI390" s="17"/>
      <c r="AJ390" s="13" t="s">
        <v>188</v>
      </c>
      <c r="AK390" s="13" t="s">
        <v>188</v>
      </c>
      <c r="AL390" s="14" t="s">
        <v>194</v>
      </c>
      <c r="AM390" s="13" t="s">
        <v>507</v>
      </c>
      <c r="AN390" s="15"/>
      <c r="AO390" s="13"/>
      <c r="AP390" s="13" t="s">
        <v>196</v>
      </c>
      <c r="AQ390" s="16" t="n">
        <f aca="false">IFERROR(IF(AND(INDEX(Mob_Demob!$D$6:$D$14,MATCH(AM390,Mob_Demob!$A$6:$A$14,0))="",INDEX(Mob_Demob!$G$6:$G$14,MATCH(AM390,Mob_Demob!$A$6:$A$14,0))=""),"",ROUND(MAX(N(INDEX(Mob_Demob!$G$6:$G$14,MATCH(AM390,Mob_Demob!$A$6:$A$14,0))),N(INDEX(Mob_Demob!$D$6:$D$14,MATCH(AM390,Mob_Demob!$A$6:$A$14,0)))*Settings!$B$6)+IF(AP390="Y",N(INDEX(Mob_Demob!$I$6:$I$14,MATCH(AM390,Mob_Demob!$A$6:$A$14,0)))*Settings!$B$19,0)+N(INDEX(Mob_Demob!$L$6:$L$14,MATCH(AM390,Mob_Demob!$A$6:$A$14,0)))*N(INDEX(Mob_Demob!$K$6:$K$14,MATCH(AM390,Mob_Demob!$A$6:$A$14,0)))*Settings!$B$6+N(INDEX(Mob_Demob!$M$6:$M$14,MATCH(AM390,Mob_Demob!$A$6:$A$14,0)))*N(INDEX(Mob_Demob!$N$6:$N$14,MATCH(AM390,Mob_Demob!$A$6:$A$14,0))),0)),"")</f>
        <v>400</v>
      </c>
      <c r="AR390" s="16" t="n">
        <f aca="false">IF(AQ390="","",ROUND(AQ390*Settings!$B$18,0))</f>
        <v>400</v>
      </c>
      <c r="AS390" s="13" t="s">
        <v>2574</v>
      </c>
      <c r="AT390" s="14"/>
      <c r="AU390" s="14" t="s">
        <v>1712</v>
      </c>
    </row>
    <row r="391" customFormat="false" ht="64.15" hidden="false" customHeight="false" outlineLevel="0" collapsed="false">
      <c r="A391" s="21" t="s">
        <v>2575</v>
      </c>
      <c r="B391" s="21" t="s">
        <v>2477</v>
      </c>
      <c r="C391" s="21" t="s">
        <v>2570</v>
      </c>
      <c r="D391" s="21" t="s">
        <v>2571</v>
      </c>
      <c r="E391" s="22" t="s">
        <v>2576</v>
      </c>
      <c r="F391" s="13" t="s">
        <v>2573</v>
      </c>
      <c r="G391" s="13" t="n">
        <v>100</v>
      </c>
      <c r="H391" s="13" t="s">
        <v>926</v>
      </c>
      <c r="I391" s="14"/>
      <c r="J391" s="15"/>
      <c r="K391" s="13"/>
      <c r="L391" s="13"/>
      <c r="M391" s="13"/>
      <c r="N391" s="13" t="s">
        <v>184</v>
      </c>
      <c r="O391" s="13" t="s">
        <v>336</v>
      </c>
      <c r="P391" s="13" t="s">
        <v>186</v>
      </c>
      <c r="Q391" s="16"/>
      <c r="R391" s="16"/>
      <c r="S391" s="16"/>
      <c r="T391" s="16"/>
      <c r="U391" s="16"/>
      <c r="V391" s="13" t="s">
        <v>187</v>
      </c>
      <c r="W391" s="17"/>
      <c r="X391" s="13"/>
      <c r="Y391" s="13"/>
      <c r="Z391" s="13"/>
      <c r="AA391" s="13" t="s">
        <v>188</v>
      </c>
      <c r="AB391" s="13"/>
      <c r="AC391" s="17"/>
      <c r="AD391" s="13"/>
      <c r="AE391" s="19"/>
      <c r="AF391" s="19"/>
      <c r="AG391" s="19"/>
      <c r="AH391" s="13"/>
      <c r="AI391" s="17"/>
      <c r="AJ391" s="13" t="s">
        <v>188</v>
      </c>
      <c r="AK391" s="13" t="s">
        <v>188</v>
      </c>
      <c r="AL391" s="14" t="s">
        <v>194</v>
      </c>
      <c r="AM391" s="13" t="s">
        <v>507</v>
      </c>
      <c r="AN391" s="15"/>
      <c r="AO391" s="13"/>
      <c r="AP391" s="13" t="s">
        <v>196</v>
      </c>
      <c r="AQ391" s="16" t="n">
        <f aca="false">IFERROR(IF(AND(INDEX(Mob_Demob!$D$6:$D$14,MATCH(AM391,Mob_Demob!$A$6:$A$14,0))="",INDEX(Mob_Demob!$G$6:$G$14,MATCH(AM391,Mob_Demob!$A$6:$A$14,0))=""),"",ROUND(MAX(N(INDEX(Mob_Demob!$G$6:$G$14,MATCH(AM391,Mob_Demob!$A$6:$A$14,0))),N(INDEX(Mob_Demob!$D$6:$D$14,MATCH(AM391,Mob_Demob!$A$6:$A$14,0)))*Settings!$B$6)+IF(AP391="Y",N(INDEX(Mob_Demob!$I$6:$I$14,MATCH(AM391,Mob_Demob!$A$6:$A$14,0)))*Settings!$B$19,0)+N(INDEX(Mob_Demob!$L$6:$L$14,MATCH(AM391,Mob_Demob!$A$6:$A$14,0)))*N(INDEX(Mob_Demob!$K$6:$K$14,MATCH(AM391,Mob_Demob!$A$6:$A$14,0)))*Settings!$B$6+N(INDEX(Mob_Demob!$M$6:$M$14,MATCH(AM391,Mob_Demob!$A$6:$A$14,0)))*N(INDEX(Mob_Demob!$N$6:$N$14,MATCH(AM391,Mob_Demob!$A$6:$A$14,0))),0)),"")</f>
        <v>400</v>
      </c>
      <c r="AR391" s="16" t="n">
        <f aca="false">IF(AQ391="","",ROUND(AQ391*Settings!$B$18,0))</f>
        <v>400</v>
      </c>
      <c r="AS391" s="13" t="s">
        <v>2577</v>
      </c>
      <c r="AT391" s="14"/>
      <c r="AU391" s="14" t="s">
        <v>1712</v>
      </c>
    </row>
    <row r="392" customFormat="false" ht="64.15" hidden="false" customHeight="false" outlineLevel="0" collapsed="false">
      <c r="A392" s="21" t="s">
        <v>2578</v>
      </c>
      <c r="B392" s="21" t="s">
        <v>2477</v>
      </c>
      <c r="C392" s="21" t="s">
        <v>2579</v>
      </c>
      <c r="D392" s="21" t="s">
        <v>2580</v>
      </c>
      <c r="E392" s="22" t="s">
        <v>2581</v>
      </c>
      <c r="F392" s="13" t="s">
        <v>2582</v>
      </c>
      <c r="G392" s="13"/>
      <c r="H392" s="13" t="s">
        <v>334</v>
      </c>
      <c r="I392" s="14" t="s">
        <v>2583</v>
      </c>
      <c r="J392" s="15"/>
      <c r="K392" s="13"/>
      <c r="L392" s="13"/>
      <c r="M392" s="13"/>
      <c r="N392" s="13" t="s">
        <v>184</v>
      </c>
      <c r="O392" s="13" t="s">
        <v>185</v>
      </c>
      <c r="P392" s="13" t="s">
        <v>186</v>
      </c>
      <c r="Q392" s="16"/>
      <c r="R392" s="16"/>
      <c r="S392" s="16"/>
      <c r="T392" s="16"/>
      <c r="U392" s="16"/>
      <c r="V392" s="13" t="s">
        <v>187</v>
      </c>
      <c r="W392" s="17"/>
      <c r="X392" s="13"/>
      <c r="Y392" s="13"/>
      <c r="Z392" s="13"/>
      <c r="AA392" s="13" t="s">
        <v>188</v>
      </c>
      <c r="AB392" s="13"/>
      <c r="AC392" s="17"/>
      <c r="AD392" s="13"/>
      <c r="AE392" s="19"/>
      <c r="AF392" s="19"/>
      <c r="AG392" s="19"/>
      <c r="AH392" s="13"/>
      <c r="AI392" s="17"/>
      <c r="AJ392" s="13" t="s">
        <v>188</v>
      </c>
      <c r="AK392" s="13" t="s">
        <v>188</v>
      </c>
      <c r="AL392" s="14" t="s">
        <v>194</v>
      </c>
      <c r="AM392" s="13" t="s">
        <v>268</v>
      </c>
      <c r="AN392" s="15"/>
      <c r="AO392" s="13"/>
      <c r="AP392" s="13" t="s">
        <v>269</v>
      </c>
      <c r="AQ392" s="16" t="n">
        <f aca="false">IFERROR(IF(AND(INDEX(Mob_Demob!$D$6:$D$14,MATCH(AM392,Mob_Demob!$A$6:$A$14,0))="",INDEX(Mob_Demob!$G$6:$G$14,MATCH(AM392,Mob_Demob!$A$6:$A$14,0))=""),"",ROUND(MAX(N(INDEX(Mob_Demob!$G$6:$G$14,MATCH(AM392,Mob_Demob!$A$6:$A$14,0))),N(INDEX(Mob_Demob!$D$6:$D$14,MATCH(AM392,Mob_Demob!$A$6:$A$14,0)))*Settings!$B$6)+IF(AP392="Y",N(INDEX(Mob_Demob!$I$6:$I$14,MATCH(AM392,Mob_Demob!$A$6:$A$14,0)))*Settings!$B$19,0)+N(INDEX(Mob_Demob!$L$6:$L$14,MATCH(AM392,Mob_Demob!$A$6:$A$14,0)))*N(INDEX(Mob_Demob!$K$6:$K$14,MATCH(AM392,Mob_Demob!$A$6:$A$14,0)))*Settings!$B$6+N(INDEX(Mob_Demob!$M$6:$M$14,MATCH(AM392,Mob_Demob!$A$6:$A$14,0)))*N(INDEX(Mob_Demob!$N$6:$N$14,MATCH(AM392,Mob_Demob!$A$6:$A$14,0))),0)),"")</f>
        <v>1800</v>
      </c>
      <c r="AR392" s="16" t="n">
        <f aca="false">IF(AQ392="","",ROUND(AQ392*Settings!$B$18,0))</f>
        <v>1800</v>
      </c>
      <c r="AS392" s="13"/>
      <c r="AT392" s="14" t="s">
        <v>2584</v>
      </c>
      <c r="AU392" s="14" t="s">
        <v>1712</v>
      </c>
    </row>
    <row r="393" customFormat="false" ht="64.15" hidden="false" customHeight="false" outlineLevel="0" collapsed="false">
      <c r="A393" s="21" t="s">
        <v>2585</v>
      </c>
      <c r="B393" s="21" t="s">
        <v>2477</v>
      </c>
      <c r="C393" s="21" t="s">
        <v>2586</v>
      </c>
      <c r="D393" s="21" t="s">
        <v>2587</v>
      </c>
      <c r="E393" s="22" t="s">
        <v>2588</v>
      </c>
      <c r="F393" s="13" t="s">
        <v>1532</v>
      </c>
      <c r="G393" s="13"/>
      <c r="H393" s="13" t="s">
        <v>1092</v>
      </c>
      <c r="I393" s="14"/>
      <c r="J393" s="15"/>
      <c r="K393" s="13"/>
      <c r="L393" s="13"/>
      <c r="M393" s="13"/>
      <c r="N393" s="13" t="s">
        <v>184</v>
      </c>
      <c r="O393" s="13" t="s">
        <v>1164</v>
      </c>
      <c r="P393" s="13" t="s">
        <v>186</v>
      </c>
      <c r="Q393" s="16"/>
      <c r="R393" s="16"/>
      <c r="S393" s="16"/>
      <c r="T393" s="16"/>
      <c r="U393" s="16"/>
      <c r="V393" s="13" t="s">
        <v>187</v>
      </c>
      <c r="W393" s="17"/>
      <c r="X393" s="13"/>
      <c r="Y393" s="13"/>
      <c r="Z393" s="13"/>
      <c r="AA393" s="13" t="s">
        <v>188</v>
      </c>
      <c r="AB393" s="13"/>
      <c r="AC393" s="17"/>
      <c r="AD393" s="13"/>
      <c r="AE393" s="19"/>
      <c r="AF393" s="19"/>
      <c r="AG393" s="19"/>
      <c r="AH393" s="13"/>
      <c r="AI393" s="17"/>
      <c r="AJ393" s="13" t="s">
        <v>188</v>
      </c>
      <c r="AK393" s="13" t="s">
        <v>188</v>
      </c>
      <c r="AL393" s="14" t="s">
        <v>194</v>
      </c>
      <c r="AM393" s="13" t="s">
        <v>1147</v>
      </c>
      <c r="AN393" s="15"/>
      <c r="AO393" s="13"/>
      <c r="AP393" s="13" t="s">
        <v>196</v>
      </c>
      <c r="AQ393" s="16" t="n">
        <f aca="false">IFERROR(IF(AND(INDEX(Mob_Demob!$D$6:$D$14,MATCH(AM393,Mob_Demob!$A$6:$A$14,0))="",INDEX(Mob_Demob!$G$6:$G$14,MATCH(AM393,Mob_Demob!$A$6:$A$14,0))=""),"",ROUND(MAX(N(INDEX(Mob_Demob!$G$6:$G$14,MATCH(AM393,Mob_Demob!$A$6:$A$14,0))),N(INDEX(Mob_Demob!$D$6:$D$14,MATCH(AM393,Mob_Demob!$A$6:$A$14,0)))*Settings!$B$6)+IF(AP393="Y",N(INDEX(Mob_Demob!$I$6:$I$14,MATCH(AM393,Mob_Demob!$A$6:$A$14,0)))*Settings!$B$19,0)+N(INDEX(Mob_Demob!$L$6:$L$14,MATCH(AM393,Mob_Demob!$A$6:$A$14,0)))*N(INDEX(Mob_Demob!$K$6:$K$14,MATCH(AM393,Mob_Demob!$A$6:$A$14,0)))*Settings!$B$6+N(INDEX(Mob_Demob!$M$6:$M$14,MATCH(AM393,Mob_Demob!$A$6:$A$14,0)))*N(INDEX(Mob_Demob!$N$6:$N$14,MATCH(AM393,Mob_Demob!$A$6:$A$14,0))),0)),"")</f>
        <v>200</v>
      </c>
      <c r="AR393" s="16" t="n">
        <f aca="false">IF(AQ393="","",ROUND(AQ393*Settings!$B$18,0))</f>
        <v>200</v>
      </c>
      <c r="AS393" s="13" t="s">
        <v>2589</v>
      </c>
      <c r="AT393" s="14" t="s">
        <v>2590</v>
      </c>
      <c r="AU393" s="14" t="s">
        <v>1712</v>
      </c>
    </row>
    <row r="394" customFormat="false" ht="64.15" hidden="false" customHeight="false" outlineLevel="0" collapsed="false">
      <c r="A394" s="21" t="s">
        <v>2591</v>
      </c>
      <c r="B394" s="21" t="s">
        <v>2477</v>
      </c>
      <c r="C394" s="21" t="s">
        <v>2586</v>
      </c>
      <c r="D394" s="21" t="s">
        <v>2592</v>
      </c>
      <c r="E394" s="22" t="s">
        <v>2593</v>
      </c>
      <c r="F394" s="13" t="s">
        <v>2594</v>
      </c>
      <c r="G394" s="13" t="n">
        <v>500</v>
      </c>
      <c r="H394" s="13" t="s">
        <v>1092</v>
      </c>
      <c r="I394" s="14" t="s">
        <v>2595</v>
      </c>
      <c r="J394" s="15"/>
      <c r="K394" s="13"/>
      <c r="L394" s="13"/>
      <c r="M394" s="13"/>
      <c r="N394" s="13" t="s">
        <v>184</v>
      </c>
      <c r="O394" s="13" t="s">
        <v>1023</v>
      </c>
      <c r="P394" s="13" t="s">
        <v>186</v>
      </c>
      <c r="Q394" s="16"/>
      <c r="R394" s="16"/>
      <c r="S394" s="16"/>
      <c r="T394" s="16"/>
      <c r="U394" s="16"/>
      <c r="V394" s="13" t="s">
        <v>187</v>
      </c>
      <c r="W394" s="17"/>
      <c r="X394" s="13"/>
      <c r="Y394" s="13"/>
      <c r="Z394" s="13"/>
      <c r="AA394" s="13" t="s">
        <v>188</v>
      </c>
      <c r="AB394" s="13" t="s">
        <v>2596</v>
      </c>
      <c r="AC394" s="17"/>
      <c r="AD394" s="13"/>
      <c r="AE394" s="19"/>
      <c r="AF394" s="19"/>
      <c r="AG394" s="19"/>
      <c r="AH394" s="13"/>
      <c r="AI394" s="17"/>
      <c r="AJ394" s="13" t="s">
        <v>188</v>
      </c>
      <c r="AK394" s="13" t="s">
        <v>188</v>
      </c>
      <c r="AL394" s="14" t="s">
        <v>194</v>
      </c>
      <c r="AM394" s="13" t="s">
        <v>484</v>
      </c>
      <c r="AN394" s="15"/>
      <c r="AO394" s="13"/>
      <c r="AP394" s="13" t="s">
        <v>196</v>
      </c>
      <c r="AQ394" s="16" t="str">
        <f aca="false">IFERROR(IF(AND(INDEX(Mob_Demob!$D$6:$D$14,MATCH(AM394,Mob_Demob!$A$6:$A$14,0))="",INDEX(Mob_Demob!$G$6:$G$14,MATCH(AM394,Mob_Demob!$A$6:$A$14,0))=""),"",ROUND(MAX(N(INDEX(Mob_Demob!$G$6:$G$14,MATCH(AM394,Mob_Demob!$A$6:$A$14,0))),N(INDEX(Mob_Demob!$D$6:$D$14,MATCH(AM394,Mob_Demob!$A$6:$A$14,0)))*Settings!$B$6)+IF(AP394="Y",N(INDEX(Mob_Demob!$I$6:$I$14,MATCH(AM394,Mob_Demob!$A$6:$A$14,0)))*Settings!$B$19,0)+N(INDEX(Mob_Demob!$L$6:$L$14,MATCH(AM394,Mob_Demob!$A$6:$A$14,0)))*N(INDEX(Mob_Demob!$K$6:$K$14,MATCH(AM394,Mob_Demob!$A$6:$A$14,0)))*Settings!$B$6+N(INDEX(Mob_Demob!$M$6:$M$14,MATCH(AM394,Mob_Demob!$A$6:$A$14,0)))*N(INDEX(Mob_Demob!$N$6:$N$14,MATCH(AM394,Mob_Demob!$A$6:$A$14,0))),0)),"")</f>
        <v/>
      </c>
      <c r="AR394" s="16" t="str">
        <f aca="false">IF(AQ394="","",ROUND(AQ394*Settings!$B$18,0))</f>
        <v/>
      </c>
      <c r="AS394" s="13" t="s">
        <v>2589</v>
      </c>
      <c r="AT394" s="14" t="s">
        <v>2597</v>
      </c>
      <c r="AU394" s="14" t="s">
        <v>1381</v>
      </c>
    </row>
    <row r="395" customFormat="false" ht="64.15" hidden="false" customHeight="false" outlineLevel="0" collapsed="false">
      <c r="A395" s="21" t="s">
        <v>2598</v>
      </c>
      <c r="B395" s="21" t="s">
        <v>2477</v>
      </c>
      <c r="C395" s="21" t="s">
        <v>2586</v>
      </c>
      <c r="D395" s="21" t="s">
        <v>2599</v>
      </c>
      <c r="E395" s="22" t="s">
        <v>2600</v>
      </c>
      <c r="F395" s="13" t="s">
        <v>2601</v>
      </c>
      <c r="G395" s="13" t="n">
        <v>12.5</v>
      </c>
      <c r="H395" s="13" t="s">
        <v>479</v>
      </c>
      <c r="I395" s="14" t="s">
        <v>2602</v>
      </c>
      <c r="J395" s="15"/>
      <c r="K395" s="13" t="n">
        <v>310</v>
      </c>
      <c r="L395" s="13" t="s">
        <v>2603</v>
      </c>
      <c r="M395" s="13"/>
      <c r="N395" s="13" t="s">
        <v>184</v>
      </c>
      <c r="O395" s="13" t="s">
        <v>1023</v>
      </c>
      <c r="P395" s="13" t="s">
        <v>186</v>
      </c>
      <c r="Q395" s="16"/>
      <c r="R395" s="16"/>
      <c r="S395" s="16"/>
      <c r="T395" s="16"/>
      <c r="U395" s="16"/>
      <c r="V395" s="13" t="s">
        <v>187</v>
      </c>
      <c r="W395" s="17"/>
      <c r="X395" s="13"/>
      <c r="Y395" s="13"/>
      <c r="Z395" s="13"/>
      <c r="AA395" s="13" t="s">
        <v>188</v>
      </c>
      <c r="AB395" s="13" t="s">
        <v>2604</v>
      </c>
      <c r="AC395" s="17"/>
      <c r="AD395" s="13"/>
      <c r="AE395" s="19" t="n">
        <f aca="false">ROUND(K395*Settings!$B$11*Settings!$B$13,2)</f>
        <v>5.27</v>
      </c>
      <c r="AF395" s="19" t="n">
        <f aca="false">ROUND(K395*Settings!$B$11*Settings!$B$14,2)</f>
        <v>6.93</v>
      </c>
      <c r="AG395" s="19" t="n">
        <f aca="false">ROUND(K395*Settings!$B$11*Settings!$B$15,2)</f>
        <v>9.04</v>
      </c>
      <c r="AH395" s="13" t="s">
        <v>191</v>
      </c>
      <c r="AI395" s="17"/>
      <c r="AJ395" s="13" t="s">
        <v>188</v>
      </c>
      <c r="AK395" s="13" t="s">
        <v>188</v>
      </c>
      <c r="AL395" s="14" t="s">
        <v>194</v>
      </c>
      <c r="AM395" s="13" t="s">
        <v>484</v>
      </c>
      <c r="AN395" s="15"/>
      <c r="AO395" s="13"/>
      <c r="AP395" s="13" t="s">
        <v>196</v>
      </c>
      <c r="AQ395" s="16" t="str">
        <f aca="false">IFERROR(IF(AND(INDEX(Mob_Demob!$D$6:$D$14,MATCH(AM395,Mob_Demob!$A$6:$A$14,0))="",INDEX(Mob_Demob!$G$6:$G$14,MATCH(AM395,Mob_Demob!$A$6:$A$14,0))=""),"",ROUND(MAX(N(INDEX(Mob_Demob!$G$6:$G$14,MATCH(AM395,Mob_Demob!$A$6:$A$14,0))),N(INDEX(Mob_Demob!$D$6:$D$14,MATCH(AM395,Mob_Demob!$A$6:$A$14,0)))*Settings!$B$6)+IF(AP395="Y",N(INDEX(Mob_Demob!$I$6:$I$14,MATCH(AM395,Mob_Demob!$A$6:$A$14,0)))*Settings!$B$19,0)+N(INDEX(Mob_Demob!$L$6:$L$14,MATCH(AM395,Mob_Demob!$A$6:$A$14,0)))*N(INDEX(Mob_Demob!$K$6:$K$14,MATCH(AM395,Mob_Demob!$A$6:$A$14,0)))*Settings!$B$6+N(INDEX(Mob_Demob!$M$6:$M$14,MATCH(AM395,Mob_Demob!$A$6:$A$14,0)))*N(INDEX(Mob_Demob!$N$6:$N$14,MATCH(AM395,Mob_Demob!$A$6:$A$14,0))),0)),"")</f>
        <v/>
      </c>
      <c r="AR395" s="16" t="str">
        <f aca="false">IF(AQ395="","",ROUND(AQ395*Settings!$B$18,0))</f>
        <v/>
      </c>
      <c r="AS395" s="13" t="s">
        <v>2605</v>
      </c>
      <c r="AT395" s="14" t="s">
        <v>2606</v>
      </c>
      <c r="AU395" s="14" t="s">
        <v>509</v>
      </c>
    </row>
    <row r="396" customFormat="false" ht="64.15" hidden="false" customHeight="false" outlineLevel="0" collapsed="false">
      <c r="A396" s="21" t="s">
        <v>2607</v>
      </c>
      <c r="B396" s="21" t="s">
        <v>2477</v>
      </c>
      <c r="C396" s="21" t="s">
        <v>2586</v>
      </c>
      <c r="D396" s="21" t="s">
        <v>2599</v>
      </c>
      <c r="E396" s="22" t="s">
        <v>2608</v>
      </c>
      <c r="F396" s="13" t="s">
        <v>1461</v>
      </c>
      <c r="G396" s="13" t="s">
        <v>2609</v>
      </c>
      <c r="H396" s="13"/>
      <c r="I396" s="14"/>
      <c r="J396" s="15"/>
      <c r="K396" s="13"/>
      <c r="L396" s="13"/>
      <c r="M396" s="13"/>
      <c r="N396" s="13" t="s">
        <v>184</v>
      </c>
      <c r="O396" s="13" t="s">
        <v>1023</v>
      </c>
      <c r="P396" s="13" t="s">
        <v>186</v>
      </c>
      <c r="Q396" s="16"/>
      <c r="R396" s="16"/>
      <c r="S396" s="16"/>
      <c r="T396" s="16"/>
      <c r="U396" s="16"/>
      <c r="V396" s="13" t="s">
        <v>187</v>
      </c>
      <c r="W396" s="17"/>
      <c r="X396" s="13"/>
      <c r="Y396" s="13"/>
      <c r="Z396" s="13"/>
      <c r="AA396" s="13" t="s">
        <v>188</v>
      </c>
      <c r="AB396" s="13" t="s">
        <v>2609</v>
      </c>
      <c r="AC396" s="17"/>
      <c r="AD396" s="13"/>
      <c r="AE396" s="19"/>
      <c r="AF396" s="19"/>
      <c r="AG396" s="19"/>
      <c r="AH396" s="13"/>
      <c r="AI396" s="17"/>
      <c r="AJ396" s="13" t="s">
        <v>188</v>
      </c>
      <c r="AK396" s="13" t="s">
        <v>188</v>
      </c>
      <c r="AL396" s="14" t="s">
        <v>194</v>
      </c>
      <c r="AM396" s="13" t="s">
        <v>484</v>
      </c>
      <c r="AN396" s="15"/>
      <c r="AO396" s="13"/>
      <c r="AP396" s="13" t="s">
        <v>196</v>
      </c>
      <c r="AQ396" s="16" t="str">
        <f aca="false">IFERROR(IF(AND(INDEX(Mob_Demob!$D$6:$D$14,MATCH(AM396,Mob_Demob!$A$6:$A$14,0))="",INDEX(Mob_Demob!$G$6:$G$14,MATCH(AM396,Mob_Demob!$A$6:$A$14,0))=""),"",ROUND(MAX(N(INDEX(Mob_Demob!$G$6:$G$14,MATCH(AM396,Mob_Demob!$A$6:$A$14,0))),N(INDEX(Mob_Demob!$D$6:$D$14,MATCH(AM396,Mob_Demob!$A$6:$A$14,0)))*Settings!$B$6)+IF(AP396="Y",N(INDEX(Mob_Demob!$I$6:$I$14,MATCH(AM396,Mob_Demob!$A$6:$A$14,0)))*Settings!$B$19,0)+N(INDEX(Mob_Demob!$L$6:$L$14,MATCH(AM396,Mob_Demob!$A$6:$A$14,0)))*N(INDEX(Mob_Demob!$K$6:$K$14,MATCH(AM396,Mob_Demob!$A$6:$A$14,0)))*Settings!$B$6+N(INDEX(Mob_Demob!$M$6:$M$14,MATCH(AM396,Mob_Demob!$A$6:$A$14,0)))*N(INDEX(Mob_Demob!$N$6:$N$14,MATCH(AM396,Mob_Demob!$A$6:$A$14,0))),0)),"")</f>
        <v/>
      </c>
      <c r="AR396" s="16" t="str">
        <f aca="false">IF(AQ396="","",ROUND(AQ396*Settings!$B$18,0))</f>
        <v/>
      </c>
      <c r="AS396" s="13" t="s">
        <v>2610</v>
      </c>
      <c r="AT396" s="14" t="s">
        <v>2611</v>
      </c>
      <c r="AU396" s="14" t="s">
        <v>1381</v>
      </c>
    </row>
    <row r="397" customFormat="false" ht="64.15" hidden="false" customHeight="false" outlineLevel="0" collapsed="false">
      <c r="A397" s="21" t="s">
        <v>2612</v>
      </c>
      <c r="B397" s="21" t="s">
        <v>2477</v>
      </c>
      <c r="C397" s="21" t="s">
        <v>2586</v>
      </c>
      <c r="D397" s="21" t="s">
        <v>2599</v>
      </c>
      <c r="E397" s="22" t="s">
        <v>2613</v>
      </c>
      <c r="F397" s="13" t="s">
        <v>1461</v>
      </c>
      <c r="G397" s="13" t="s">
        <v>2614</v>
      </c>
      <c r="H397" s="13"/>
      <c r="I397" s="14"/>
      <c r="J397" s="15"/>
      <c r="K397" s="13"/>
      <c r="L397" s="13"/>
      <c r="M397" s="13"/>
      <c r="N397" s="13" t="s">
        <v>184</v>
      </c>
      <c r="O397" s="13" t="s">
        <v>1023</v>
      </c>
      <c r="P397" s="13" t="s">
        <v>186</v>
      </c>
      <c r="Q397" s="16"/>
      <c r="R397" s="16"/>
      <c r="S397" s="16"/>
      <c r="T397" s="16"/>
      <c r="U397" s="16"/>
      <c r="V397" s="13" t="s">
        <v>187</v>
      </c>
      <c r="W397" s="17"/>
      <c r="X397" s="13"/>
      <c r="Y397" s="13"/>
      <c r="Z397" s="13"/>
      <c r="AA397" s="13" t="s">
        <v>188</v>
      </c>
      <c r="AB397" s="13" t="s">
        <v>2614</v>
      </c>
      <c r="AC397" s="17"/>
      <c r="AD397" s="13"/>
      <c r="AE397" s="19"/>
      <c r="AF397" s="19"/>
      <c r="AG397" s="19"/>
      <c r="AH397" s="13"/>
      <c r="AI397" s="17"/>
      <c r="AJ397" s="13" t="s">
        <v>188</v>
      </c>
      <c r="AK397" s="13" t="s">
        <v>188</v>
      </c>
      <c r="AL397" s="14" t="s">
        <v>194</v>
      </c>
      <c r="AM397" s="13" t="s">
        <v>484</v>
      </c>
      <c r="AN397" s="15"/>
      <c r="AO397" s="13"/>
      <c r="AP397" s="13" t="s">
        <v>196</v>
      </c>
      <c r="AQ397" s="16" t="str">
        <f aca="false">IFERROR(IF(AND(INDEX(Mob_Demob!$D$6:$D$14,MATCH(AM397,Mob_Demob!$A$6:$A$14,0))="",INDEX(Mob_Demob!$G$6:$G$14,MATCH(AM397,Mob_Demob!$A$6:$A$14,0))=""),"",ROUND(MAX(N(INDEX(Mob_Demob!$G$6:$G$14,MATCH(AM397,Mob_Demob!$A$6:$A$14,0))),N(INDEX(Mob_Demob!$D$6:$D$14,MATCH(AM397,Mob_Demob!$A$6:$A$14,0)))*Settings!$B$6)+IF(AP397="Y",N(INDEX(Mob_Demob!$I$6:$I$14,MATCH(AM397,Mob_Demob!$A$6:$A$14,0)))*Settings!$B$19,0)+N(INDEX(Mob_Demob!$L$6:$L$14,MATCH(AM397,Mob_Demob!$A$6:$A$14,0)))*N(INDEX(Mob_Demob!$K$6:$K$14,MATCH(AM397,Mob_Demob!$A$6:$A$14,0)))*Settings!$B$6+N(INDEX(Mob_Demob!$M$6:$M$14,MATCH(AM397,Mob_Demob!$A$6:$A$14,0)))*N(INDEX(Mob_Demob!$N$6:$N$14,MATCH(AM397,Mob_Demob!$A$6:$A$14,0))),0)),"")</f>
        <v/>
      </c>
      <c r="AR397" s="16" t="str">
        <f aca="false">IF(AQ397="","",ROUND(AQ397*Settings!$B$18,0))</f>
        <v/>
      </c>
      <c r="AS397" s="13" t="s">
        <v>2610</v>
      </c>
      <c r="AT397" s="14" t="s">
        <v>2615</v>
      </c>
      <c r="AU397" s="14" t="s">
        <v>1381</v>
      </c>
    </row>
    <row r="398" customFormat="false" ht="64.15" hidden="false" customHeight="false" outlineLevel="0" collapsed="false">
      <c r="A398" s="21" t="s">
        <v>2616</v>
      </c>
      <c r="B398" s="21" t="s">
        <v>2477</v>
      </c>
      <c r="C398" s="21" t="s">
        <v>2586</v>
      </c>
      <c r="D398" s="21" t="s">
        <v>2599</v>
      </c>
      <c r="E398" s="22" t="s">
        <v>2613</v>
      </c>
      <c r="F398" s="13" t="s">
        <v>1461</v>
      </c>
      <c r="G398" s="13" t="s">
        <v>2617</v>
      </c>
      <c r="H398" s="13"/>
      <c r="I398" s="14"/>
      <c r="J398" s="15"/>
      <c r="K398" s="13"/>
      <c r="L398" s="13"/>
      <c r="M398" s="13"/>
      <c r="N398" s="13" t="s">
        <v>184</v>
      </c>
      <c r="O398" s="13" t="s">
        <v>1023</v>
      </c>
      <c r="P398" s="13" t="s">
        <v>186</v>
      </c>
      <c r="Q398" s="16"/>
      <c r="R398" s="16"/>
      <c r="S398" s="16"/>
      <c r="T398" s="16"/>
      <c r="U398" s="16"/>
      <c r="V398" s="13" t="s">
        <v>187</v>
      </c>
      <c r="W398" s="17"/>
      <c r="X398" s="13"/>
      <c r="Y398" s="13"/>
      <c r="Z398" s="13"/>
      <c r="AA398" s="13" t="s">
        <v>188</v>
      </c>
      <c r="AB398" s="13" t="s">
        <v>2617</v>
      </c>
      <c r="AC398" s="17"/>
      <c r="AD398" s="13"/>
      <c r="AE398" s="19"/>
      <c r="AF398" s="19"/>
      <c r="AG398" s="19"/>
      <c r="AH398" s="13"/>
      <c r="AI398" s="17"/>
      <c r="AJ398" s="13" t="s">
        <v>188</v>
      </c>
      <c r="AK398" s="13" t="s">
        <v>188</v>
      </c>
      <c r="AL398" s="14" t="s">
        <v>194</v>
      </c>
      <c r="AM398" s="13" t="s">
        <v>484</v>
      </c>
      <c r="AN398" s="15"/>
      <c r="AO398" s="13"/>
      <c r="AP398" s="13" t="s">
        <v>196</v>
      </c>
      <c r="AQ398" s="16" t="str">
        <f aca="false">IFERROR(IF(AND(INDEX(Mob_Demob!$D$6:$D$14,MATCH(AM398,Mob_Demob!$A$6:$A$14,0))="",INDEX(Mob_Demob!$G$6:$G$14,MATCH(AM398,Mob_Demob!$A$6:$A$14,0))=""),"",ROUND(MAX(N(INDEX(Mob_Demob!$G$6:$G$14,MATCH(AM398,Mob_Demob!$A$6:$A$14,0))),N(INDEX(Mob_Demob!$D$6:$D$14,MATCH(AM398,Mob_Demob!$A$6:$A$14,0)))*Settings!$B$6)+IF(AP398="Y",N(INDEX(Mob_Demob!$I$6:$I$14,MATCH(AM398,Mob_Demob!$A$6:$A$14,0)))*Settings!$B$19,0)+N(INDEX(Mob_Demob!$L$6:$L$14,MATCH(AM398,Mob_Demob!$A$6:$A$14,0)))*N(INDEX(Mob_Demob!$K$6:$K$14,MATCH(AM398,Mob_Demob!$A$6:$A$14,0)))*Settings!$B$6+N(INDEX(Mob_Demob!$M$6:$M$14,MATCH(AM398,Mob_Demob!$A$6:$A$14,0)))*N(INDEX(Mob_Demob!$N$6:$N$14,MATCH(AM398,Mob_Demob!$A$6:$A$14,0))),0)),"")</f>
        <v/>
      </c>
      <c r="AR398" s="16" t="str">
        <f aca="false">IF(AQ398="","",ROUND(AQ398*Settings!$B$18,0))</f>
        <v/>
      </c>
      <c r="AS398" s="13" t="s">
        <v>2610</v>
      </c>
      <c r="AT398" s="14" t="s">
        <v>2618</v>
      </c>
      <c r="AU398" s="14" t="s">
        <v>1381</v>
      </c>
    </row>
    <row r="399" customFormat="false" ht="64.15" hidden="false" customHeight="false" outlineLevel="0" collapsed="false">
      <c r="A399" s="21" t="s">
        <v>2619</v>
      </c>
      <c r="B399" s="21" t="s">
        <v>2477</v>
      </c>
      <c r="C399" s="21" t="s">
        <v>2586</v>
      </c>
      <c r="D399" s="21" t="s">
        <v>2620</v>
      </c>
      <c r="E399" s="22" t="s">
        <v>2621</v>
      </c>
      <c r="F399" s="13" t="s">
        <v>2622</v>
      </c>
      <c r="G399" s="13" t="n">
        <v>12</v>
      </c>
      <c r="H399" s="13" t="s">
        <v>2623</v>
      </c>
      <c r="I399" s="14"/>
      <c r="J399" s="15"/>
      <c r="K399" s="13" t="n">
        <v>24</v>
      </c>
      <c r="L399" s="13"/>
      <c r="M399" s="13"/>
      <c r="N399" s="13" t="s">
        <v>184</v>
      </c>
      <c r="O399" s="13" t="s">
        <v>1164</v>
      </c>
      <c r="P399" s="13" t="s">
        <v>186</v>
      </c>
      <c r="Q399" s="16"/>
      <c r="R399" s="16"/>
      <c r="S399" s="16"/>
      <c r="T399" s="16"/>
      <c r="U399" s="16"/>
      <c r="V399" s="13" t="s">
        <v>187</v>
      </c>
      <c r="W399" s="17"/>
      <c r="X399" s="13"/>
      <c r="Y399" s="13"/>
      <c r="Z399" s="13"/>
      <c r="AA399" s="13" t="s">
        <v>188</v>
      </c>
      <c r="AB399" s="13" t="s">
        <v>2624</v>
      </c>
      <c r="AC399" s="17"/>
      <c r="AD399" s="13"/>
      <c r="AE399" s="19" t="n">
        <f aca="false">ROUND(K399*Settings!$B$11*Settings!$B$13,2)</f>
        <v>0.41</v>
      </c>
      <c r="AF399" s="19" t="n">
        <f aca="false">ROUND(K399*Settings!$B$11*Settings!$B$14,2)</f>
        <v>0.54</v>
      </c>
      <c r="AG399" s="19" t="n">
        <f aca="false">ROUND(K399*Settings!$B$11*Settings!$B$15,2)</f>
        <v>0.7</v>
      </c>
      <c r="AH399" s="13" t="s">
        <v>191</v>
      </c>
      <c r="AI399" s="17"/>
      <c r="AJ399" s="13" t="s">
        <v>188</v>
      </c>
      <c r="AK399" s="13" t="s">
        <v>188</v>
      </c>
      <c r="AL399" s="14" t="s">
        <v>194</v>
      </c>
      <c r="AM399" s="13" t="s">
        <v>1147</v>
      </c>
      <c r="AN399" s="15"/>
      <c r="AO399" s="13"/>
      <c r="AP399" s="13" t="s">
        <v>196</v>
      </c>
      <c r="AQ399" s="16" t="n">
        <f aca="false">IFERROR(IF(AND(INDEX(Mob_Demob!$D$6:$D$14,MATCH(AM399,Mob_Demob!$A$6:$A$14,0))="",INDEX(Mob_Demob!$G$6:$G$14,MATCH(AM399,Mob_Demob!$A$6:$A$14,0))=""),"",ROUND(MAX(N(INDEX(Mob_Demob!$G$6:$G$14,MATCH(AM399,Mob_Demob!$A$6:$A$14,0))),N(INDEX(Mob_Demob!$D$6:$D$14,MATCH(AM399,Mob_Demob!$A$6:$A$14,0)))*Settings!$B$6)+IF(AP399="Y",N(INDEX(Mob_Demob!$I$6:$I$14,MATCH(AM399,Mob_Demob!$A$6:$A$14,0)))*Settings!$B$19,0)+N(INDEX(Mob_Demob!$L$6:$L$14,MATCH(AM399,Mob_Demob!$A$6:$A$14,0)))*N(INDEX(Mob_Demob!$K$6:$K$14,MATCH(AM399,Mob_Demob!$A$6:$A$14,0)))*Settings!$B$6+N(INDEX(Mob_Demob!$M$6:$M$14,MATCH(AM399,Mob_Demob!$A$6:$A$14,0)))*N(INDEX(Mob_Demob!$N$6:$N$14,MATCH(AM399,Mob_Demob!$A$6:$A$14,0))),0)),"")</f>
        <v>200</v>
      </c>
      <c r="AR399" s="16" t="n">
        <f aca="false">IF(AQ399="","",ROUND(AQ399*Settings!$B$18,0))</f>
        <v>200</v>
      </c>
      <c r="AS399" s="13" t="s">
        <v>2610</v>
      </c>
      <c r="AT399" s="14" t="s">
        <v>2625</v>
      </c>
      <c r="AU399" s="14" t="s">
        <v>509</v>
      </c>
    </row>
    <row r="400" customFormat="false" ht="64.15" hidden="false" customHeight="false" outlineLevel="0" collapsed="false">
      <c r="A400" s="21" t="s">
        <v>2626</v>
      </c>
      <c r="B400" s="21" t="s">
        <v>2477</v>
      </c>
      <c r="C400" s="21" t="s">
        <v>2586</v>
      </c>
      <c r="D400" s="21" t="s">
        <v>2620</v>
      </c>
      <c r="E400" s="22" t="s">
        <v>2627</v>
      </c>
      <c r="F400" s="13" t="s">
        <v>2622</v>
      </c>
      <c r="G400" s="13" t="n">
        <v>25</v>
      </c>
      <c r="H400" s="13" t="s">
        <v>2623</v>
      </c>
      <c r="I400" s="14"/>
      <c r="J400" s="15"/>
      <c r="K400" s="13" t="n">
        <v>74</v>
      </c>
      <c r="L400" s="13"/>
      <c r="M400" s="13"/>
      <c r="N400" s="13" t="s">
        <v>184</v>
      </c>
      <c r="O400" s="13" t="s">
        <v>1164</v>
      </c>
      <c r="P400" s="13" t="s">
        <v>186</v>
      </c>
      <c r="Q400" s="16"/>
      <c r="R400" s="16"/>
      <c r="S400" s="16"/>
      <c r="T400" s="16"/>
      <c r="U400" s="16"/>
      <c r="V400" s="13" t="s">
        <v>187</v>
      </c>
      <c r="W400" s="17"/>
      <c r="X400" s="13"/>
      <c r="Y400" s="13"/>
      <c r="Z400" s="13"/>
      <c r="AA400" s="13" t="s">
        <v>188</v>
      </c>
      <c r="AB400" s="13" t="s">
        <v>2628</v>
      </c>
      <c r="AC400" s="17"/>
      <c r="AD400" s="13"/>
      <c r="AE400" s="19" t="n">
        <f aca="false">ROUND(K400*Settings!$B$11*Settings!$B$13,2)</f>
        <v>1.26</v>
      </c>
      <c r="AF400" s="19" t="n">
        <f aca="false">ROUND(K400*Settings!$B$11*Settings!$B$14,2)</f>
        <v>1.65</v>
      </c>
      <c r="AG400" s="19" t="n">
        <f aca="false">ROUND(K400*Settings!$B$11*Settings!$B$15,2)</f>
        <v>2.16</v>
      </c>
      <c r="AH400" s="13" t="s">
        <v>191</v>
      </c>
      <c r="AI400" s="17"/>
      <c r="AJ400" s="13" t="s">
        <v>188</v>
      </c>
      <c r="AK400" s="13" t="s">
        <v>188</v>
      </c>
      <c r="AL400" s="14" t="s">
        <v>194</v>
      </c>
      <c r="AM400" s="13" t="s">
        <v>1147</v>
      </c>
      <c r="AN400" s="15"/>
      <c r="AO400" s="13"/>
      <c r="AP400" s="13" t="s">
        <v>196</v>
      </c>
      <c r="AQ400" s="16" t="n">
        <f aca="false">IFERROR(IF(AND(INDEX(Mob_Demob!$D$6:$D$14,MATCH(AM400,Mob_Demob!$A$6:$A$14,0))="",INDEX(Mob_Demob!$G$6:$G$14,MATCH(AM400,Mob_Demob!$A$6:$A$14,0))=""),"",ROUND(MAX(N(INDEX(Mob_Demob!$G$6:$G$14,MATCH(AM400,Mob_Demob!$A$6:$A$14,0))),N(INDEX(Mob_Demob!$D$6:$D$14,MATCH(AM400,Mob_Demob!$A$6:$A$14,0)))*Settings!$B$6)+IF(AP400="Y",N(INDEX(Mob_Demob!$I$6:$I$14,MATCH(AM400,Mob_Demob!$A$6:$A$14,0)))*Settings!$B$19,0)+N(INDEX(Mob_Demob!$L$6:$L$14,MATCH(AM400,Mob_Demob!$A$6:$A$14,0)))*N(INDEX(Mob_Demob!$K$6:$K$14,MATCH(AM400,Mob_Demob!$A$6:$A$14,0)))*Settings!$B$6+N(INDEX(Mob_Demob!$M$6:$M$14,MATCH(AM400,Mob_Demob!$A$6:$A$14,0)))*N(INDEX(Mob_Demob!$N$6:$N$14,MATCH(AM400,Mob_Demob!$A$6:$A$14,0))),0)),"")</f>
        <v>200</v>
      </c>
      <c r="AR400" s="16" t="n">
        <f aca="false">IF(AQ400="","",ROUND(AQ400*Settings!$B$18,0))</f>
        <v>200</v>
      </c>
      <c r="AS400" s="13" t="s">
        <v>2610</v>
      </c>
      <c r="AT400" s="14" t="s">
        <v>2629</v>
      </c>
      <c r="AU400" s="14" t="s">
        <v>509</v>
      </c>
    </row>
    <row r="401" customFormat="false" ht="64.15" hidden="false" customHeight="false" outlineLevel="0" collapsed="false">
      <c r="A401" s="21" t="s">
        <v>2630</v>
      </c>
      <c r="B401" s="21" t="s">
        <v>2477</v>
      </c>
      <c r="C401" s="21" t="s">
        <v>2586</v>
      </c>
      <c r="D401" s="21" t="s">
        <v>2631</v>
      </c>
      <c r="E401" s="22" t="s">
        <v>2632</v>
      </c>
      <c r="F401" s="13" t="s">
        <v>1461</v>
      </c>
      <c r="G401" s="13" t="s">
        <v>2633</v>
      </c>
      <c r="H401" s="13"/>
      <c r="I401" s="14"/>
      <c r="J401" s="15"/>
      <c r="K401" s="13"/>
      <c r="L401" s="13"/>
      <c r="M401" s="13"/>
      <c r="N401" s="13" t="s">
        <v>1737</v>
      </c>
      <c r="O401" s="13" t="s">
        <v>1164</v>
      </c>
      <c r="P401" s="13" t="s">
        <v>186</v>
      </c>
      <c r="Q401" s="16"/>
      <c r="R401" s="16"/>
      <c r="S401" s="16"/>
      <c r="T401" s="16"/>
      <c r="U401" s="16"/>
      <c r="V401" s="13" t="s">
        <v>187</v>
      </c>
      <c r="W401" s="17"/>
      <c r="X401" s="13"/>
      <c r="Y401" s="13"/>
      <c r="Z401" s="13"/>
      <c r="AA401" s="13" t="s">
        <v>188</v>
      </c>
      <c r="AB401" s="13" t="s">
        <v>2633</v>
      </c>
      <c r="AC401" s="17"/>
      <c r="AD401" s="13"/>
      <c r="AE401" s="19"/>
      <c r="AF401" s="19"/>
      <c r="AG401" s="19"/>
      <c r="AH401" s="13"/>
      <c r="AI401" s="17"/>
      <c r="AJ401" s="13" t="s">
        <v>188</v>
      </c>
      <c r="AK401" s="13" t="s">
        <v>188</v>
      </c>
      <c r="AL401" s="14" t="s">
        <v>194</v>
      </c>
      <c r="AM401" s="13" t="s">
        <v>484</v>
      </c>
      <c r="AN401" s="15"/>
      <c r="AO401" s="13"/>
      <c r="AP401" s="13" t="s">
        <v>196</v>
      </c>
      <c r="AQ401" s="16" t="str">
        <f aca="false">IFERROR(IF(AND(INDEX(Mob_Demob!$D$6:$D$14,MATCH(AM401,Mob_Demob!$A$6:$A$14,0))="",INDEX(Mob_Demob!$G$6:$G$14,MATCH(AM401,Mob_Demob!$A$6:$A$14,0))=""),"",ROUND(MAX(N(INDEX(Mob_Demob!$G$6:$G$14,MATCH(AM401,Mob_Demob!$A$6:$A$14,0))),N(INDEX(Mob_Demob!$D$6:$D$14,MATCH(AM401,Mob_Demob!$A$6:$A$14,0)))*Settings!$B$6)+IF(AP401="Y",N(INDEX(Mob_Demob!$I$6:$I$14,MATCH(AM401,Mob_Demob!$A$6:$A$14,0)))*Settings!$B$19,0)+N(INDEX(Mob_Demob!$L$6:$L$14,MATCH(AM401,Mob_Demob!$A$6:$A$14,0)))*N(INDEX(Mob_Demob!$K$6:$K$14,MATCH(AM401,Mob_Demob!$A$6:$A$14,0)))*Settings!$B$6+N(INDEX(Mob_Demob!$M$6:$M$14,MATCH(AM401,Mob_Demob!$A$6:$A$14,0)))*N(INDEX(Mob_Demob!$N$6:$N$14,MATCH(AM401,Mob_Demob!$A$6:$A$14,0))),0)),"")</f>
        <v/>
      </c>
      <c r="AR401" s="16" t="str">
        <f aca="false">IF(AQ401="","",ROUND(AQ401*Settings!$B$18,0))</f>
        <v/>
      </c>
      <c r="AS401" s="13"/>
      <c r="AT401" s="14" t="s">
        <v>2634</v>
      </c>
      <c r="AU401" s="14" t="s">
        <v>509</v>
      </c>
    </row>
    <row r="402" customFormat="false" ht="64.15" hidden="false" customHeight="false" outlineLevel="0" collapsed="false">
      <c r="A402" s="21" t="s">
        <v>2635</v>
      </c>
      <c r="B402" s="21" t="s">
        <v>2477</v>
      </c>
      <c r="C402" s="21" t="s">
        <v>2586</v>
      </c>
      <c r="D402" s="21" t="s">
        <v>2631</v>
      </c>
      <c r="E402" s="22" t="s">
        <v>2636</v>
      </c>
      <c r="F402" s="13" t="s">
        <v>1461</v>
      </c>
      <c r="G402" s="13" t="s">
        <v>2637</v>
      </c>
      <c r="H402" s="13"/>
      <c r="I402" s="14"/>
      <c r="J402" s="15"/>
      <c r="K402" s="13"/>
      <c r="L402" s="13"/>
      <c r="M402" s="13"/>
      <c r="N402" s="13" t="s">
        <v>1737</v>
      </c>
      <c r="O402" s="13" t="s">
        <v>1164</v>
      </c>
      <c r="P402" s="13" t="s">
        <v>186</v>
      </c>
      <c r="Q402" s="16"/>
      <c r="R402" s="16"/>
      <c r="S402" s="16"/>
      <c r="T402" s="16"/>
      <c r="U402" s="16"/>
      <c r="V402" s="13" t="s">
        <v>187</v>
      </c>
      <c r="W402" s="17"/>
      <c r="X402" s="13"/>
      <c r="Y402" s="13"/>
      <c r="Z402" s="13"/>
      <c r="AA402" s="13" t="s">
        <v>188</v>
      </c>
      <c r="AB402" s="13" t="s">
        <v>2637</v>
      </c>
      <c r="AC402" s="17"/>
      <c r="AD402" s="13"/>
      <c r="AE402" s="19"/>
      <c r="AF402" s="19"/>
      <c r="AG402" s="19"/>
      <c r="AH402" s="13"/>
      <c r="AI402" s="17"/>
      <c r="AJ402" s="13" t="s">
        <v>188</v>
      </c>
      <c r="AK402" s="13" t="s">
        <v>188</v>
      </c>
      <c r="AL402" s="14" t="s">
        <v>194</v>
      </c>
      <c r="AM402" s="13" t="s">
        <v>484</v>
      </c>
      <c r="AN402" s="15"/>
      <c r="AO402" s="13"/>
      <c r="AP402" s="13" t="s">
        <v>196</v>
      </c>
      <c r="AQ402" s="16" t="str">
        <f aca="false">IFERROR(IF(AND(INDEX(Mob_Demob!$D$6:$D$14,MATCH(AM402,Mob_Demob!$A$6:$A$14,0))="",INDEX(Mob_Demob!$G$6:$G$14,MATCH(AM402,Mob_Demob!$A$6:$A$14,0))=""),"",ROUND(MAX(N(INDEX(Mob_Demob!$G$6:$G$14,MATCH(AM402,Mob_Demob!$A$6:$A$14,0))),N(INDEX(Mob_Demob!$D$6:$D$14,MATCH(AM402,Mob_Demob!$A$6:$A$14,0)))*Settings!$B$6)+IF(AP402="Y",N(INDEX(Mob_Demob!$I$6:$I$14,MATCH(AM402,Mob_Demob!$A$6:$A$14,0)))*Settings!$B$19,0)+N(INDEX(Mob_Demob!$L$6:$L$14,MATCH(AM402,Mob_Demob!$A$6:$A$14,0)))*N(INDEX(Mob_Demob!$K$6:$K$14,MATCH(AM402,Mob_Demob!$A$6:$A$14,0)))*Settings!$B$6+N(INDEX(Mob_Demob!$M$6:$M$14,MATCH(AM402,Mob_Demob!$A$6:$A$14,0)))*N(INDEX(Mob_Demob!$N$6:$N$14,MATCH(AM402,Mob_Demob!$A$6:$A$14,0))),0)),"")</f>
        <v/>
      </c>
      <c r="AR402" s="16" t="str">
        <f aca="false">IF(AQ402="","",ROUND(AQ402*Settings!$B$18,0))</f>
        <v/>
      </c>
      <c r="AS402" s="13"/>
      <c r="AT402" s="14" t="s">
        <v>2638</v>
      </c>
      <c r="AU402" s="14" t="s">
        <v>509</v>
      </c>
    </row>
    <row r="403" customFormat="false" ht="64.15" hidden="false" customHeight="false" outlineLevel="0" collapsed="false">
      <c r="A403" s="21" t="s">
        <v>2639</v>
      </c>
      <c r="B403" s="21" t="s">
        <v>2477</v>
      </c>
      <c r="C403" s="21" t="s">
        <v>2640</v>
      </c>
      <c r="D403" s="21" t="s">
        <v>2641</v>
      </c>
      <c r="E403" s="22" t="s">
        <v>2642</v>
      </c>
      <c r="F403" s="13" t="s">
        <v>2643</v>
      </c>
      <c r="G403" s="13" t="n">
        <v>5000</v>
      </c>
      <c r="H403" s="13" t="s">
        <v>334</v>
      </c>
      <c r="I403" s="14"/>
      <c r="J403" s="15"/>
      <c r="K403" s="13"/>
      <c r="L403" s="13"/>
      <c r="M403" s="13"/>
      <c r="N403" s="13" t="s">
        <v>184</v>
      </c>
      <c r="O403" s="13" t="s">
        <v>2644</v>
      </c>
      <c r="P403" s="13" t="s">
        <v>186</v>
      </c>
      <c r="Q403" s="16"/>
      <c r="R403" s="16"/>
      <c r="S403" s="16"/>
      <c r="T403" s="16"/>
      <c r="U403" s="16"/>
      <c r="V403" s="13" t="s">
        <v>187</v>
      </c>
      <c r="W403" s="17"/>
      <c r="X403" s="13"/>
      <c r="Y403" s="13"/>
      <c r="Z403" s="13"/>
      <c r="AA403" s="13" t="s">
        <v>188</v>
      </c>
      <c r="AB403" s="13" t="s">
        <v>2645</v>
      </c>
      <c r="AC403" s="17"/>
      <c r="AD403" s="13"/>
      <c r="AE403" s="19"/>
      <c r="AF403" s="19"/>
      <c r="AG403" s="19"/>
      <c r="AH403" s="13"/>
      <c r="AI403" s="17"/>
      <c r="AJ403" s="13" t="s">
        <v>188</v>
      </c>
      <c r="AK403" s="13" t="s">
        <v>188</v>
      </c>
      <c r="AL403" s="14" t="s">
        <v>194</v>
      </c>
      <c r="AM403" s="13" t="s">
        <v>1147</v>
      </c>
      <c r="AN403" s="15"/>
      <c r="AO403" s="13"/>
      <c r="AP403" s="13" t="s">
        <v>196</v>
      </c>
      <c r="AQ403" s="16" t="n">
        <f aca="false">IFERROR(IF(AND(INDEX(Mob_Demob!$D$6:$D$14,MATCH(AM403,Mob_Demob!$A$6:$A$14,0))="",INDEX(Mob_Demob!$G$6:$G$14,MATCH(AM403,Mob_Demob!$A$6:$A$14,0))=""),"",ROUND(MAX(N(INDEX(Mob_Demob!$G$6:$G$14,MATCH(AM403,Mob_Demob!$A$6:$A$14,0))),N(INDEX(Mob_Demob!$D$6:$D$14,MATCH(AM403,Mob_Demob!$A$6:$A$14,0)))*Settings!$B$6)+IF(AP403="Y",N(INDEX(Mob_Demob!$I$6:$I$14,MATCH(AM403,Mob_Demob!$A$6:$A$14,0)))*Settings!$B$19,0)+N(INDEX(Mob_Demob!$L$6:$L$14,MATCH(AM403,Mob_Demob!$A$6:$A$14,0)))*N(INDEX(Mob_Demob!$K$6:$K$14,MATCH(AM403,Mob_Demob!$A$6:$A$14,0)))*Settings!$B$6+N(INDEX(Mob_Demob!$M$6:$M$14,MATCH(AM403,Mob_Demob!$A$6:$A$14,0)))*N(INDEX(Mob_Demob!$N$6:$N$14,MATCH(AM403,Mob_Demob!$A$6:$A$14,0))),0)),"")</f>
        <v>200</v>
      </c>
      <c r="AR403" s="16" t="n">
        <f aca="false">IF(AQ403="","",ROUND(AQ403*Settings!$B$18,0))</f>
        <v>200</v>
      </c>
      <c r="AS403" s="13"/>
      <c r="AT403" s="14" t="s">
        <v>2646</v>
      </c>
      <c r="AU403" s="14" t="s">
        <v>1381</v>
      </c>
    </row>
    <row r="404" customFormat="false" ht="64.15" hidden="false" customHeight="false" outlineLevel="0" collapsed="false">
      <c r="A404" s="21" t="s">
        <v>2647</v>
      </c>
      <c r="B404" s="21" t="s">
        <v>2477</v>
      </c>
      <c r="C404" s="21" t="s">
        <v>2640</v>
      </c>
      <c r="D404" s="21" t="s">
        <v>2641</v>
      </c>
      <c r="E404" s="22" t="s">
        <v>2648</v>
      </c>
      <c r="F404" s="13" t="s">
        <v>2643</v>
      </c>
      <c r="G404" s="13" t="n">
        <v>8000</v>
      </c>
      <c r="H404" s="13" t="s">
        <v>334</v>
      </c>
      <c r="I404" s="14"/>
      <c r="J404" s="15"/>
      <c r="K404" s="13"/>
      <c r="L404" s="13"/>
      <c r="M404" s="13"/>
      <c r="N404" s="13" t="s">
        <v>184</v>
      </c>
      <c r="O404" s="13" t="s">
        <v>2644</v>
      </c>
      <c r="P404" s="13" t="s">
        <v>186</v>
      </c>
      <c r="Q404" s="16"/>
      <c r="R404" s="16"/>
      <c r="S404" s="16"/>
      <c r="T404" s="16"/>
      <c r="U404" s="16"/>
      <c r="V404" s="13" t="s">
        <v>187</v>
      </c>
      <c r="W404" s="17"/>
      <c r="X404" s="13"/>
      <c r="Y404" s="13"/>
      <c r="Z404" s="13"/>
      <c r="AA404" s="13" t="s">
        <v>188</v>
      </c>
      <c r="AB404" s="13" t="s">
        <v>2649</v>
      </c>
      <c r="AC404" s="17"/>
      <c r="AD404" s="13"/>
      <c r="AE404" s="19"/>
      <c r="AF404" s="19"/>
      <c r="AG404" s="19"/>
      <c r="AH404" s="13"/>
      <c r="AI404" s="17"/>
      <c r="AJ404" s="13" t="s">
        <v>188</v>
      </c>
      <c r="AK404" s="13" t="s">
        <v>188</v>
      </c>
      <c r="AL404" s="14" t="s">
        <v>194</v>
      </c>
      <c r="AM404" s="13" t="s">
        <v>1147</v>
      </c>
      <c r="AN404" s="15"/>
      <c r="AO404" s="13"/>
      <c r="AP404" s="13" t="s">
        <v>196</v>
      </c>
      <c r="AQ404" s="16" t="n">
        <f aca="false">IFERROR(IF(AND(INDEX(Mob_Demob!$D$6:$D$14,MATCH(AM404,Mob_Demob!$A$6:$A$14,0))="",INDEX(Mob_Demob!$G$6:$G$14,MATCH(AM404,Mob_Demob!$A$6:$A$14,0))=""),"",ROUND(MAX(N(INDEX(Mob_Demob!$G$6:$G$14,MATCH(AM404,Mob_Demob!$A$6:$A$14,0))),N(INDEX(Mob_Demob!$D$6:$D$14,MATCH(AM404,Mob_Demob!$A$6:$A$14,0)))*Settings!$B$6)+IF(AP404="Y",N(INDEX(Mob_Demob!$I$6:$I$14,MATCH(AM404,Mob_Demob!$A$6:$A$14,0)))*Settings!$B$19,0)+N(INDEX(Mob_Demob!$L$6:$L$14,MATCH(AM404,Mob_Demob!$A$6:$A$14,0)))*N(INDEX(Mob_Demob!$K$6:$K$14,MATCH(AM404,Mob_Demob!$A$6:$A$14,0)))*Settings!$B$6+N(INDEX(Mob_Demob!$M$6:$M$14,MATCH(AM404,Mob_Demob!$A$6:$A$14,0)))*N(INDEX(Mob_Demob!$N$6:$N$14,MATCH(AM404,Mob_Demob!$A$6:$A$14,0))),0)),"")</f>
        <v>200</v>
      </c>
      <c r="AR404" s="16" t="n">
        <f aca="false">IF(AQ404="","",ROUND(AQ404*Settings!$B$18,0))</f>
        <v>200</v>
      </c>
      <c r="AS404" s="13"/>
      <c r="AT404" s="14" t="s">
        <v>2650</v>
      </c>
      <c r="AU404" s="14" t="s">
        <v>1381</v>
      </c>
    </row>
    <row r="405" customFormat="false" ht="64.15" hidden="false" customHeight="false" outlineLevel="0" collapsed="false">
      <c r="A405" s="21" t="s">
        <v>2651</v>
      </c>
      <c r="B405" s="21" t="s">
        <v>2477</v>
      </c>
      <c r="C405" s="21" t="s">
        <v>2652</v>
      </c>
      <c r="D405" s="21" t="s">
        <v>2653</v>
      </c>
      <c r="E405" s="22" t="s">
        <v>2654</v>
      </c>
      <c r="F405" s="13" t="s">
        <v>1461</v>
      </c>
      <c r="G405" s="13" t="s">
        <v>2655</v>
      </c>
      <c r="H405" s="13"/>
      <c r="I405" s="14"/>
      <c r="J405" s="15"/>
      <c r="K405" s="13"/>
      <c r="L405" s="13"/>
      <c r="M405" s="13"/>
      <c r="N405" s="13" t="s">
        <v>184</v>
      </c>
      <c r="O405" s="13" t="s">
        <v>2644</v>
      </c>
      <c r="P405" s="13" t="s">
        <v>186</v>
      </c>
      <c r="Q405" s="16"/>
      <c r="R405" s="16"/>
      <c r="S405" s="16"/>
      <c r="T405" s="16"/>
      <c r="U405" s="16"/>
      <c r="V405" s="13" t="s">
        <v>187</v>
      </c>
      <c r="W405" s="17"/>
      <c r="X405" s="13"/>
      <c r="Y405" s="13"/>
      <c r="Z405" s="13"/>
      <c r="AA405" s="13" t="s">
        <v>188</v>
      </c>
      <c r="AB405" s="13" t="s">
        <v>2655</v>
      </c>
      <c r="AC405" s="17"/>
      <c r="AD405" s="13"/>
      <c r="AE405" s="19"/>
      <c r="AF405" s="19"/>
      <c r="AG405" s="19"/>
      <c r="AH405" s="13"/>
      <c r="AI405" s="17"/>
      <c r="AJ405" s="13" t="s">
        <v>188</v>
      </c>
      <c r="AK405" s="13" t="s">
        <v>188</v>
      </c>
      <c r="AL405" s="14" t="s">
        <v>194</v>
      </c>
      <c r="AM405" s="13" t="s">
        <v>484</v>
      </c>
      <c r="AN405" s="15"/>
      <c r="AO405" s="13"/>
      <c r="AP405" s="13" t="s">
        <v>196</v>
      </c>
      <c r="AQ405" s="16" t="str">
        <f aca="false">IFERROR(IF(AND(INDEX(Mob_Demob!$D$6:$D$14,MATCH(AM405,Mob_Demob!$A$6:$A$14,0))="",INDEX(Mob_Demob!$G$6:$G$14,MATCH(AM405,Mob_Demob!$A$6:$A$14,0))=""),"",ROUND(MAX(N(INDEX(Mob_Demob!$G$6:$G$14,MATCH(AM405,Mob_Demob!$A$6:$A$14,0))),N(INDEX(Mob_Demob!$D$6:$D$14,MATCH(AM405,Mob_Demob!$A$6:$A$14,0)))*Settings!$B$6)+IF(AP405="Y",N(INDEX(Mob_Demob!$I$6:$I$14,MATCH(AM405,Mob_Demob!$A$6:$A$14,0)))*Settings!$B$19,0)+N(INDEX(Mob_Demob!$L$6:$L$14,MATCH(AM405,Mob_Demob!$A$6:$A$14,0)))*N(INDEX(Mob_Demob!$K$6:$K$14,MATCH(AM405,Mob_Demob!$A$6:$A$14,0)))*Settings!$B$6+N(INDEX(Mob_Demob!$M$6:$M$14,MATCH(AM405,Mob_Demob!$A$6:$A$14,0)))*N(INDEX(Mob_Demob!$N$6:$N$14,MATCH(AM405,Mob_Demob!$A$6:$A$14,0))),0)),"")</f>
        <v/>
      </c>
      <c r="AR405" s="16" t="str">
        <f aca="false">IF(AQ405="","",ROUND(AQ405*Settings!$B$18,0))</f>
        <v/>
      </c>
      <c r="AS405" s="13"/>
      <c r="AT405" s="14" t="s">
        <v>2656</v>
      </c>
      <c r="AU405" s="14" t="s">
        <v>1381</v>
      </c>
    </row>
    <row r="406" customFormat="false" ht="64.15" hidden="false" customHeight="false" outlineLevel="0" collapsed="false">
      <c r="A406" s="21" t="s">
        <v>2657</v>
      </c>
      <c r="B406" s="21" t="s">
        <v>2477</v>
      </c>
      <c r="C406" s="21" t="s">
        <v>2652</v>
      </c>
      <c r="D406" s="21" t="s">
        <v>2653</v>
      </c>
      <c r="E406" s="22" t="s">
        <v>2658</v>
      </c>
      <c r="F406" s="13" t="s">
        <v>1461</v>
      </c>
      <c r="G406" s="13" t="s">
        <v>2659</v>
      </c>
      <c r="H406" s="13"/>
      <c r="I406" s="14"/>
      <c r="J406" s="15"/>
      <c r="K406" s="13"/>
      <c r="L406" s="13"/>
      <c r="M406" s="13"/>
      <c r="N406" s="13" t="s">
        <v>184</v>
      </c>
      <c r="O406" s="13" t="s">
        <v>2644</v>
      </c>
      <c r="P406" s="13" t="s">
        <v>186</v>
      </c>
      <c r="Q406" s="16"/>
      <c r="R406" s="16"/>
      <c r="S406" s="16"/>
      <c r="T406" s="16"/>
      <c r="U406" s="16"/>
      <c r="V406" s="13" t="s">
        <v>187</v>
      </c>
      <c r="W406" s="17"/>
      <c r="X406" s="13"/>
      <c r="Y406" s="13"/>
      <c r="Z406" s="13"/>
      <c r="AA406" s="13" t="s">
        <v>188</v>
      </c>
      <c r="AB406" s="13" t="s">
        <v>2659</v>
      </c>
      <c r="AC406" s="17"/>
      <c r="AD406" s="13"/>
      <c r="AE406" s="19"/>
      <c r="AF406" s="19"/>
      <c r="AG406" s="19"/>
      <c r="AH406" s="13"/>
      <c r="AI406" s="17"/>
      <c r="AJ406" s="13" t="s">
        <v>188</v>
      </c>
      <c r="AK406" s="13" t="s">
        <v>188</v>
      </c>
      <c r="AL406" s="14" t="s">
        <v>194</v>
      </c>
      <c r="AM406" s="13" t="s">
        <v>484</v>
      </c>
      <c r="AN406" s="15"/>
      <c r="AO406" s="13"/>
      <c r="AP406" s="13" t="s">
        <v>196</v>
      </c>
      <c r="AQ406" s="16" t="str">
        <f aca="false">IFERROR(IF(AND(INDEX(Mob_Demob!$D$6:$D$14,MATCH(AM406,Mob_Demob!$A$6:$A$14,0))="",INDEX(Mob_Demob!$G$6:$G$14,MATCH(AM406,Mob_Demob!$A$6:$A$14,0))=""),"",ROUND(MAX(N(INDEX(Mob_Demob!$G$6:$G$14,MATCH(AM406,Mob_Demob!$A$6:$A$14,0))),N(INDEX(Mob_Demob!$D$6:$D$14,MATCH(AM406,Mob_Demob!$A$6:$A$14,0)))*Settings!$B$6)+IF(AP406="Y",N(INDEX(Mob_Demob!$I$6:$I$14,MATCH(AM406,Mob_Demob!$A$6:$A$14,0)))*Settings!$B$19,0)+N(INDEX(Mob_Demob!$L$6:$L$14,MATCH(AM406,Mob_Demob!$A$6:$A$14,0)))*N(INDEX(Mob_Demob!$K$6:$K$14,MATCH(AM406,Mob_Demob!$A$6:$A$14,0)))*Settings!$B$6+N(INDEX(Mob_Demob!$M$6:$M$14,MATCH(AM406,Mob_Demob!$A$6:$A$14,0)))*N(INDEX(Mob_Demob!$N$6:$N$14,MATCH(AM406,Mob_Demob!$A$6:$A$14,0))),0)),"")</f>
        <v/>
      </c>
      <c r="AR406" s="16" t="str">
        <f aca="false">IF(AQ406="","",ROUND(AQ406*Settings!$B$18,0))</f>
        <v/>
      </c>
      <c r="AS406" s="13"/>
      <c r="AT406" s="14" t="s">
        <v>2660</v>
      </c>
      <c r="AU406" s="14" t="s">
        <v>1381</v>
      </c>
    </row>
    <row r="407" customFormat="false" ht="64.15" hidden="false" customHeight="false" outlineLevel="0" collapsed="false">
      <c r="A407" s="21" t="s">
        <v>2661</v>
      </c>
      <c r="B407" s="21" t="s">
        <v>2477</v>
      </c>
      <c r="C407" s="21" t="s">
        <v>2662</v>
      </c>
      <c r="D407" s="21" t="s">
        <v>2663</v>
      </c>
      <c r="E407" s="22" t="s">
        <v>2664</v>
      </c>
      <c r="F407" s="13" t="s">
        <v>2665</v>
      </c>
      <c r="G407" s="13" t="s">
        <v>2666</v>
      </c>
      <c r="H407" s="13" t="s">
        <v>462</v>
      </c>
      <c r="I407" s="14"/>
      <c r="J407" s="15"/>
      <c r="K407" s="13"/>
      <c r="L407" s="13"/>
      <c r="M407" s="13"/>
      <c r="N407" s="13" t="s">
        <v>1154</v>
      </c>
      <c r="O407" s="13" t="s">
        <v>504</v>
      </c>
      <c r="P407" s="13" t="s">
        <v>186</v>
      </c>
      <c r="Q407" s="20" t="n">
        <v>148</v>
      </c>
      <c r="R407" s="20" t="n">
        <v>429</v>
      </c>
      <c r="S407" s="20" t="n">
        <v>1245</v>
      </c>
      <c r="T407" s="16"/>
      <c r="U407" s="16"/>
      <c r="V407" s="13" t="s">
        <v>187</v>
      </c>
      <c r="W407" s="17"/>
      <c r="X407" s="13"/>
      <c r="Y407" s="13" t="s">
        <v>259</v>
      </c>
      <c r="Z407" s="13" t="s">
        <v>260</v>
      </c>
      <c r="AA407" s="13" t="s">
        <v>192</v>
      </c>
      <c r="AB407" s="13"/>
      <c r="AC407" s="17"/>
      <c r="AD407" s="13"/>
      <c r="AE407" s="19" t="n">
        <v>0</v>
      </c>
      <c r="AF407" s="19" t="n">
        <v>0</v>
      </c>
      <c r="AG407" s="19" t="n">
        <v>0</v>
      </c>
      <c r="AH407" s="13" t="s">
        <v>506</v>
      </c>
      <c r="AI407" s="17"/>
      <c r="AJ407" s="13" t="s">
        <v>188</v>
      </c>
      <c r="AK407" s="13" t="s">
        <v>188</v>
      </c>
      <c r="AL407" s="14" t="s">
        <v>194</v>
      </c>
      <c r="AM407" s="13" t="s">
        <v>507</v>
      </c>
      <c r="AN407" s="15"/>
      <c r="AO407" s="13"/>
      <c r="AP407" s="13" t="s">
        <v>196</v>
      </c>
      <c r="AQ407" s="16" t="n">
        <f aca="false">IFERROR(IF(AND(INDEX(Mob_Demob!$D$6:$D$14,MATCH(AM407,Mob_Demob!$A$6:$A$14,0))="",INDEX(Mob_Demob!$G$6:$G$14,MATCH(AM407,Mob_Demob!$A$6:$A$14,0))=""),"",ROUND(MAX(N(INDEX(Mob_Demob!$G$6:$G$14,MATCH(AM407,Mob_Demob!$A$6:$A$14,0))),N(INDEX(Mob_Demob!$D$6:$D$14,MATCH(AM407,Mob_Demob!$A$6:$A$14,0)))*Settings!$B$6)+IF(AP407="Y",N(INDEX(Mob_Demob!$I$6:$I$14,MATCH(AM407,Mob_Demob!$A$6:$A$14,0)))*Settings!$B$19,0)+N(INDEX(Mob_Demob!$L$6:$L$14,MATCH(AM407,Mob_Demob!$A$6:$A$14,0)))*N(INDEX(Mob_Demob!$K$6:$K$14,MATCH(AM407,Mob_Demob!$A$6:$A$14,0)))*Settings!$B$6+N(INDEX(Mob_Demob!$M$6:$M$14,MATCH(AM407,Mob_Demob!$A$6:$A$14,0)))*N(INDEX(Mob_Demob!$N$6:$N$14,MATCH(AM407,Mob_Demob!$A$6:$A$14,0))),0)),"")</f>
        <v>400</v>
      </c>
      <c r="AR407" s="16" t="n">
        <f aca="false">IF(AQ407="","",ROUND(AQ407*Settings!$B$18,0))</f>
        <v>400</v>
      </c>
      <c r="AS407" s="13" t="s">
        <v>2667</v>
      </c>
      <c r="AT407" s="14" t="s">
        <v>2668</v>
      </c>
      <c r="AU407" s="14" t="s">
        <v>341</v>
      </c>
    </row>
    <row r="408" customFormat="false" ht="64.15" hidden="false" customHeight="false" outlineLevel="0" collapsed="false">
      <c r="A408" s="21" t="s">
        <v>2669</v>
      </c>
      <c r="B408" s="21" t="s">
        <v>2477</v>
      </c>
      <c r="C408" s="21" t="s">
        <v>2662</v>
      </c>
      <c r="D408" s="21" t="s">
        <v>2663</v>
      </c>
      <c r="E408" s="22" t="s">
        <v>2670</v>
      </c>
      <c r="F408" s="13" t="s">
        <v>2665</v>
      </c>
      <c r="G408" s="13" t="s">
        <v>2671</v>
      </c>
      <c r="H408" s="13" t="s">
        <v>462</v>
      </c>
      <c r="I408" s="14"/>
      <c r="J408" s="15"/>
      <c r="K408" s="13"/>
      <c r="L408" s="13"/>
      <c r="M408" s="13"/>
      <c r="N408" s="13" t="s">
        <v>1154</v>
      </c>
      <c r="O408" s="13" t="s">
        <v>504</v>
      </c>
      <c r="P408" s="13" t="s">
        <v>186</v>
      </c>
      <c r="Q408" s="20" t="n">
        <v>170</v>
      </c>
      <c r="R408" s="20" t="n">
        <v>493</v>
      </c>
      <c r="S408" s="20" t="n">
        <v>1429</v>
      </c>
      <c r="T408" s="16"/>
      <c r="U408" s="16"/>
      <c r="V408" s="13" t="s">
        <v>187</v>
      </c>
      <c r="W408" s="17"/>
      <c r="X408" s="13"/>
      <c r="Y408" s="13" t="s">
        <v>259</v>
      </c>
      <c r="Z408" s="13" t="s">
        <v>260</v>
      </c>
      <c r="AA408" s="13" t="s">
        <v>192</v>
      </c>
      <c r="AB408" s="13"/>
      <c r="AC408" s="17"/>
      <c r="AD408" s="13"/>
      <c r="AE408" s="19" t="n">
        <v>0</v>
      </c>
      <c r="AF408" s="19" t="n">
        <v>0</v>
      </c>
      <c r="AG408" s="19" t="n">
        <v>0</v>
      </c>
      <c r="AH408" s="13" t="s">
        <v>506</v>
      </c>
      <c r="AI408" s="17"/>
      <c r="AJ408" s="13" t="s">
        <v>188</v>
      </c>
      <c r="AK408" s="13" t="s">
        <v>188</v>
      </c>
      <c r="AL408" s="14" t="s">
        <v>194</v>
      </c>
      <c r="AM408" s="13" t="s">
        <v>507</v>
      </c>
      <c r="AN408" s="15"/>
      <c r="AO408" s="13"/>
      <c r="AP408" s="13" t="s">
        <v>196</v>
      </c>
      <c r="AQ408" s="16" t="n">
        <f aca="false">IFERROR(IF(AND(INDEX(Mob_Demob!$D$6:$D$14,MATCH(AM408,Mob_Demob!$A$6:$A$14,0))="",INDEX(Mob_Demob!$G$6:$G$14,MATCH(AM408,Mob_Demob!$A$6:$A$14,0))=""),"",ROUND(MAX(N(INDEX(Mob_Demob!$G$6:$G$14,MATCH(AM408,Mob_Demob!$A$6:$A$14,0))),N(INDEX(Mob_Demob!$D$6:$D$14,MATCH(AM408,Mob_Demob!$A$6:$A$14,0)))*Settings!$B$6)+IF(AP408="Y",N(INDEX(Mob_Demob!$I$6:$I$14,MATCH(AM408,Mob_Demob!$A$6:$A$14,0)))*Settings!$B$19,0)+N(INDEX(Mob_Demob!$L$6:$L$14,MATCH(AM408,Mob_Demob!$A$6:$A$14,0)))*N(INDEX(Mob_Demob!$K$6:$K$14,MATCH(AM408,Mob_Demob!$A$6:$A$14,0)))*Settings!$B$6+N(INDEX(Mob_Demob!$M$6:$M$14,MATCH(AM408,Mob_Demob!$A$6:$A$14,0)))*N(INDEX(Mob_Demob!$N$6:$N$14,MATCH(AM408,Mob_Demob!$A$6:$A$14,0))),0)),"")</f>
        <v>400</v>
      </c>
      <c r="AR408" s="16" t="n">
        <f aca="false">IF(AQ408="","",ROUND(AQ408*Settings!$B$18,0))</f>
        <v>400</v>
      </c>
      <c r="AS408" s="13" t="s">
        <v>2667</v>
      </c>
      <c r="AT408" s="14" t="s">
        <v>2668</v>
      </c>
      <c r="AU408" s="14" t="s">
        <v>341</v>
      </c>
    </row>
    <row r="409" customFormat="false" ht="64.15" hidden="false" customHeight="false" outlineLevel="0" collapsed="false">
      <c r="A409" s="21" t="s">
        <v>2672</v>
      </c>
      <c r="B409" s="21" t="s">
        <v>2477</v>
      </c>
      <c r="C409" s="21" t="s">
        <v>2662</v>
      </c>
      <c r="D409" s="21" t="s">
        <v>2663</v>
      </c>
      <c r="E409" s="22" t="s">
        <v>2673</v>
      </c>
      <c r="F409" s="13" t="s">
        <v>2665</v>
      </c>
      <c r="G409" s="13" t="s">
        <v>2674</v>
      </c>
      <c r="H409" s="13" t="s">
        <v>462</v>
      </c>
      <c r="I409" s="14"/>
      <c r="J409" s="15"/>
      <c r="K409" s="13"/>
      <c r="L409" s="13"/>
      <c r="M409" s="13"/>
      <c r="N409" s="13" t="s">
        <v>1154</v>
      </c>
      <c r="O409" s="13" t="s">
        <v>504</v>
      </c>
      <c r="P409" s="13" t="s">
        <v>186</v>
      </c>
      <c r="Q409" s="20" t="n">
        <v>219</v>
      </c>
      <c r="R409" s="20" t="n">
        <v>635</v>
      </c>
      <c r="S409" s="20" t="n">
        <v>1842</v>
      </c>
      <c r="T409" s="16"/>
      <c r="U409" s="16"/>
      <c r="V409" s="13" t="s">
        <v>187</v>
      </c>
      <c r="W409" s="17"/>
      <c r="X409" s="13"/>
      <c r="Y409" s="13" t="s">
        <v>259</v>
      </c>
      <c r="Z409" s="13" t="s">
        <v>260</v>
      </c>
      <c r="AA409" s="13" t="s">
        <v>192</v>
      </c>
      <c r="AB409" s="13"/>
      <c r="AC409" s="17"/>
      <c r="AD409" s="13"/>
      <c r="AE409" s="19" t="n">
        <v>0</v>
      </c>
      <c r="AF409" s="19" t="n">
        <v>0</v>
      </c>
      <c r="AG409" s="19" t="n">
        <v>0</v>
      </c>
      <c r="AH409" s="13" t="s">
        <v>506</v>
      </c>
      <c r="AI409" s="17"/>
      <c r="AJ409" s="13" t="s">
        <v>188</v>
      </c>
      <c r="AK409" s="13" t="s">
        <v>188</v>
      </c>
      <c r="AL409" s="14" t="s">
        <v>194</v>
      </c>
      <c r="AM409" s="13" t="s">
        <v>507</v>
      </c>
      <c r="AN409" s="15"/>
      <c r="AO409" s="13"/>
      <c r="AP409" s="13" t="s">
        <v>196</v>
      </c>
      <c r="AQ409" s="16" t="n">
        <f aca="false">IFERROR(IF(AND(INDEX(Mob_Demob!$D$6:$D$14,MATCH(AM409,Mob_Demob!$A$6:$A$14,0))="",INDEX(Mob_Demob!$G$6:$G$14,MATCH(AM409,Mob_Demob!$A$6:$A$14,0))=""),"",ROUND(MAX(N(INDEX(Mob_Demob!$G$6:$G$14,MATCH(AM409,Mob_Demob!$A$6:$A$14,0))),N(INDEX(Mob_Demob!$D$6:$D$14,MATCH(AM409,Mob_Demob!$A$6:$A$14,0)))*Settings!$B$6)+IF(AP409="Y",N(INDEX(Mob_Demob!$I$6:$I$14,MATCH(AM409,Mob_Demob!$A$6:$A$14,0)))*Settings!$B$19,0)+N(INDEX(Mob_Demob!$L$6:$L$14,MATCH(AM409,Mob_Demob!$A$6:$A$14,0)))*N(INDEX(Mob_Demob!$K$6:$K$14,MATCH(AM409,Mob_Demob!$A$6:$A$14,0)))*Settings!$B$6+N(INDEX(Mob_Demob!$M$6:$M$14,MATCH(AM409,Mob_Demob!$A$6:$A$14,0)))*N(INDEX(Mob_Demob!$N$6:$N$14,MATCH(AM409,Mob_Demob!$A$6:$A$14,0))),0)),"")</f>
        <v>400</v>
      </c>
      <c r="AR409" s="16" t="n">
        <f aca="false">IF(AQ409="","",ROUND(AQ409*Settings!$B$18,0))</f>
        <v>400</v>
      </c>
      <c r="AS409" s="13" t="s">
        <v>2667</v>
      </c>
      <c r="AT409" s="14" t="s">
        <v>2668</v>
      </c>
      <c r="AU409" s="14" t="s">
        <v>341</v>
      </c>
    </row>
    <row r="410" customFormat="false" ht="64.15" hidden="false" customHeight="false" outlineLevel="0" collapsed="false">
      <c r="A410" s="21" t="s">
        <v>2675</v>
      </c>
      <c r="B410" s="21" t="s">
        <v>2477</v>
      </c>
      <c r="C410" s="21" t="s">
        <v>2662</v>
      </c>
      <c r="D410" s="21" t="s">
        <v>2663</v>
      </c>
      <c r="E410" s="22" t="s">
        <v>2676</v>
      </c>
      <c r="F410" s="13" t="s">
        <v>2665</v>
      </c>
      <c r="G410" s="13" t="s">
        <v>2677</v>
      </c>
      <c r="H410" s="13" t="s">
        <v>462</v>
      </c>
      <c r="I410" s="14"/>
      <c r="J410" s="15"/>
      <c r="K410" s="13"/>
      <c r="L410" s="13"/>
      <c r="M410" s="13"/>
      <c r="N410" s="13" t="s">
        <v>1154</v>
      </c>
      <c r="O410" s="13" t="s">
        <v>504</v>
      </c>
      <c r="P410" s="13" t="s">
        <v>186</v>
      </c>
      <c r="Q410" s="20" t="n">
        <v>253</v>
      </c>
      <c r="R410" s="20" t="n">
        <v>734</v>
      </c>
      <c r="S410" s="20" t="n">
        <v>2128</v>
      </c>
      <c r="T410" s="16"/>
      <c r="U410" s="16"/>
      <c r="V410" s="13" t="s">
        <v>187</v>
      </c>
      <c r="W410" s="17"/>
      <c r="X410" s="13"/>
      <c r="Y410" s="13" t="s">
        <v>259</v>
      </c>
      <c r="Z410" s="13" t="s">
        <v>260</v>
      </c>
      <c r="AA410" s="13" t="s">
        <v>192</v>
      </c>
      <c r="AB410" s="13"/>
      <c r="AC410" s="17"/>
      <c r="AD410" s="13"/>
      <c r="AE410" s="19" t="n">
        <v>0</v>
      </c>
      <c r="AF410" s="19" t="n">
        <v>0</v>
      </c>
      <c r="AG410" s="19" t="n">
        <v>0</v>
      </c>
      <c r="AH410" s="13" t="s">
        <v>506</v>
      </c>
      <c r="AI410" s="17"/>
      <c r="AJ410" s="13" t="s">
        <v>188</v>
      </c>
      <c r="AK410" s="13" t="s">
        <v>188</v>
      </c>
      <c r="AL410" s="14" t="s">
        <v>194</v>
      </c>
      <c r="AM410" s="13" t="s">
        <v>507</v>
      </c>
      <c r="AN410" s="15"/>
      <c r="AO410" s="13"/>
      <c r="AP410" s="13" t="s">
        <v>196</v>
      </c>
      <c r="AQ410" s="16" t="n">
        <f aca="false">IFERROR(IF(AND(INDEX(Mob_Demob!$D$6:$D$14,MATCH(AM410,Mob_Demob!$A$6:$A$14,0))="",INDEX(Mob_Demob!$G$6:$G$14,MATCH(AM410,Mob_Demob!$A$6:$A$14,0))=""),"",ROUND(MAX(N(INDEX(Mob_Demob!$G$6:$G$14,MATCH(AM410,Mob_Demob!$A$6:$A$14,0))),N(INDEX(Mob_Demob!$D$6:$D$14,MATCH(AM410,Mob_Demob!$A$6:$A$14,0)))*Settings!$B$6)+IF(AP410="Y",N(INDEX(Mob_Demob!$I$6:$I$14,MATCH(AM410,Mob_Demob!$A$6:$A$14,0)))*Settings!$B$19,0)+N(INDEX(Mob_Demob!$L$6:$L$14,MATCH(AM410,Mob_Demob!$A$6:$A$14,0)))*N(INDEX(Mob_Demob!$K$6:$K$14,MATCH(AM410,Mob_Demob!$A$6:$A$14,0)))*Settings!$B$6+N(INDEX(Mob_Demob!$M$6:$M$14,MATCH(AM410,Mob_Demob!$A$6:$A$14,0)))*N(INDEX(Mob_Demob!$N$6:$N$14,MATCH(AM410,Mob_Demob!$A$6:$A$14,0))),0)),"")</f>
        <v>400</v>
      </c>
      <c r="AR410" s="16" t="n">
        <f aca="false">IF(AQ410="","",ROUND(AQ410*Settings!$B$18,0))</f>
        <v>400</v>
      </c>
      <c r="AS410" s="13" t="s">
        <v>2667</v>
      </c>
      <c r="AT410" s="14" t="s">
        <v>2668</v>
      </c>
      <c r="AU410" s="14" t="s">
        <v>341</v>
      </c>
    </row>
    <row r="411" customFormat="false" ht="64.15" hidden="false" customHeight="false" outlineLevel="0" collapsed="false">
      <c r="A411" s="21" t="s">
        <v>2678</v>
      </c>
      <c r="B411" s="21" t="s">
        <v>2477</v>
      </c>
      <c r="C411" s="21" t="s">
        <v>2662</v>
      </c>
      <c r="D411" s="21" t="s">
        <v>2663</v>
      </c>
      <c r="E411" s="22" t="s">
        <v>2679</v>
      </c>
      <c r="F411" s="13" t="s">
        <v>2665</v>
      </c>
      <c r="G411" s="13" t="s">
        <v>2680</v>
      </c>
      <c r="H411" s="13" t="s">
        <v>462</v>
      </c>
      <c r="I411" s="14"/>
      <c r="J411" s="15"/>
      <c r="K411" s="13"/>
      <c r="L411" s="13"/>
      <c r="M411" s="13"/>
      <c r="N411" s="13" t="s">
        <v>1154</v>
      </c>
      <c r="O411" s="13" t="s">
        <v>504</v>
      </c>
      <c r="P411" s="13" t="s">
        <v>186</v>
      </c>
      <c r="Q411" s="20" t="n">
        <v>119</v>
      </c>
      <c r="R411" s="20" t="n">
        <v>344</v>
      </c>
      <c r="S411" s="20" t="n">
        <v>997</v>
      </c>
      <c r="T411" s="16"/>
      <c r="U411" s="16"/>
      <c r="V411" s="13" t="s">
        <v>187</v>
      </c>
      <c r="W411" s="17"/>
      <c r="X411" s="13"/>
      <c r="Y411" s="13" t="s">
        <v>259</v>
      </c>
      <c r="Z411" s="13" t="s">
        <v>260</v>
      </c>
      <c r="AA411" s="13" t="s">
        <v>192</v>
      </c>
      <c r="AB411" s="13"/>
      <c r="AC411" s="17"/>
      <c r="AD411" s="13"/>
      <c r="AE411" s="19" t="n">
        <v>0</v>
      </c>
      <c r="AF411" s="19" t="n">
        <v>0</v>
      </c>
      <c r="AG411" s="19" t="n">
        <v>0</v>
      </c>
      <c r="AH411" s="13" t="s">
        <v>506</v>
      </c>
      <c r="AI411" s="17"/>
      <c r="AJ411" s="13" t="s">
        <v>188</v>
      </c>
      <c r="AK411" s="13" t="s">
        <v>188</v>
      </c>
      <c r="AL411" s="14" t="s">
        <v>194</v>
      </c>
      <c r="AM411" s="13" t="s">
        <v>507</v>
      </c>
      <c r="AN411" s="15"/>
      <c r="AO411" s="13"/>
      <c r="AP411" s="13" t="s">
        <v>196</v>
      </c>
      <c r="AQ411" s="16" t="n">
        <f aca="false">IFERROR(IF(AND(INDEX(Mob_Demob!$D$6:$D$14,MATCH(AM411,Mob_Demob!$A$6:$A$14,0))="",INDEX(Mob_Demob!$G$6:$G$14,MATCH(AM411,Mob_Demob!$A$6:$A$14,0))=""),"",ROUND(MAX(N(INDEX(Mob_Demob!$G$6:$G$14,MATCH(AM411,Mob_Demob!$A$6:$A$14,0))),N(INDEX(Mob_Demob!$D$6:$D$14,MATCH(AM411,Mob_Demob!$A$6:$A$14,0)))*Settings!$B$6)+IF(AP411="Y",N(INDEX(Mob_Demob!$I$6:$I$14,MATCH(AM411,Mob_Demob!$A$6:$A$14,0)))*Settings!$B$19,0)+N(INDEX(Mob_Demob!$L$6:$L$14,MATCH(AM411,Mob_Demob!$A$6:$A$14,0)))*N(INDEX(Mob_Demob!$K$6:$K$14,MATCH(AM411,Mob_Demob!$A$6:$A$14,0)))*Settings!$B$6+N(INDEX(Mob_Demob!$M$6:$M$14,MATCH(AM411,Mob_Demob!$A$6:$A$14,0)))*N(INDEX(Mob_Demob!$N$6:$N$14,MATCH(AM411,Mob_Demob!$A$6:$A$14,0))),0)),"")</f>
        <v>400</v>
      </c>
      <c r="AR411" s="16" t="n">
        <f aca="false">IF(AQ411="","",ROUND(AQ411*Settings!$B$18,0))</f>
        <v>400</v>
      </c>
      <c r="AS411" s="13" t="s">
        <v>2667</v>
      </c>
      <c r="AT411" s="14" t="s">
        <v>2668</v>
      </c>
      <c r="AU411" s="14" t="s">
        <v>341</v>
      </c>
    </row>
    <row r="412" customFormat="false" ht="64.15" hidden="false" customHeight="false" outlineLevel="0" collapsed="false">
      <c r="A412" s="21" t="s">
        <v>2681</v>
      </c>
      <c r="B412" s="21" t="s">
        <v>2477</v>
      </c>
      <c r="C412" s="21" t="s">
        <v>2662</v>
      </c>
      <c r="D412" s="21" t="s">
        <v>2663</v>
      </c>
      <c r="E412" s="22" t="s">
        <v>2682</v>
      </c>
      <c r="F412" s="13" t="s">
        <v>2665</v>
      </c>
      <c r="G412" s="13" t="s">
        <v>2683</v>
      </c>
      <c r="H412" s="13" t="s">
        <v>462</v>
      </c>
      <c r="I412" s="14"/>
      <c r="J412" s="15"/>
      <c r="K412" s="13"/>
      <c r="L412" s="13"/>
      <c r="M412" s="13"/>
      <c r="N412" s="13" t="s">
        <v>1154</v>
      </c>
      <c r="O412" s="13" t="s">
        <v>504</v>
      </c>
      <c r="P412" s="13" t="s">
        <v>186</v>
      </c>
      <c r="Q412" s="20" t="n">
        <v>185</v>
      </c>
      <c r="R412" s="20" t="n">
        <v>537</v>
      </c>
      <c r="S412" s="20" t="n">
        <v>1556</v>
      </c>
      <c r="T412" s="16"/>
      <c r="U412" s="16"/>
      <c r="V412" s="13" t="s">
        <v>187</v>
      </c>
      <c r="W412" s="17"/>
      <c r="X412" s="13"/>
      <c r="Y412" s="13" t="s">
        <v>259</v>
      </c>
      <c r="Z412" s="13" t="s">
        <v>260</v>
      </c>
      <c r="AA412" s="13" t="s">
        <v>192</v>
      </c>
      <c r="AB412" s="13"/>
      <c r="AC412" s="17"/>
      <c r="AD412" s="13"/>
      <c r="AE412" s="19" t="n">
        <v>0</v>
      </c>
      <c r="AF412" s="19" t="n">
        <v>0</v>
      </c>
      <c r="AG412" s="19" t="n">
        <v>0</v>
      </c>
      <c r="AH412" s="13" t="s">
        <v>506</v>
      </c>
      <c r="AI412" s="17"/>
      <c r="AJ412" s="13" t="s">
        <v>188</v>
      </c>
      <c r="AK412" s="13" t="s">
        <v>188</v>
      </c>
      <c r="AL412" s="14" t="s">
        <v>194</v>
      </c>
      <c r="AM412" s="13" t="s">
        <v>507</v>
      </c>
      <c r="AN412" s="15"/>
      <c r="AO412" s="13"/>
      <c r="AP412" s="13" t="s">
        <v>196</v>
      </c>
      <c r="AQ412" s="16" t="n">
        <f aca="false">IFERROR(IF(AND(INDEX(Mob_Demob!$D$6:$D$14,MATCH(AM412,Mob_Demob!$A$6:$A$14,0))="",INDEX(Mob_Demob!$G$6:$G$14,MATCH(AM412,Mob_Demob!$A$6:$A$14,0))=""),"",ROUND(MAX(N(INDEX(Mob_Demob!$G$6:$G$14,MATCH(AM412,Mob_Demob!$A$6:$A$14,0))),N(INDEX(Mob_Demob!$D$6:$D$14,MATCH(AM412,Mob_Demob!$A$6:$A$14,0)))*Settings!$B$6)+IF(AP412="Y",N(INDEX(Mob_Demob!$I$6:$I$14,MATCH(AM412,Mob_Demob!$A$6:$A$14,0)))*Settings!$B$19,0)+N(INDEX(Mob_Demob!$L$6:$L$14,MATCH(AM412,Mob_Demob!$A$6:$A$14,0)))*N(INDEX(Mob_Demob!$K$6:$K$14,MATCH(AM412,Mob_Demob!$A$6:$A$14,0)))*Settings!$B$6+N(INDEX(Mob_Demob!$M$6:$M$14,MATCH(AM412,Mob_Demob!$A$6:$A$14,0)))*N(INDEX(Mob_Demob!$N$6:$N$14,MATCH(AM412,Mob_Demob!$A$6:$A$14,0))),0)),"")</f>
        <v>400</v>
      </c>
      <c r="AR412" s="16" t="n">
        <f aca="false">IF(AQ412="","",ROUND(AQ412*Settings!$B$18,0))</f>
        <v>400</v>
      </c>
      <c r="AS412" s="13" t="s">
        <v>2667</v>
      </c>
      <c r="AT412" s="14" t="s">
        <v>2668</v>
      </c>
      <c r="AU412" s="14" t="s">
        <v>341</v>
      </c>
    </row>
    <row r="413" customFormat="false" ht="64.15" hidden="false" customHeight="false" outlineLevel="0" collapsed="false">
      <c r="A413" s="21" t="s">
        <v>2684</v>
      </c>
      <c r="B413" s="21" t="s">
        <v>2477</v>
      </c>
      <c r="C413" s="21" t="s">
        <v>2662</v>
      </c>
      <c r="D413" s="21" t="s">
        <v>2685</v>
      </c>
      <c r="E413" s="22" t="s">
        <v>2686</v>
      </c>
      <c r="F413" s="13" t="s">
        <v>2665</v>
      </c>
      <c r="G413" s="13" t="s">
        <v>2687</v>
      </c>
      <c r="H413" s="13" t="s">
        <v>462</v>
      </c>
      <c r="I413" s="14"/>
      <c r="J413" s="15"/>
      <c r="K413" s="13"/>
      <c r="L413" s="13"/>
      <c r="M413" s="13"/>
      <c r="N413" s="13" t="s">
        <v>1154</v>
      </c>
      <c r="O413" s="13" t="s">
        <v>504</v>
      </c>
      <c r="P413" s="13" t="s">
        <v>186</v>
      </c>
      <c r="Q413" s="20" t="n">
        <v>134</v>
      </c>
      <c r="R413" s="20" t="n">
        <v>388</v>
      </c>
      <c r="S413" s="20" t="n">
        <v>1126</v>
      </c>
      <c r="T413" s="16"/>
      <c r="U413" s="16"/>
      <c r="V413" s="13" t="s">
        <v>187</v>
      </c>
      <c r="W413" s="17"/>
      <c r="X413" s="13"/>
      <c r="Y413" s="13" t="s">
        <v>259</v>
      </c>
      <c r="Z413" s="13" t="s">
        <v>260</v>
      </c>
      <c r="AA413" s="13" t="s">
        <v>192</v>
      </c>
      <c r="AB413" s="13"/>
      <c r="AC413" s="17"/>
      <c r="AD413" s="13"/>
      <c r="AE413" s="19" t="n">
        <v>0</v>
      </c>
      <c r="AF413" s="19" t="n">
        <v>0</v>
      </c>
      <c r="AG413" s="19" t="n">
        <v>0</v>
      </c>
      <c r="AH413" s="13" t="s">
        <v>506</v>
      </c>
      <c r="AI413" s="17"/>
      <c r="AJ413" s="13" t="s">
        <v>188</v>
      </c>
      <c r="AK413" s="13" t="s">
        <v>188</v>
      </c>
      <c r="AL413" s="14" t="s">
        <v>194</v>
      </c>
      <c r="AM413" s="13" t="s">
        <v>507</v>
      </c>
      <c r="AN413" s="15"/>
      <c r="AO413" s="13"/>
      <c r="AP413" s="13" t="s">
        <v>196</v>
      </c>
      <c r="AQ413" s="16" t="n">
        <f aca="false">IFERROR(IF(AND(INDEX(Mob_Demob!$D$6:$D$14,MATCH(AM413,Mob_Demob!$A$6:$A$14,0))="",INDEX(Mob_Demob!$G$6:$G$14,MATCH(AM413,Mob_Demob!$A$6:$A$14,0))=""),"",ROUND(MAX(N(INDEX(Mob_Demob!$G$6:$G$14,MATCH(AM413,Mob_Demob!$A$6:$A$14,0))),N(INDEX(Mob_Demob!$D$6:$D$14,MATCH(AM413,Mob_Demob!$A$6:$A$14,0)))*Settings!$B$6)+IF(AP413="Y",N(INDEX(Mob_Demob!$I$6:$I$14,MATCH(AM413,Mob_Demob!$A$6:$A$14,0)))*Settings!$B$19,0)+N(INDEX(Mob_Demob!$L$6:$L$14,MATCH(AM413,Mob_Demob!$A$6:$A$14,0)))*N(INDEX(Mob_Demob!$K$6:$K$14,MATCH(AM413,Mob_Demob!$A$6:$A$14,0)))*Settings!$B$6+N(INDEX(Mob_Demob!$M$6:$M$14,MATCH(AM413,Mob_Demob!$A$6:$A$14,0)))*N(INDEX(Mob_Demob!$N$6:$N$14,MATCH(AM413,Mob_Demob!$A$6:$A$14,0))),0)),"")</f>
        <v>400</v>
      </c>
      <c r="AR413" s="16" t="n">
        <f aca="false">IF(AQ413="","",ROUND(AQ413*Settings!$B$18,0))</f>
        <v>400</v>
      </c>
      <c r="AS413" s="13" t="s">
        <v>2667</v>
      </c>
      <c r="AT413" s="14" t="s">
        <v>2668</v>
      </c>
      <c r="AU413" s="14" t="s">
        <v>341</v>
      </c>
    </row>
    <row r="414" customFormat="false" ht="64.15" hidden="false" customHeight="false" outlineLevel="0" collapsed="false">
      <c r="A414" s="21" t="s">
        <v>2688</v>
      </c>
      <c r="B414" s="21" t="s">
        <v>2477</v>
      </c>
      <c r="C414" s="21" t="s">
        <v>2662</v>
      </c>
      <c r="D414" s="21" t="s">
        <v>2685</v>
      </c>
      <c r="E414" s="22" t="s">
        <v>2689</v>
      </c>
      <c r="F414" s="13" t="s">
        <v>2665</v>
      </c>
      <c r="G414" s="13" t="s">
        <v>2690</v>
      </c>
      <c r="H414" s="13" t="s">
        <v>462</v>
      </c>
      <c r="I414" s="14"/>
      <c r="J414" s="15"/>
      <c r="K414" s="13"/>
      <c r="L414" s="13"/>
      <c r="M414" s="13"/>
      <c r="N414" s="13" t="s">
        <v>1154</v>
      </c>
      <c r="O414" s="13" t="s">
        <v>504</v>
      </c>
      <c r="P414" s="13" t="s">
        <v>186</v>
      </c>
      <c r="Q414" s="20" t="n">
        <v>185</v>
      </c>
      <c r="R414" s="20" t="n">
        <v>538</v>
      </c>
      <c r="S414" s="20" t="n">
        <v>1559</v>
      </c>
      <c r="T414" s="16"/>
      <c r="U414" s="16"/>
      <c r="V414" s="13" t="s">
        <v>187</v>
      </c>
      <c r="W414" s="17"/>
      <c r="X414" s="13"/>
      <c r="Y414" s="13" t="s">
        <v>259</v>
      </c>
      <c r="Z414" s="13" t="s">
        <v>260</v>
      </c>
      <c r="AA414" s="13" t="s">
        <v>192</v>
      </c>
      <c r="AB414" s="13"/>
      <c r="AC414" s="17"/>
      <c r="AD414" s="13"/>
      <c r="AE414" s="19" t="n">
        <v>0</v>
      </c>
      <c r="AF414" s="19" t="n">
        <v>0</v>
      </c>
      <c r="AG414" s="19" t="n">
        <v>0</v>
      </c>
      <c r="AH414" s="13" t="s">
        <v>506</v>
      </c>
      <c r="AI414" s="17"/>
      <c r="AJ414" s="13" t="s">
        <v>188</v>
      </c>
      <c r="AK414" s="13" t="s">
        <v>188</v>
      </c>
      <c r="AL414" s="14" t="s">
        <v>194</v>
      </c>
      <c r="AM414" s="13" t="s">
        <v>507</v>
      </c>
      <c r="AN414" s="15"/>
      <c r="AO414" s="13"/>
      <c r="AP414" s="13" t="s">
        <v>196</v>
      </c>
      <c r="AQ414" s="16" t="n">
        <f aca="false">IFERROR(IF(AND(INDEX(Mob_Demob!$D$6:$D$14,MATCH(AM414,Mob_Demob!$A$6:$A$14,0))="",INDEX(Mob_Demob!$G$6:$G$14,MATCH(AM414,Mob_Demob!$A$6:$A$14,0))=""),"",ROUND(MAX(N(INDEX(Mob_Demob!$G$6:$G$14,MATCH(AM414,Mob_Demob!$A$6:$A$14,0))),N(INDEX(Mob_Demob!$D$6:$D$14,MATCH(AM414,Mob_Demob!$A$6:$A$14,0)))*Settings!$B$6)+IF(AP414="Y",N(INDEX(Mob_Demob!$I$6:$I$14,MATCH(AM414,Mob_Demob!$A$6:$A$14,0)))*Settings!$B$19,0)+N(INDEX(Mob_Demob!$L$6:$L$14,MATCH(AM414,Mob_Demob!$A$6:$A$14,0)))*N(INDEX(Mob_Demob!$K$6:$K$14,MATCH(AM414,Mob_Demob!$A$6:$A$14,0)))*Settings!$B$6+N(INDEX(Mob_Demob!$M$6:$M$14,MATCH(AM414,Mob_Demob!$A$6:$A$14,0)))*N(INDEX(Mob_Demob!$N$6:$N$14,MATCH(AM414,Mob_Demob!$A$6:$A$14,0))),0)),"")</f>
        <v>400</v>
      </c>
      <c r="AR414" s="16" t="n">
        <f aca="false">IF(AQ414="","",ROUND(AQ414*Settings!$B$18,0))</f>
        <v>400</v>
      </c>
      <c r="AS414" s="13" t="s">
        <v>2667</v>
      </c>
      <c r="AT414" s="14" t="s">
        <v>2668</v>
      </c>
      <c r="AU414" s="14" t="s">
        <v>341</v>
      </c>
    </row>
    <row r="415" customFormat="false" ht="64.15" hidden="false" customHeight="false" outlineLevel="0" collapsed="false">
      <c r="A415" s="21" t="s">
        <v>2691</v>
      </c>
      <c r="B415" s="21" t="s">
        <v>2477</v>
      </c>
      <c r="C415" s="21" t="s">
        <v>2662</v>
      </c>
      <c r="D415" s="21" t="s">
        <v>2692</v>
      </c>
      <c r="E415" s="22" t="s">
        <v>2693</v>
      </c>
      <c r="F415" s="13" t="s">
        <v>2665</v>
      </c>
      <c r="G415" s="13" t="s">
        <v>2694</v>
      </c>
      <c r="H415" s="13" t="s">
        <v>462</v>
      </c>
      <c r="I415" s="14"/>
      <c r="J415" s="15"/>
      <c r="K415" s="13"/>
      <c r="L415" s="13"/>
      <c r="M415" s="13"/>
      <c r="N415" s="13" t="s">
        <v>1154</v>
      </c>
      <c r="O415" s="13" t="s">
        <v>504</v>
      </c>
      <c r="P415" s="13" t="s">
        <v>186</v>
      </c>
      <c r="Q415" s="20" t="n">
        <v>162</v>
      </c>
      <c r="R415" s="20" t="n">
        <v>470</v>
      </c>
      <c r="S415" s="20" t="n">
        <v>1363</v>
      </c>
      <c r="T415" s="16"/>
      <c r="U415" s="16"/>
      <c r="V415" s="13" t="s">
        <v>187</v>
      </c>
      <c r="W415" s="17"/>
      <c r="X415" s="13"/>
      <c r="Y415" s="13" t="s">
        <v>259</v>
      </c>
      <c r="Z415" s="13" t="s">
        <v>260</v>
      </c>
      <c r="AA415" s="13" t="s">
        <v>192</v>
      </c>
      <c r="AB415" s="13"/>
      <c r="AC415" s="17"/>
      <c r="AD415" s="13"/>
      <c r="AE415" s="19" t="n">
        <v>0</v>
      </c>
      <c r="AF415" s="19" t="n">
        <v>0</v>
      </c>
      <c r="AG415" s="19" t="n">
        <v>0</v>
      </c>
      <c r="AH415" s="13" t="s">
        <v>506</v>
      </c>
      <c r="AI415" s="17"/>
      <c r="AJ415" s="13" t="s">
        <v>188</v>
      </c>
      <c r="AK415" s="13" t="s">
        <v>188</v>
      </c>
      <c r="AL415" s="14" t="s">
        <v>194</v>
      </c>
      <c r="AM415" s="13" t="s">
        <v>507</v>
      </c>
      <c r="AN415" s="15"/>
      <c r="AO415" s="13"/>
      <c r="AP415" s="13" t="s">
        <v>196</v>
      </c>
      <c r="AQ415" s="16" t="n">
        <f aca="false">IFERROR(IF(AND(INDEX(Mob_Demob!$D$6:$D$14,MATCH(AM415,Mob_Demob!$A$6:$A$14,0))="",INDEX(Mob_Demob!$G$6:$G$14,MATCH(AM415,Mob_Demob!$A$6:$A$14,0))=""),"",ROUND(MAX(N(INDEX(Mob_Demob!$G$6:$G$14,MATCH(AM415,Mob_Demob!$A$6:$A$14,0))),N(INDEX(Mob_Demob!$D$6:$D$14,MATCH(AM415,Mob_Demob!$A$6:$A$14,0)))*Settings!$B$6)+IF(AP415="Y",N(INDEX(Mob_Demob!$I$6:$I$14,MATCH(AM415,Mob_Demob!$A$6:$A$14,0)))*Settings!$B$19,0)+N(INDEX(Mob_Demob!$L$6:$L$14,MATCH(AM415,Mob_Demob!$A$6:$A$14,0)))*N(INDEX(Mob_Demob!$K$6:$K$14,MATCH(AM415,Mob_Demob!$A$6:$A$14,0)))*Settings!$B$6+N(INDEX(Mob_Demob!$M$6:$M$14,MATCH(AM415,Mob_Demob!$A$6:$A$14,0)))*N(INDEX(Mob_Demob!$N$6:$N$14,MATCH(AM415,Mob_Demob!$A$6:$A$14,0))),0)),"")</f>
        <v>400</v>
      </c>
      <c r="AR415" s="16" t="n">
        <f aca="false">IF(AQ415="","",ROUND(AQ415*Settings!$B$18,0))</f>
        <v>400</v>
      </c>
      <c r="AS415" s="13" t="s">
        <v>2667</v>
      </c>
      <c r="AT415" s="14" t="s">
        <v>2668</v>
      </c>
      <c r="AU415" s="14" t="s">
        <v>341</v>
      </c>
    </row>
    <row r="416" customFormat="false" ht="64.15" hidden="false" customHeight="false" outlineLevel="0" collapsed="false">
      <c r="A416" s="21" t="s">
        <v>2695</v>
      </c>
      <c r="B416" s="21" t="s">
        <v>2477</v>
      </c>
      <c r="C416" s="21" t="s">
        <v>2662</v>
      </c>
      <c r="D416" s="21" t="s">
        <v>2692</v>
      </c>
      <c r="E416" s="22" t="s">
        <v>2696</v>
      </c>
      <c r="F416" s="13" t="s">
        <v>2665</v>
      </c>
      <c r="G416" s="13" t="s">
        <v>2666</v>
      </c>
      <c r="H416" s="13" t="s">
        <v>462</v>
      </c>
      <c r="I416" s="14"/>
      <c r="J416" s="15"/>
      <c r="K416" s="13"/>
      <c r="L416" s="13"/>
      <c r="M416" s="13"/>
      <c r="N416" s="13" t="s">
        <v>1154</v>
      </c>
      <c r="O416" s="13" t="s">
        <v>504</v>
      </c>
      <c r="P416" s="13" t="s">
        <v>186</v>
      </c>
      <c r="Q416" s="20" t="n">
        <v>224</v>
      </c>
      <c r="R416" s="20" t="n">
        <v>651</v>
      </c>
      <c r="S416" s="20" t="n">
        <v>1887</v>
      </c>
      <c r="T416" s="16"/>
      <c r="U416" s="16"/>
      <c r="V416" s="13" t="s">
        <v>187</v>
      </c>
      <c r="W416" s="17"/>
      <c r="X416" s="13"/>
      <c r="Y416" s="13" t="s">
        <v>259</v>
      </c>
      <c r="Z416" s="13" t="s">
        <v>260</v>
      </c>
      <c r="AA416" s="13" t="s">
        <v>192</v>
      </c>
      <c r="AB416" s="13"/>
      <c r="AC416" s="17"/>
      <c r="AD416" s="13"/>
      <c r="AE416" s="19" t="n">
        <v>0</v>
      </c>
      <c r="AF416" s="19" t="n">
        <v>0</v>
      </c>
      <c r="AG416" s="19" t="n">
        <v>0</v>
      </c>
      <c r="AH416" s="13" t="s">
        <v>506</v>
      </c>
      <c r="AI416" s="17"/>
      <c r="AJ416" s="13" t="s">
        <v>188</v>
      </c>
      <c r="AK416" s="13" t="s">
        <v>188</v>
      </c>
      <c r="AL416" s="14" t="s">
        <v>194</v>
      </c>
      <c r="AM416" s="13" t="s">
        <v>507</v>
      </c>
      <c r="AN416" s="15"/>
      <c r="AO416" s="13"/>
      <c r="AP416" s="13" t="s">
        <v>196</v>
      </c>
      <c r="AQ416" s="16" t="n">
        <f aca="false">IFERROR(IF(AND(INDEX(Mob_Demob!$D$6:$D$14,MATCH(AM416,Mob_Demob!$A$6:$A$14,0))="",INDEX(Mob_Demob!$G$6:$G$14,MATCH(AM416,Mob_Demob!$A$6:$A$14,0))=""),"",ROUND(MAX(N(INDEX(Mob_Demob!$G$6:$G$14,MATCH(AM416,Mob_Demob!$A$6:$A$14,0))),N(INDEX(Mob_Demob!$D$6:$D$14,MATCH(AM416,Mob_Demob!$A$6:$A$14,0)))*Settings!$B$6)+IF(AP416="Y",N(INDEX(Mob_Demob!$I$6:$I$14,MATCH(AM416,Mob_Demob!$A$6:$A$14,0)))*Settings!$B$19,0)+N(INDEX(Mob_Demob!$L$6:$L$14,MATCH(AM416,Mob_Demob!$A$6:$A$14,0)))*N(INDEX(Mob_Demob!$K$6:$K$14,MATCH(AM416,Mob_Demob!$A$6:$A$14,0)))*Settings!$B$6+N(INDEX(Mob_Demob!$M$6:$M$14,MATCH(AM416,Mob_Demob!$A$6:$A$14,0)))*N(INDEX(Mob_Demob!$N$6:$N$14,MATCH(AM416,Mob_Demob!$A$6:$A$14,0))),0)),"")</f>
        <v>400</v>
      </c>
      <c r="AR416" s="16" t="n">
        <f aca="false">IF(AQ416="","",ROUND(AQ416*Settings!$B$18,0))</f>
        <v>400</v>
      </c>
      <c r="AS416" s="13" t="s">
        <v>2667</v>
      </c>
      <c r="AT416" s="14" t="s">
        <v>2668</v>
      </c>
      <c r="AU416" s="14" t="s">
        <v>341</v>
      </c>
    </row>
    <row r="417" customFormat="false" ht="64.15" hidden="false" customHeight="false" outlineLevel="0" collapsed="false">
      <c r="A417" s="21" t="s">
        <v>2697</v>
      </c>
      <c r="B417" s="21" t="s">
        <v>2477</v>
      </c>
      <c r="C417" s="21" t="s">
        <v>2662</v>
      </c>
      <c r="D417" s="21" t="s">
        <v>2692</v>
      </c>
      <c r="E417" s="22" t="s">
        <v>2698</v>
      </c>
      <c r="F417" s="13" t="s">
        <v>2665</v>
      </c>
      <c r="G417" s="13" t="s">
        <v>2699</v>
      </c>
      <c r="H417" s="13" t="s">
        <v>462</v>
      </c>
      <c r="I417" s="14"/>
      <c r="J417" s="15"/>
      <c r="K417" s="13"/>
      <c r="L417" s="13"/>
      <c r="M417" s="13"/>
      <c r="N417" s="13" t="s">
        <v>1154</v>
      </c>
      <c r="O417" s="13" t="s">
        <v>504</v>
      </c>
      <c r="P417" s="13" t="s">
        <v>186</v>
      </c>
      <c r="Q417" s="20" t="n">
        <v>110</v>
      </c>
      <c r="R417" s="20" t="n">
        <v>330</v>
      </c>
      <c r="S417" s="20" t="n">
        <v>990</v>
      </c>
      <c r="T417" s="16"/>
      <c r="U417" s="16"/>
      <c r="V417" s="13" t="s">
        <v>187</v>
      </c>
      <c r="W417" s="17"/>
      <c r="X417" s="13"/>
      <c r="Y417" s="13" t="s">
        <v>722</v>
      </c>
      <c r="Z417" s="13" t="s">
        <v>723</v>
      </c>
      <c r="AA417" s="13" t="s">
        <v>192</v>
      </c>
      <c r="AB417" s="13"/>
      <c r="AC417" s="17"/>
      <c r="AD417" s="13"/>
      <c r="AE417" s="19" t="n">
        <v>0</v>
      </c>
      <c r="AF417" s="19" t="n">
        <v>0</v>
      </c>
      <c r="AG417" s="19" t="n">
        <v>0</v>
      </c>
      <c r="AH417" s="13" t="s">
        <v>506</v>
      </c>
      <c r="AI417" s="17"/>
      <c r="AJ417" s="13" t="s">
        <v>188</v>
      </c>
      <c r="AK417" s="13" t="s">
        <v>188</v>
      </c>
      <c r="AL417" s="14" t="s">
        <v>194</v>
      </c>
      <c r="AM417" s="13" t="s">
        <v>1147</v>
      </c>
      <c r="AN417" s="15"/>
      <c r="AO417" s="13"/>
      <c r="AP417" s="13" t="s">
        <v>196</v>
      </c>
      <c r="AQ417" s="16" t="n">
        <f aca="false">IFERROR(IF(AND(INDEX(Mob_Demob!$D$6:$D$14,MATCH(AM417,Mob_Demob!$A$6:$A$14,0))="",INDEX(Mob_Demob!$G$6:$G$14,MATCH(AM417,Mob_Demob!$A$6:$A$14,0))=""),"",ROUND(MAX(N(INDEX(Mob_Demob!$G$6:$G$14,MATCH(AM417,Mob_Demob!$A$6:$A$14,0))),N(INDEX(Mob_Demob!$D$6:$D$14,MATCH(AM417,Mob_Demob!$A$6:$A$14,0)))*Settings!$B$6)+IF(AP417="Y",N(INDEX(Mob_Demob!$I$6:$I$14,MATCH(AM417,Mob_Demob!$A$6:$A$14,0)))*Settings!$B$19,0)+N(INDEX(Mob_Demob!$L$6:$L$14,MATCH(AM417,Mob_Demob!$A$6:$A$14,0)))*N(INDEX(Mob_Demob!$K$6:$K$14,MATCH(AM417,Mob_Demob!$A$6:$A$14,0)))*Settings!$B$6+N(INDEX(Mob_Demob!$M$6:$M$14,MATCH(AM417,Mob_Demob!$A$6:$A$14,0)))*N(INDEX(Mob_Demob!$N$6:$N$14,MATCH(AM417,Mob_Demob!$A$6:$A$14,0))),0)),"")</f>
        <v>200</v>
      </c>
      <c r="AR417" s="16" t="n">
        <f aca="false">IF(AQ417="","",ROUND(AQ417*Settings!$B$18,0))</f>
        <v>200</v>
      </c>
      <c r="AS417" s="13" t="s">
        <v>2667</v>
      </c>
      <c r="AT417" s="14" t="s">
        <v>2700</v>
      </c>
      <c r="AU417" s="14" t="s">
        <v>341</v>
      </c>
    </row>
    <row r="418" customFormat="false" ht="64.15" hidden="false" customHeight="false" outlineLevel="0" collapsed="false">
      <c r="A418" s="21" t="s">
        <v>2701</v>
      </c>
      <c r="B418" s="21" t="s">
        <v>2477</v>
      </c>
      <c r="C418" s="21" t="s">
        <v>2702</v>
      </c>
      <c r="D418" s="21" t="s">
        <v>2663</v>
      </c>
      <c r="E418" s="22" t="s">
        <v>2703</v>
      </c>
      <c r="F418" s="13" t="s">
        <v>1549</v>
      </c>
      <c r="G418" s="13" t="s">
        <v>2704</v>
      </c>
      <c r="H418" s="13" t="s">
        <v>462</v>
      </c>
      <c r="I418" s="14"/>
      <c r="J418" s="15"/>
      <c r="K418" s="13"/>
      <c r="L418" s="13"/>
      <c r="M418" s="13"/>
      <c r="N418" s="13" t="s">
        <v>1154</v>
      </c>
      <c r="O418" s="13" t="s">
        <v>504</v>
      </c>
      <c r="P418" s="13" t="s">
        <v>186</v>
      </c>
      <c r="Q418" s="20" t="n">
        <v>21</v>
      </c>
      <c r="R418" s="20" t="n">
        <v>61</v>
      </c>
      <c r="S418" s="20" t="n">
        <v>178</v>
      </c>
      <c r="T418" s="16"/>
      <c r="U418" s="16"/>
      <c r="V418" s="13" t="s">
        <v>187</v>
      </c>
      <c r="W418" s="17"/>
      <c r="X418" s="13"/>
      <c r="Y418" s="13" t="s">
        <v>259</v>
      </c>
      <c r="Z418" s="13" t="s">
        <v>260</v>
      </c>
      <c r="AA418" s="13" t="s">
        <v>192</v>
      </c>
      <c r="AB418" s="13"/>
      <c r="AC418" s="17"/>
      <c r="AD418" s="13"/>
      <c r="AE418" s="19" t="n">
        <v>0</v>
      </c>
      <c r="AF418" s="19" t="n">
        <v>0</v>
      </c>
      <c r="AG418" s="19" t="n">
        <v>0</v>
      </c>
      <c r="AH418" s="13" t="s">
        <v>506</v>
      </c>
      <c r="AI418" s="17"/>
      <c r="AJ418" s="13" t="s">
        <v>188</v>
      </c>
      <c r="AK418" s="13" t="s">
        <v>188</v>
      </c>
      <c r="AL418" s="14" t="s">
        <v>194</v>
      </c>
      <c r="AM418" s="13" t="s">
        <v>507</v>
      </c>
      <c r="AN418" s="15"/>
      <c r="AO418" s="13"/>
      <c r="AP418" s="13" t="s">
        <v>196</v>
      </c>
      <c r="AQ418" s="16" t="n">
        <f aca="false">IFERROR(IF(AND(INDEX(Mob_Demob!$D$6:$D$14,MATCH(AM418,Mob_Demob!$A$6:$A$14,0))="",INDEX(Mob_Demob!$G$6:$G$14,MATCH(AM418,Mob_Demob!$A$6:$A$14,0))=""),"",ROUND(MAX(N(INDEX(Mob_Demob!$G$6:$G$14,MATCH(AM418,Mob_Demob!$A$6:$A$14,0))),N(INDEX(Mob_Demob!$D$6:$D$14,MATCH(AM418,Mob_Demob!$A$6:$A$14,0)))*Settings!$B$6)+IF(AP418="Y",N(INDEX(Mob_Demob!$I$6:$I$14,MATCH(AM418,Mob_Demob!$A$6:$A$14,0)))*Settings!$B$19,0)+N(INDEX(Mob_Demob!$L$6:$L$14,MATCH(AM418,Mob_Demob!$A$6:$A$14,0)))*N(INDEX(Mob_Demob!$K$6:$K$14,MATCH(AM418,Mob_Demob!$A$6:$A$14,0)))*Settings!$B$6+N(INDEX(Mob_Demob!$M$6:$M$14,MATCH(AM418,Mob_Demob!$A$6:$A$14,0)))*N(INDEX(Mob_Demob!$N$6:$N$14,MATCH(AM418,Mob_Demob!$A$6:$A$14,0))),0)),"")</f>
        <v>400</v>
      </c>
      <c r="AR418" s="16" t="n">
        <f aca="false">IF(AQ418="","",ROUND(AQ418*Settings!$B$18,0))</f>
        <v>400</v>
      </c>
      <c r="AS418" s="13" t="s">
        <v>2667</v>
      </c>
      <c r="AT418" s="14" t="s">
        <v>2705</v>
      </c>
      <c r="AU418" s="14" t="s">
        <v>341</v>
      </c>
    </row>
    <row r="419" customFormat="false" ht="64.15" hidden="false" customHeight="false" outlineLevel="0" collapsed="false">
      <c r="A419" s="21" t="s">
        <v>2706</v>
      </c>
      <c r="B419" s="21" t="s">
        <v>2477</v>
      </c>
      <c r="C419" s="21" t="s">
        <v>2702</v>
      </c>
      <c r="D419" s="21" t="s">
        <v>2663</v>
      </c>
      <c r="E419" s="22" t="s">
        <v>2707</v>
      </c>
      <c r="F419" s="13" t="s">
        <v>1549</v>
      </c>
      <c r="G419" s="13" t="s">
        <v>2666</v>
      </c>
      <c r="H419" s="13" t="s">
        <v>462</v>
      </c>
      <c r="I419" s="14"/>
      <c r="J419" s="15"/>
      <c r="K419" s="13"/>
      <c r="L419" s="13"/>
      <c r="M419" s="13"/>
      <c r="N419" s="13" t="s">
        <v>1154</v>
      </c>
      <c r="O419" s="13" t="s">
        <v>504</v>
      </c>
      <c r="P419" s="13" t="s">
        <v>186</v>
      </c>
      <c r="Q419" s="20" t="n">
        <v>39</v>
      </c>
      <c r="R419" s="20" t="n">
        <v>114</v>
      </c>
      <c r="S419" s="20" t="n">
        <v>330</v>
      </c>
      <c r="T419" s="16"/>
      <c r="U419" s="16"/>
      <c r="V419" s="13" t="s">
        <v>187</v>
      </c>
      <c r="W419" s="17"/>
      <c r="X419" s="13"/>
      <c r="Y419" s="13" t="s">
        <v>259</v>
      </c>
      <c r="Z419" s="13" t="s">
        <v>260</v>
      </c>
      <c r="AA419" s="13" t="s">
        <v>192</v>
      </c>
      <c r="AB419" s="13"/>
      <c r="AC419" s="17"/>
      <c r="AD419" s="13"/>
      <c r="AE419" s="19" t="n">
        <v>0</v>
      </c>
      <c r="AF419" s="19" t="n">
        <v>0</v>
      </c>
      <c r="AG419" s="19" t="n">
        <v>0</v>
      </c>
      <c r="AH419" s="13" t="s">
        <v>506</v>
      </c>
      <c r="AI419" s="17"/>
      <c r="AJ419" s="13" t="s">
        <v>188</v>
      </c>
      <c r="AK419" s="13" t="s">
        <v>188</v>
      </c>
      <c r="AL419" s="14" t="s">
        <v>194</v>
      </c>
      <c r="AM419" s="13" t="s">
        <v>507</v>
      </c>
      <c r="AN419" s="15"/>
      <c r="AO419" s="13"/>
      <c r="AP419" s="13" t="s">
        <v>196</v>
      </c>
      <c r="AQ419" s="16" t="n">
        <f aca="false">IFERROR(IF(AND(INDEX(Mob_Demob!$D$6:$D$14,MATCH(AM419,Mob_Demob!$A$6:$A$14,0))="",INDEX(Mob_Demob!$G$6:$G$14,MATCH(AM419,Mob_Demob!$A$6:$A$14,0))=""),"",ROUND(MAX(N(INDEX(Mob_Demob!$G$6:$G$14,MATCH(AM419,Mob_Demob!$A$6:$A$14,0))),N(INDEX(Mob_Demob!$D$6:$D$14,MATCH(AM419,Mob_Demob!$A$6:$A$14,0)))*Settings!$B$6)+IF(AP419="Y",N(INDEX(Mob_Demob!$I$6:$I$14,MATCH(AM419,Mob_Demob!$A$6:$A$14,0)))*Settings!$B$19,0)+N(INDEX(Mob_Demob!$L$6:$L$14,MATCH(AM419,Mob_Demob!$A$6:$A$14,0)))*N(INDEX(Mob_Demob!$K$6:$K$14,MATCH(AM419,Mob_Demob!$A$6:$A$14,0)))*Settings!$B$6+N(INDEX(Mob_Demob!$M$6:$M$14,MATCH(AM419,Mob_Demob!$A$6:$A$14,0)))*N(INDEX(Mob_Demob!$N$6:$N$14,MATCH(AM419,Mob_Demob!$A$6:$A$14,0))),0)),"")</f>
        <v>400</v>
      </c>
      <c r="AR419" s="16" t="n">
        <f aca="false">IF(AQ419="","",ROUND(AQ419*Settings!$B$18,0))</f>
        <v>400</v>
      </c>
      <c r="AS419" s="13" t="s">
        <v>2667</v>
      </c>
      <c r="AT419" s="14" t="s">
        <v>2705</v>
      </c>
      <c r="AU419" s="14" t="s">
        <v>341</v>
      </c>
    </row>
    <row r="420" customFormat="false" ht="64.15" hidden="false" customHeight="false" outlineLevel="0" collapsed="false">
      <c r="A420" s="21" t="s">
        <v>2708</v>
      </c>
      <c r="B420" s="21" t="s">
        <v>2477</v>
      </c>
      <c r="C420" s="21" t="s">
        <v>2702</v>
      </c>
      <c r="D420" s="21" t="s">
        <v>2663</v>
      </c>
      <c r="E420" s="22" t="s">
        <v>2709</v>
      </c>
      <c r="F420" s="13" t="s">
        <v>1549</v>
      </c>
      <c r="G420" s="13" t="s">
        <v>2674</v>
      </c>
      <c r="H420" s="13" t="s">
        <v>462</v>
      </c>
      <c r="I420" s="14"/>
      <c r="J420" s="15"/>
      <c r="K420" s="13"/>
      <c r="L420" s="13"/>
      <c r="M420" s="13"/>
      <c r="N420" s="13" t="s">
        <v>1154</v>
      </c>
      <c r="O420" s="13" t="s">
        <v>504</v>
      </c>
      <c r="P420" s="13" t="s">
        <v>186</v>
      </c>
      <c r="Q420" s="20" t="n">
        <v>64</v>
      </c>
      <c r="R420" s="20" t="n">
        <v>186</v>
      </c>
      <c r="S420" s="20" t="n">
        <v>541</v>
      </c>
      <c r="T420" s="16"/>
      <c r="U420" s="16"/>
      <c r="V420" s="13" t="s">
        <v>187</v>
      </c>
      <c r="W420" s="17"/>
      <c r="X420" s="13"/>
      <c r="Y420" s="13" t="s">
        <v>259</v>
      </c>
      <c r="Z420" s="13" t="s">
        <v>260</v>
      </c>
      <c r="AA420" s="13" t="s">
        <v>192</v>
      </c>
      <c r="AB420" s="13"/>
      <c r="AC420" s="17"/>
      <c r="AD420" s="13"/>
      <c r="AE420" s="19" t="n">
        <v>0</v>
      </c>
      <c r="AF420" s="19" t="n">
        <v>0</v>
      </c>
      <c r="AG420" s="19" t="n">
        <v>0</v>
      </c>
      <c r="AH420" s="13" t="s">
        <v>506</v>
      </c>
      <c r="AI420" s="17"/>
      <c r="AJ420" s="13" t="s">
        <v>188</v>
      </c>
      <c r="AK420" s="13" t="s">
        <v>188</v>
      </c>
      <c r="AL420" s="14" t="s">
        <v>194</v>
      </c>
      <c r="AM420" s="13" t="s">
        <v>507</v>
      </c>
      <c r="AN420" s="15"/>
      <c r="AO420" s="13"/>
      <c r="AP420" s="13" t="s">
        <v>196</v>
      </c>
      <c r="AQ420" s="16" t="n">
        <f aca="false">IFERROR(IF(AND(INDEX(Mob_Demob!$D$6:$D$14,MATCH(AM420,Mob_Demob!$A$6:$A$14,0))="",INDEX(Mob_Demob!$G$6:$G$14,MATCH(AM420,Mob_Demob!$A$6:$A$14,0))=""),"",ROUND(MAX(N(INDEX(Mob_Demob!$G$6:$G$14,MATCH(AM420,Mob_Demob!$A$6:$A$14,0))),N(INDEX(Mob_Demob!$D$6:$D$14,MATCH(AM420,Mob_Demob!$A$6:$A$14,0)))*Settings!$B$6)+IF(AP420="Y",N(INDEX(Mob_Demob!$I$6:$I$14,MATCH(AM420,Mob_Demob!$A$6:$A$14,0)))*Settings!$B$19,0)+N(INDEX(Mob_Demob!$L$6:$L$14,MATCH(AM420,Mob_Demob!$A$6:$A$14,0)))*N(INDEX(Mob_Demob!$K$6:$K$14,MATCH(AM420,Mob_Demob!$A$6:$A$14,0)))*Settings!$B$6+N(INDEX(Mob_Demob!$M$6:$M$14,MATCH(AM420,Mob_Demob!$A$6:$A$14,0)))*N(INDEX(Mob_Demob!$N$6:$N$14,MATCH(AM420,Mob_Demob!$A$6:$A$14,0))),0)),"")</f>
        <v>400</v>
      </c>
      <c r="AR420" s="16" t="n">
        <f aca="false">IF(AQ420="","",ROUND(AQ420*Settings!$B$18,0))</f>
        <v>400</v>
      </c>
      <c r="AS420" s="13" t="s">
        <v>2667</v>
      </c>
      <c r="AT420" s="14" t="s">
        <v>2705</v>
      </c>
      <c r="AU420" s="14" t="s">
        <v>341</v>
      </c>
    </row>
    <row r="421" customFormat="false" ht="64.15" hidden="false" customHeight="false" outlineLevel="0" collapsed="false">
      <c r="A421" s="21" t="s">
        <v>2710</v>
      </c>
      <c r="B421" s="21" t="s">
        <v>2477</v>
      </c>
      <c r="C421" s="21" t="s">
        <v>2711</v>
      </c>
      <c r="D421" s="21" t="s">
        <v>2712</v>
      </c>
      <c r="E421" s="22" t="s">
        <v>2712</v>
      </c>
      <c r="F421" s="13" t="s">
        <v>141</v>
      </c>
      <c r="G421" s="13"/>
      <c r="H421" s="13"/>
      <c r="I421" s="14"/>
      <c r="J421" s="15"/>
      <c r="K421" s="13"/>
      <c r="L421" s="13"/>
      <c r="M421" s="13"/>
      <c r="N421" s="13" t="s">
        <v>1154</v>
      </c>
      <c r="O421" s="13" t="s">
        <v>504</v>
      </c>
      <c r="P421" s="13" t="s">
        <v>186</v>
      </c>
      <c r="Q421" s="16"/>
      <c r="R421" s="16"/>
      <c r="S421" s="16"/>
      <c r="T421" s="16"/>
      <c r="U421" s="16"/>
      <c r="V421" s="13" t="s">
        <v>187</v>
      </c>
      <c r="W421" s="17"/>
      <c r="X421" s="13"/>
      <c r="Y421" s="13"/>
      <c r="Z421" s="13"/>
      <c r="AA421" s="13" t="s">
        <v>188</v>
      </c>
      <c r="AB421" s="13"/>
      <c r="AC421" s="17"/>
      <c r="AD421" s="13"/>
      <c r="AE421" s="19" t="n">
        <v>0</v>
      </c>
      <c r="AF421" s="19" t="n">
        <v>0</v>
      </c>
      <c r="AG421" s="19" t="n">
        <v>0</v>
      </c>
      <c r="AH421" s="13" t="s">
        <v>506</v>
      </c>
      <c r="AI421" s="17"/>
      <c r="AJ421" s="13" t="s">
        <v>188</v>
      </c>
      <c r="AK421" s="13" t="s">
        <v>188</v>
      </c>
      <c r="AL421" s="14" t="s">
        <v>194</v>
      </c>
      <c r="AM421" s="13" t="s">
        <v>507</v>
      </c>
      <c r="AN421" s="15"/>
      <c r="AO421" s="13"/>
      <c r="AP421" s="13" t="s">
        <v>196</v>
      </c>
      <c r="AQ421" s="16" t="n">
        <f aca="false">IFERROR(IF(AND(INDEX(Mob_Demob!$D$6:$D$14,MATCH(AM421,Mob_Demob!$A$6:$A$14,0))="",INDEX(Mob_Demob!$G$6:$G$14,MATCH(AM421,Mob_Demob!$A$6:$A$14,0))=""),"",ROUND(MAX(N(INDEX(Mob_Demob!$G$6:$G$14,MATCH(AM421,Mob_Demob!$A$6:$A$14,0))),N(INDEX(Mob_Demob!$D$6:$D$14,MATCH(AM421,Mob_Demob!$A$6:$A$14,0)))*Settings!$B$6)+IF(AP421="Y",N(INDEX(Mob_Demob!$I$6:$I$14,MATCH(AM421,Mob_Demob!$A$6:$A$14,0)))*Settings!$B$19,0)+N(INDEX(Mob_Demob!$L$6:$L$14,MATCH(AM421,Mob_Demob!$A$6:$A$14,0)))*N(INDEX(Mob_Demob!$K$6:$K$14,MATCH(AM421,Mob_Demob!$A$6:$A$14,0)))*Settings!$B$6+N(INDEX(Mob_Demob!$M$6:$M$14,MATCH(AM421,Mob_Demob!$A$6:$A$14,0)))*N(INDEX(Mob_Demob!$N$6:$N$14,MATCH(AM421,Mob_Demob!$A$6:$A$14,0))),0)),"")</f>
        <v>400</v>
      </c>
      <c r="AR421" s="16" t="n">
        <f aca="false">IF(AQ421="","",ROUND(AQ421*Settings!$B$18,0))</f>
        <v>400</v>
      </c>
      <c r="AS421" s="13" t="s">
        <v>2667</v>
      </c>
      <c r="AT421" s="14" t="s">
        <v>2713</v>
      </c>
      <c r="AU421" s="14" t="s">
        <v>251</v>
      </c>
    </row>
    <row r="422" customFormat="false" ht="64.15" hidden="false" customHeight="false" outlineLevel="0" collapsed="false">
      <c r="A422" s="21" t="s">
        <v>2714</v>
      </c>
      <c r="B422" s="21" t="s">
        <v>2477</v>
      </c>
      <c r="C422" s="21" t="s">
        <v>2711</v>
      </c>
      <c r="D422" s="21" t="s">
        <v>2715</v>
      </c>
      <c r="E422" s="22" t="s">
        <v>2715</v>
      </c>
      <c r="F422" s="13" t="s">
        <v>141</v>
      </c>
      <c r="G422" s="13"/>
      <c r="H422" s="13"/>
      <c r="I422" s="14"/>
      <c r="J422" s="15"/>
      <c r="K422" s="13"/>
      <c r="L422" s="13"/>
      <c r="M422" s="13"/>
      <c r="N422" s="13" t="s">
        <v>1154</v>
      </c>
      <c r="O422" s="13" t="s">
        <v>504</v>
      </c>
      <c r="P422" s="13" t="s">
        <v>186</v>
      </c>
      <c r="Q422" s="16"/>
      <c r="R422" s="16"/>
      <c r="S422" s="16"/>
      <c r="T422" s="16"/>
      <c r="U422" s="16"/>
      <c r="V422" s="13" t="s">
        <v>187</v>
      </c>
      <c r="W422" s="17"/>
      <c r="X422" s="13"/>
      <c r="Y422" s="13"/>
      <c r="Z422" s="13"/>
      <c r="AA422" s="13" t="s">
        <v>188</v>
      </c>
      <c r="AB422" s="13"/>
      <c r="AC422" s="17"/>
      <c r="AD422" s="13"/>
      <c r="AE422" s="19" t="n">
        <v>0</v>
      </c>
      <c r="AF422" s="19" t="n">
        <v>0</v>
      </c>
      <c r="AG422" s="19" t="n">
        <v>0</v>
      </c>
      <c r="AH422" s="13" t="s">
        <v>506</v>
      </c>
      <c r="AI422" s="17"/>
      <c r="AJ422" s="13" t="s">
        <v>188</v>
      </c>
      <c r="AK422" s="13" t="s">
        <v>188</v>
      </c>
      <c r="AL422" s="14" t="s">
        <v>194</v>
      </c>
      <c r="AM422" s="13" t="s">
        <v>507</v>
      </c>
      <c r="AN422" s="15"/>
      <c r="AO422" s="13"/>
      <c r="AP422" s="13" t="s">
        <v>196</v>
      </c>
      <c r="AQ422" s="16" t="n">
        <f aca="false">IFERROR(IF(AND(INDEX(Mob_Demob!$D$6:$D$14,MATCH(AM422,Mob_Demob!$A$6:$A$14,0))="",INDEX(Mob_Demob!$G$6:$G$14,MATCH(AM422,Mob_Demob!$A$6:$A$14,0))=""),"",ROUND(MAX(N(INDEX(Mob_Demob!$G$6:$G$14,MATCH(AM422,Mob_Demob!$A$6:$A$14,0))),N(INDEX(Mob_Demob!$D$6:$D$14,MATCH(AM422,Mob_Demob!$A$6:$A$14,0)))*Settings!$B$6)+IF(AP422="Y",N(INDEX(Mob_Demob!$I$6:$I$14,MATCH(AM422,Mob_Demob!$A$6:$A$14,0)))*Settings!$B$19,0)+N(INDEX(Mob_Demob!$L$6:$L$14,MATCH(AM422,Mob_Demob!$A$6:$A$14,0)))*N(INDEX(Mob_Demob!$K$6:$K$14,MATCH(AM422,Mob_Demob!$A$6:$A$14,0)))*Settings!$B$6+N(INDEX(Mob_Demob!$M$6:$M$14,MATCH(AM422,Mob_Demob!$A$6:$A$14,0)))*N(INDEX(Mob_Demob!$N$6:$N$14,MATCH(AM422,Mob_Demob!$A$6:$A$14,0))),0)),"")</f>
        <v>400</v>
      </c>
      <c r="AR422" s="16" t="n">
        <f aca="false">IF(AQ422="","",ROUND(AQ422*Settings!$B$18,0))</f>
        <v>400</v>
      </c>
      <c r="AS422" s="13" t="s">
        <v>2667</v>
      </c>
      <c r="AT422" s="14" t="s">
        <v>2713</v>
      </c>
      <c r="AU422" s="14" t="s">
        <v>251</v>
      </c>
    </row>
    <row r="423" customFormat="false" ht="64.15" hidden="false" customHeight="false" outlineLevel="0" collapsed="false">
      <c r="A423" s="21" t="s">
        <v>2716</v>
      </c>
      <c r="B423" s="21" t="s">
        <v>2477</v>
      </c>
      <c r="C423" s="21" t="s">
        <v>2711</v>
      </c>
      <c r="D423" s="21" t="s">
        <v>2717</v>
      </c>
      <c r="E423" s="22" t="s">
        <v>2718</v>
      </c>
      <c r="F423" s="13" t="s">
        <v>141</v>
      </c>
      <c r="G423" s="13"/>
      <c r="H423" s="13"/>
      <c r="I423" s="14"/>
      <c r="J423" s="15"/>
      <c r="K423" s="13"/>
      <c r="L423" s="13"/>
      <c r="M423" s="13"/>
      <c r="N423" s="13" t="s">
        <v>1154</v>
      </c>
      <c r="O423" s="13" t="s">
        <v>504</v>
      </c>
      <c r="P423" s="13" t="s">
        <v>186</v>
      </c>
      <c r="Q423" s="16"/>
      <c r="R423" s="16"/>
      <c r="S423" s="16"/>
      <c r="T423" s="16"/>
      <c r="U423" s="16"/>
      <c r="V423" s="13" t="s">
        <v>187</v>
      </c>
      <c r="W423" s="17"/>
      <c r="X423" s="13"/>
      <c r="Y423" s="13"/>
      <c r="Z423" s="13"/>
      <c r="AA423" s="13" t="s">
        <v>188</v>
      </c>
      <c r="AB423" s="13"/>
      <c r="AC423" s="17"/>
      <c r="AD423" s="13"/>
      <c r="AE423" s="19" t="n">
        <v>0</v>
      </c>
      <c r="AF423" s="19" t="n">
        <v>0</v>
      </c>
      <c r="AG423" s="19" t="n">
        <v>0</v>
      </c>
      <c r="AH423" s="13" t="s">
        <v>506</v>
      </c>
      <c r="AI423" s="17"/>
      <c r="AJ423" s="13" t="s">
        <v>188</v>
      </c>
      <c r="AK423" s="13" t="s">
        <v>188</v>
      </c>
      <c r="AL423" s="14" t="s">
        <v>194</v>
      </c>
      <c r="AM423" s="13" t="s">
        <v>507</v>
      </c>
      <c r="AN423" s="15"/>
      <c r="AO423" s="13"/>
      <c r="AP423" s="13" t="s">
        <v>196</v>
      </c>
      <c r="AQ423" s="16" t="n">
        <f aca="false">IFERROR(IF(AND(INDEX(Mob_Demob!$D$6:$D$14,MATCH(AM423,Mob_Demob!$A$6:$A$14,0))="",INDEX(Mob_Demob!$G$6:$G$14,MATCH(AM423,Mob_Demob!$A$6:$A$14,0))=""),"",ROUND(MAX(N(INDEX(Mob_Demob!$G$6:$G$14,MATCH(AM423,Mob_Demob!$A$6:$A$14,0))),N(INDEX(Mob_Demob!$D$6:$D$14,MATCH(AM423,Mob_Demob!$A$6:$A$14,0)))*Settings!$B$6)+IF(AP423="Y",N(INDEX(Mob_Demob!$I$6:$I$14,MATCH(AM423,Mob_Demob!$A$6:$A$14,0)))*Settings!$B$19,0)+N(INDEX(Mob_Demob!$L$6:$L$14,MATCH(AM423,Mob_Demob!$A$6:$A$14,0)))*N(INDEX(Mob_Demob!$K$6:$K$14,MATCH(AM423,Mob_Demob!$A$6:$A$14,0)))*Settings!$B$6+N(INDEX(Mob_Demob!$M$6:$M$14,MATCH(AM423,Mob_Demob!$A$6:$A$14,0)))*N(INDEX(Mob_Demob!$N$6:$N$14,MATCH(AM423,Mob_Demob!$A$6:$A$14,0))),0)),"")</f>
        <v>400</v>
      </c>
      <c r="AR423" s="16" t="n">
        <f aca="false">IF(AQ423="","",ROUND(AQ423*Settings!$B$18,0))</f>
        <v>400</v>
      </c>
      <c r="AS423" s="13" t="s">
        <v>2667</v>
      </c>
      <c r="AT423" s="14" t="s">
        <v>2713</v>
      </c>
      <c r="AU423" s="14" t="s">
        <v>251</v>
      </c>
    </row>
    <row r="424" customFormat="false" ht="53.7" hidden="false" customHeight="false" outlineLevel="0" collapsed="false">
      <c r="A424" s="11" t="s">
        <v>2719</v>
      </c>
      <c r="B424" s="11" t="s">
        <v>2720</v>
      </c>
      <c r="C424" s="11" t="s">
        <v>2721</v>
      </c>
      <c r="D424" s="11" t="s">
        <v>2722</v>
      </c>
      <c r="E424" s="12" t="s">
        <v>2723</v>
      </c>
      <c r="F424" s="13" t="s">
        <v>2724</v>
      </c>
      <c r="G424" s="13" t="n">
        <v>30</v>
      </c>
      <c r="H424" s="13" t="s">
        <v>926</v>
      </c>
      <c r="I424" s="14" t="s">
        <v>2725</v>
      </c>
      <c r="J424" s="15"/>
      <c r="K424" s="13" t="n">
        <v>178</v>
      </c>
      <c r="L424" s="13"/>
      <c r="M424" s="13"/>
      <c r="N424" s="13" t="s">
        <v>184</v>
      </c>
      <c r="O424" s="13" t="s">
        <v>185</v>
      </c>
      <c r="P424" s="13" t="s">
        <v>186</v>
      </c>
      <c r="Q424" s="16"/>
      <c r="R424" s="16"/>
      <c r="S424" s="16"/>
      <c r="T424" s="16"/>
      <c r="U424" s="16"/>
      <c r="V424" s="13" t="s">
        <v>187</v>
      </c>
      <c r="W424" s="17"/>
      <c r="X424" s="13"/>
      <c r="Y424" s="13"/>
      <c r="Z424" s="13"/>
      <c r="AA424" s="13" t="s">
        <v>188</v>
      </c>
      <c r="AB424" s="13" t="s">
        <v>2726</v>
      </c>
      <c r="AC424" s="17"/>
      <c r="AD424" s="13"/>
      <c r="AE424" s="19" t="n">
        <f aca="false">ROUND(K424*Settings!$B$11*Settings!$B$13,2)</f>
        <v>3.03</v>
      </c>
      <c r="AF424" s="19" t="n">
        <f aca="false">ROUND(K424*Settings!$B$11*Settings!$B$14,2)</f>
        <v>3.98</v>
      </c>
      <c r="AG424" s="19" t="n">
        <f aca="false">ROUND(K424*Settings!$B$11*Settings!$B$15,2)</f>
        <v>5.19</v>
      </c>
      <c r="AH424" s="13" t="s">
        <v>191</v>
      </c>
      <c r="AI424" s="17"/>
      <c r="AJ424" s="13" t="s">
        <v>188</v>
      </c>
      <c r="AK424" s="13" t="s">
        <v>188</v>
      </c>
      <c r="AL424" s="14" t="s">
        <v>2727</v>
      </c>
      <c r="AM424" s="13" t="s">
        <v>507</v>
      </c>
      <c r="AN424" s="15"/>
      <c r="AO424" s="13"/>
      <c r="AP424" s="13" t="s">
        <v>196</v>
      </c>
      <c r="AQ424" s="16" t="n">
        <f aca="false">IFERROR(IF(AND(INDEX(Mob_Demob!$D$6:$D$14,MATCH(AM424,Mob_Demob!$A$6:$A$14,0))="",INDEX(Mob_Demob!$G$6:$G$14,MATCH(AM424,Mob_Demob!$A$6:$A$14,0))=""),"",ROUND(MAX(N(INDEX(Mob_Demob!$G$6:$G$14,MATCH(AM424,Mob_Demob!$A$6:$A$14,0))),N(INDEX(Mob_Demob!$D$6:$D$14,MATCH(AM424,Mob_Demob!$A$6:$A$14,0)))*Settings!$B$6)+IF(AP424="Y",N(INDEX(Mob_Demob!$I$6:$I$14,MATCH(AM424,Mob_Demob!$A$6:$A$14,0)))*Settings!$B$19,0)+N(INDEX(Mob_Demob!$L$6:$L$14,MATCH(AM424,Mob_Demob!$A$6:$A$14,0)))*N(INDEX(Mob_Demob!$K$6:$K$14,MATCH(AM424,Mob_Demob!$A$6:$A$14,0)))*Settings!$B$6+N(INDEX(Mob_Demob!$M$6:$M$14,MATCH(AM424,Mob_Demob!$A$6:$A$14,0)))*N(INDEX(Mob_Demob!$N$6:$N$14,MATCH(AM424,Mob_Demob!$A$6:$A$14,0))),0)),"")</f>
        <v>400</v>
      </c>
      <c r="AR424" s="16" t="n">
        <f aca="false">IF(AQ424="","",ROUND(AQ424*Settings!$B$18,0))</f>
        <v>400</v>
      </c>
      <c r="AS424" s="13" t="s">
        <v>2728</v>
      </c>
      <c r="AT424" s="14" t="s">
        <v>2729</v>
      </c>
      <c r="AU424" s="14" t="s">
        <v>509</v>
      </c>
    </row>
    <row r="425" customFormat="false" ht="53.7" hidden="false" customHeight="false" outlineLevel="0" collapsed="false">
      <c r="A425" s="11" t="s">
        <v>2730</v>
      </c>
      <c r="B425" s="11" t="s">
        <v>2720</v>
      </c>
      <c r="C425" s="11" t="s">
        <v>2721</v>
      </c>
      <c r="D425" s="11" t="s">
        <v>2731</v>
      </c>
      <c r="E425" s="12" t="s">
        <v>2732</v>
      </c>
      <c r="F425" s="13" t="s">
        <v>2733</v>
      </c>
      <c r="G425" s="13" t="n">
        <v>14</v>
      </c>
      <c r="H425" s="13" t="s">
        <v>2734</v>
      </c>
      <c r="I425" s="14" t="s">
        <v>2735</v>
      </c>
      <c r="J425" s="15"/>
      <c r="K425" s="13"/>
      <c r="L425" s="13"/>
      <c r="M425" s="13"/>
      <c r="N425" s="13" t="s">
        <v>184</v>
      </c>
      <c r="O425" s="13" t="s">
        <v>2300</v>
      </c>
      <c r="P425" s="13" t="s">
        <v>186</v>
      </c>
      <c r="Q425" s="16"/>
      <c r="R425" s="16"/>
      <c r="S425" s="16"/>
      <c r="T425" s="16"/>
      <c r="U425" s="16"/>
      <c r="V425" s="13" t="s">
        <v>187</v>
      </c>
      <c r="W425" s="17"/>
      <c r="X425" s="13"/>
      <c r="Y425" s="13"/>
      <c r="Z425" s="13"/>
      <c r="AA425" s="13" t="s">
        <v>188</v>
      </c>
      <c r="AB425" s="13"/>
      <c r="AC425" s="17"/>
      <c r="AD425" s="13"/>
      <c r="AE425" s="19"/>
      <c r="AF425" s="19"/>
      <c r="AG425" s="19"/>
      <c r="AH425" s="13"/>
      <c r="AI425" s="17"/>
      <c r="AJ425" s="13" t="s">
        <v>188</v>
      </c>
      <c r="AK425" s="13" t="s">
        <v>188</v>
      </c>
      <c r="AL425" s="14" t="s">
        <v>2727</v>
      </c>
      <c r="AM425" s="13" t="s">
        <v>507</v>
      </c>
      <c r="AN425" s="15"/>
      <c r="AO425" s="13"/>
      <c r="AP425" s="13" t="s">
        <v>196</v>
      </c>
      <c r="AQ425" s="16" t="n">
        <f aca="false">IFERROR(IF(AND(INDEX(Mob_Demob!$D$6:$D$14,MATCH(AM425,Mob_Demob!$A$6:$A$14,0))="",INDEX(Mob_Demob!$G$6:$G$14,MATCH(AM425,Mob_Demob!$A$6:$A$14,0))=""),"",ROUND(MAX(N(INDEX(Mob_Demob!$G$6:$G$14,MATCH(AM425,Mob_Demob!$A$6:$A$14,0))),N(INDEX(Mob_Demob!$D$6:$D$14,MATCH(AM425,Mob_Demob!$A$6:$A$14,0)))*Settings!$B$6)+IF(AP425="Y",N(INDEX(Mob_Demob!$I$6:$I$14,MATCH(AM425,Mob_Demob!$A$6:$A$14,0)))*Settings!$B$19,0)+N(INDEX(Mob_Demob!$L$6:$L$14,MATCH(AM425,Mob_Demob!$A$6:$A$14,0)))*N(INDEX(Mob_Demob!$K$6:$K$14,MATCH(AM425,Mob_Demob!$A$6:$A$14,0)))*Settings!$B$6+N(INDEX(Mob_Demob!$M$6:$M$14,MATCH(AM425,Mob_Demob!$A$6:$A$14,0)))*N(INDEX(Mob_Demob!$N$6:$N$14,MATCH(AM425,Mob_Demob!$A$6:$A$14,0))),0)),"")</f>
        <v>400</v>
      </c>
      <c r="AR425" s="16" t="n">
        <f aca="false">IF(AQ425="","",ROUND(AQ425*Settings!$B$18,0))</f>
        <v>400</v>
      </c>
      <c r="AS425" s="13" t="s">
        <v>2736</v>
      </c>
      <c r="AT425" s="14" t="s">
        <v>2737</v>
      </c>
      <c r="AU425" s="14" t="s">
        <v>1712</v>
      </c>
    </row>
    <row r="426" customFormat="false" ht="53.7" hidden="false" customHeight="false" outlineLevel="0" collapsed="false">
      <c r="A426" s="11" t="s">
        <v>2738</v>
      </c>
      <c r="B426" s="11" t="s">
        <v>2720</v>
      </c>
      <c r="C426" s="11" t="s">
        <v>2721</v>
      </c>
      <c r="D426" s="11" t="s">
        <v>2731</v>
      </c>
      <c r="E426" s="12" t="s">
        <v>2739</v>
      </c>
      <c r="F426" s="13" t="s">
        <v>2733</v>
      </c>
      <c r="G426" s="13" t="n">
        <v>150</v>
      </c>
      <c r="H426" s="13" t="s">
        <v>2734</v>
      </c>
      <c r="I426" s="14" t="s">
        <v>2740</v>
      </c>
      <c r="J426" s="15"/>
      <c r="K426" s="13"/>
      <c r="L426" s="13"/>
      <c r="M426" s="13"/>
      <c r="N426" s="13" t="s">
        <v>184</v>
      </c>
      <c r="O426" s="13" t="s">
        <v>2300</v>
      </c>
      <c r="P426" s="13" t="s">
        <v>186</v>
      </c>
      <c r="Q426" s="16"/>
      <c r="R426" s="16"/>
      <c r="S426" s="16"/>
      <c r="T426" s="16"/>
      <c r="U426" s="16"/>
      <c r="V426" s="13" t="s">
        <v>187</v>
      </c>
      <c r="W426" s="17"/>
      <c r="X426" s="13"/>
      <c r="Y426" s="13"/>
      <c r="Z426" s="13"/>
      <c r="AA426" s="13" t="s">
        <v>188</v>
      </c>
      <c r="AB426" s="13"/>
      <c r="AC426" s="17"/>
      <c r="AD426" s="13"/>
      <c r="AE426" s="19"/>
      <c r="AF426" s="19"/>
      <c r="AG426" s="19"/>
      <c r="AH426" s="13"/>
      <c r="AI426" s="17"/>
      <c r="AJ426" s="13" t="s">
        <v>188</v>
      </c>
      <c r="AK426" s="13" t="s">
        <v>188</v>
      </c>
      <c r="AL426" s="14" t="s">
        <v>2727</v>
      </c>
      <c r="AM426" s="13" t="s">
        <v>507</v>
      </c>
      <c r="AN426" s="15"/>
      <c r="AO426" s="13"/>
      <c r="AP426" s="13" t="s">
        <v>196</v>
      </c>
      <c r="AQ426" s="16" t="n">
        <f aca="false">IFERROR(IF(AND(INDEX(Mob_Demob!$D$6:$D$14,MATCH(AM426,Mob_Demob!$A$6:$A$14,0))="",INDEX(Mob_Demob!$G$6:$G$14,MATCH(AM426,Mob_Demob!$A$6:$A$14,0))=""),"",ROUND(MAX(N(INDEX(Mob_Demob!$G$6:$G$14,MATCH(AM426,Mob_Demob!$A$6:$A$14,0))),N(INDEX(Mob_Demob!$D$6:$D$14,MATCH(AM426,Mob_Demob!$A$6:$A$14,0)))*Settings!$B$6)+IF(AP426="Y",N(INDEX(Mob_Demob!$I$6:$I$14,MATCH(AM426,Mob_Demob!$A$6:$A$14,0)))*Settings!$B$19,0)+N(INDEX(Mob_Demob!$L$6:$L$14,MATCH(AM426,Mob_Demob!$A$6:$A$14,0)))*N(INDEX(Mob_Demob!$K$6:$K$14,MATCH(AM426,Mob_Demob!$A$6:$A$14,0)))*Settings!$B$6+N(INDEX(Mob_Demob!$M$6:$M$14,MATCH(AM426,Mob_Demob!$A$6:$A$14,0)))*N(INDEX(Mob_Demob!$N$6:$N$14,MATCH(AM426,Mob_Demob!$A$6:$A$14,0))),0)),"")</f>
        <v>400</v>
      </c>
      <c r="AR426" s="16" t="n">
        <f aca="false">IF(AQ426="","",ROUND(AQ426*Settings!$B$18,0))</f>
        <v>400</v>
      </c>
      <c r="AS426" s="13" t="s">
        <v>2736</v>
      </c>
      <c r="AT426" s="14" t="s">
        <v>2737</v>
      </c>
      <c r="AU426" s="14" t="s">
        <v>1712</v>
      </c>
    </row>
    <row r="427" customFormat="false" ht="53.7" hidden="false" customHeight="false" outlineLevel="0" collapsed="false">
      <c r="A427" s="11" t="s">
        <v>2741</v>
      </c>
      <c r="B427" s="11" t="s">
        <v>2720</v>
      </c>
      <c r="C427" s="11" t="s">
        <v>2721</v>
      </c>
      <c r="D427" s="11" t="s">
        <v>2731</v>
      </c>
      <c r="E427" s="12" t="s">
        <v>2742</v>
      </c>
      <c r="F427" s="13" t="s">
        <v>2733</v>
      </c>
      <c r="G427" s="13" t="n">
        <v>500</v>
      </c>
      <c r="H427" s="13" t="s">
        <v>2734</v>
      </c>
      <c r="I427" s="14" t="s">
        <v>2743</v>
      </c>
      <c r="J427" s="15"/>
      <c r="K427" s="13"/>
      <c r="L427" s="13"/>
      <c r="M427" s="13"/>
      <c r="N427" s="13" t="s">
        <v>184</v>
      </c>
      <c r="O427" s="13" t="s">
        <v>2300</v>
      </c>
      <c r="P427" s="13" t="s">
        <v>186</v>
      </c>
      <c r="Q427" s="16"/>
      <c r="R427" s="16"/>
      <c r="S427" s="16"/>
      <c r="T427" s="16"/>
      <c r="U427" s="16"/>
      <c r="V427" s="13" t="s">
        <v>187</v>
      </c>
      <c r="W427" s="17"/>
      <c r="X427" s="13"/>
      <c r="Y427" s="13"/>
      <c r="Z427" s="13"/>
      <c r="AA427" s="13" t="s">
        <v>188</v>
      </c>
      <c r="AB427" s="13"/>
      <c r="AC427" s="17"/>
      <c r="AD427" s="13"/>
      <c r="AE427" s="19"/>
      <c r="AF427" s="19"/>
      <c r="AG427" s="19"/>
      <c r="AH427" s="13"/>
      <c r="AI427" s="17"/>
      <c r="AJ427" s="13" t="s">
        <v>188</v>
      </c>
      <c r="AK427" s="13" t="s">
        <v>188</v>
      </c>
      <c r="AL427" s="14" t="s">
        <v>2727</v>
      </c>
      <c r="AM427" s="13" t="s">
        <v>507</v>
      </c>
      <c r="AN427" s="15"/>
      <c r="AO427" s="13"/>
      <c r="AP427" s="13" t="s">
        <v>196</v>
      </c>
      <c r="AQ427" s="16" t="n">
        <f aca="false">IFERROR(IF(AND(INDEX(Mob_Demob!$D$6:$D$14,MATCH(AM427,Mob_Demob!$A$6:$A$14,0))="",INDEX(Mob_Demob!$G$6:$G$14,MATCH(AM427,Mob_Demob!$A$6:$A$14,0))=""),"",ROUND(MAX(N(INDEX(Mob_Demob!$G$6:$G$14,MATCH(AM427,Mob_Demob!$A$6:$A$14,0))),N(INDEX(Mob_Demob!$D$6:$D$14,MATCH(AM427,Mob_Demob!$A$6:$A$14,0)))*Settings!$B$6)+IF(AP427="Y",N(INDEX(Mob_Demob!$I$6:$I$14,MATCH(AM427,Mob_Demob!$A$6:$A$14,0)))*Settings!$B$19,0)+N(INDEX(Mob_Demob!$L$6:$L$14,MATCH(AM427,Mob_Demob!$A$6:$A$14,0)))*N(INDEX(Mob_Demob!$K$6:$K$14,MATCH(AM427,Mob_Demob!$A$6:$A$14,0)))*Settings!$B$6+N(INDEX(Mob_Demob!$M$6:$M$14,MATCH(AM427,Mob_Demob!$A$6:$A$14,0)))*N(INDEX(Mob_Demob!$N$6:$N$14,MATCH(AM427,Mob_Demob!$A$6:$A$14,0))),0)),"")</f>
        <v>400</v>
      </c>
      <c r="AR427" s="16" t="n">
        <f aca="false">IF(AQ427="","",ROUND(AQ427*Settings!$B$18,0))</f>
        <v>400</v>
      </c>
      <c r="AS427" s="13" t="s">
        <v>2736</v>
      </c>
      <c r="AT427" s="14" t="s">
        <v>2737</v>
      </c>
      <c r="AU427" s="14" t="s">
        <v>1712</v>
      </c>
    </row>
    <row r="428" customFormat="false" ht="53.7" hidden="false" customHeight="false" outlineLevel="0" collapsed="false">
      <c r="A428" s="11" t="s">
        <v>2744</v>
      </c>
      <c r="B428" s="11" t="s">
        <v>2720</v>
      </c>
      <c r="C428" s="11" t="s">
        <v>2745</v>
      </c>
      <c r="D428" s="11" t="s">
        <v>2746</v>
      </c>
      <c r="E428" s="12" t="s">
        <v>2746</v>
      </c>
      <c r="F428" s="13" t="s">
        <v>2747</v>
      </c>
      <c r="G428" s="13"/>
      <c r="H428" s="13" t="s">
        <v>2748</v>
      </c>
      <c r="I428" s="14"/>
      <c r="J428" s="15"/>
      <c r="K428" s="13"/>
      <c r="L428" s="13"/>
      <c r="M428" s="13"/>
      <c r="N428" s="13" t="s">
        <v>184</v>
      </c>
      <c r="O428" s="13" t="s">
        <v>2300</v>
      </c>
      <c r="P428" s="13" t="s">
        <v>186</v>
      </c>
      <c r="Q428" s="16"/>
      <c r="R428" s="16"/>
      <c r="S428" s="16"/>
      <c r="T428" s="16"/>
      <c r="U428" s="16"/>
      <c r="V428" s="13" t="s">
        <v>187</v>
      </c>
      <c r="W428" s="17"/>
      <c r="X428" s="13"/>
      <c r="Y428" s="13"/>
      <c r="Z428" s="13"/>
      <c r="AA428" s="13" t="s">
        <v>188</v>
      </c>
      <c r="AB428" s="13"/>
      <c r="AC428" s="17"/>
      <c r="AD428" s="13"/>
      <c r="AE428" s="19"/>
      <c r="AF428" s="19"/>
      <c r="AG428" s="19"/>
      <c r="AH428" s="13"/>
      <c r="AI428" s="17"/>
      <c r="AJ428" s="13" t="s">
        <v>188</v>
      </c>
      <c r="AK428" s="13" t="s">
        <v>188</v>
      </c>
      <c r="AL428" s="14" t="s">
        <v>2727</v>
      </c>
      <c r="AM428" s="13" t="s">
        <v>507</v>
      </c>
      <c r="AN428" s="15"/>
      <c r="AO428" s="13"/>
      <c r="AP428" s="13" t="s">
        <v>196</v>
      </c>
      <c r="AQ428" s="16" t="n">
        <f aca="false">IFERROR(IF(AND(INDEX(Mob_Demob!$D$6:$D$14,MATCH(AM428,Mob_Demob!$A$6:$A$14,0))="",INDEX(Mob_Demob!$G$6:$G$14,MATCH(AM428,Mob_Demob!$A$6:$A$14,0))=""),"",ROUND(MAX(N(INDEX(Mob_Demob!$G$6:$G$14,MATCH(AM428,Mob_Demob!$A$6:$A$14,0))),N(INDEX(Mob_Demob!$D$6:$D$14,MATCH(AM428,Mob_Demob!$A$6:$A$14,0)))*Settings!$B$6)+IF(AP428="Y",N(INDEX(Mob_Demob!$I$6:$I$14,MATCH(AM428,Mob_Demob!$A$6:$A$14,0)))*Settings!$B$19,0)+N(INDEX(Mob_Demob!$L$6:$L$14,MATCH(AM428,Mob_Demob!$A$6:$A$14,0)))*N(INDEX(Mob_Demob!$K$6:$K$14,MATCH(AM428,Mob_Demob!$A$6:$A$14,0)))*Settings!$B$6+N(INDEX(Mob_Demob!$M$6:$M$14,MATCH(AM428,Mob_Demob!$A$6:$A$14,0)))*N(INDEX(Mob_Demob!$N$6:$N$14,MATCH(AM428,Mob_Demob!$A$6:$A$14,0))),0)),"")</f>
        <v>400</v>
      </c>
      <c r="AR428" s="16" t="n">
        <f aca="false">IF(AQ428="","",ROUND(AQ428*Settings!$B$18,0))</f>
        <v>400</v>
      </c>
      <c r="AS428" s="13" t="s">
        <v>2749</v>
      </c>
      <c r="AT428" s="14" t="s">
        <v>2750</v>
      </c>
      <c r="AU428" s="14" t="s">
        <v>1712</v>
      </c>
    </row>
    <row r="429" customFormat="false" ht="53.7" hidden="false" customHeight="false" outlineLevel="0" collapsed="false">
      <c r="A429" s="11" t="s">
        <v>2751</v>
      </c>
      <c r="B429" s="11" t="s">
        <v>2720</v>
      </c>
      <c r="C429" s="11" t="s">
        <v>2745</v>
      </c>
      <c r="D429" s="11" t="s">
        <v>2752</v>
      </c>
      <c r="E429" s="12" t="s">
        <v>2752</v>
      </c>
      <c r="F429" s="13" t="s">
        <v>2747</v>
      </c>
      <c r="G429" s="13"/>
      <c r="H429" s="13" t="s">
        <v>2748</v>
      </c>
      <c r="I429" s="14"/>
      <c r="J429" s="15"/>
      <c r="K429" s="13"/>
      <c r="L429" s="13"/>
      <c r="M429" s="13"/>
      <c r="N429" s="13" t="s">
        <v>184</v>
      </c>
      <c r="O429" s="13" t="s">
        <v>2300</v>
      </c>
      <c r="P429" s="13" t="s">
        <v>186</v>
      </c>
      <c r="Q429" s="16"/>
      <c r="R429" s="16"/>
      <c r="S429" s="16"/>
      <c r="T429" s="16"/>
      <c r="U429" s="16"/>
      <c r="V429" s="13" t="s">
        <v>187</v>
      </c>
      <c r="W429" s="17"/>
      <c r="X429" s="13"/>
      <c r="Y429" s="13"/>
      <c r="Z429" s="13"/>
      <c r="AA429" s="13" t="s">
        <v>188</v>
      </c>
      <c r="AB429" s="13"/>
      <c r="AC429" s="17"/>
      <c r="AD429" s="13"/>
      <c r="AE429" s="19"/>
      <c r="AF429" s="19"/>
      <c r="AG429" s="19"/>
      <c r="AH429" s="13"/>
      <c r="AI429" s="17"/>
      <c r="AJ429" s="13" t="s">
        <v>188</v>
      </c>
      <c r="AK429" s="13" t="s">
        <v>188</v>
      </c>
      <c r="AL429" s="14" t="s">
        <v>2727</v>
      </c>
      <c r="AM429" s="13" t="s">
        <v>507</v>
      </c>
      <c r="AN429" s="15"/>
      <c r="AO429" s="13"/>
      <c r="AP429" s="13" t="s">
        <v>196</v>
      </c>
      <c r="AQ429" s="16" t="n">
        <f aca="false">IFERROR(IF(AND(INDEX(Mob_Demob!$D$6:$D$14,MATCH(AM429,Mob_Demob!$A$6:$A$14,0))="",INDEX(Mob_Demob!$G$6:$G$14,MATCH(AM429,Mob_Demob!$A$6:$A$14,0))=""),"",ROUND(MAX(N(INDEX(Mob_Demob!$G$6:$G$14,MATCH(AM429,Mob_Demob!$A$6:$A$14,0))),N(INDEX(Mob_Demob!$D$6:$D$14,MATCH(AM429,Mob_Demob!$A$6:$A$14,0)))*Settings!$B$6)+IF(AP429="Y",N(INDEX(Mob_Demob!$I$6:$I$14,MATCH(AM429,Mob_Demob!$A$6:$A$14,0)))*Settings!$B$19,0)+N(INDEX(Mob_Demob!$L$6:$L$14,MATCH(AM429,Mob_Demob!$A$6:$A$14,0)))*N(INDEX(Mob_Demob!$K$6:$K$14,MATCH(AM429,Mob_Demob!$A$6:$A$14,0)))*Settings!$B$6+N(INDEX(Mob_Demob!$M$6:$M$14,MATCH(AM429,Mob_Demob!$A$6:$A$14,0)))*N(INDEX(Mob_Demob!$N$6:$N$14,MATCH(AM429,Mob_Demob!$A$6:$A$14,0))),0)),"")</f>
        <v>400</v>
      </c>
      <c r="AR429" s="16" t="n">
        <f aca="false">IF(AQ429="","",ROUND(AQ429*Settings!$B$18,0))</f>
        <v>400</v>
      </c>
      <c r="AS429" s="13" t="s">
        <v>2749</v>
      </c>
      <c r="AT429" s="14" t="s">
        <v>2750</v>
      </c>
      <c r="AU429" s="14" t="s">
        <v>1712</v>
      </c>
    </row>
    <row r="430" customFormat="false" ht="53.7" hidden="false" customHeight="false" outlineLevel="0" collapsed="false">
      <c r="A430" s="11" t="s">
        <v>2753</v>
      </c>
      <c r="B430" s="11" t="s">
        <v>2720</v>
      </c>
      <c r="C430" s="11" t="s">
        <v>2745</v>
      </c>
      <c r="D430" s="11" t="s">
        <v>2754</v>
      </c>
      <c r="E430" s="12" t="s">
        <v>2755</v>
      </c>
      <c r="F430" s="13" t="s">
        <v>2747</v>
      </c>
      <c r="G430" s="13"/>
      <c r="H430" s="13" t="s">
        <v>2748</v>
      </c>
      <c r="I430" s="14"/>
      <c r="J430" s="15"/>
      <c r="K430" s="13"/>
      <c r="L430" s="13"/>
      <c r="M430" s="13"/>
      <c r="N430" s="13" t="s">
        <v>184</v>
      </c>
      <c r="O430" s="13" t="s">
        <v>2300</v>
      </c>
      <c r="P430" s="13" t="s">
        <v>186</v>
      </c>
      <c r="Q430" s="16"/>
      <c r="R430" s="16"/>
      <c r="S430" s="16"/>
      <c r="T430" s="16"/>
      <c r="U430" s="16"/>
      <c r="V430" s="13" t="s">
        <v>187</v>
      </c>
      <c r="W430" s="17"/>
      <c r="X430" s="13"/>
      <c r="Y430" s="13"/>
      <c r="Z430" s="13"/>
      <c r="AA430" s="13" t="s">
        <v>188</v>
      </c>
      <c r="AB430" s="13"/>
      <c r="AC430" s="17"/>
      <c r="AD430" s="13"/>
      <c r="AE430" s="19"/>
      <c r="AF430" s="19"/>
      <c r="AG430" s="19"/>
      <c r="AH430" s="13"/>
      <c r="AI430" s="17"/>
      <c r="AJ430" s="13" t="s">
        <v>188</v>
      </c>
      <c r="AK430" s="13" t="s">
        <v>188</v>
      </c>
      <c r="AL430" s="14" t="s">
        <v>2727</v>
      </c>
      <c r="AM430" s="13" t="s">
        <v>507</v>
      </c>
      <c r="AN430" s="15"/>
      <c r="AO430" s="13"/>
      <c r="AP430" s="13" t="s">
        <v>196</v>
      </c>
      <c r="AQ430" s="16" t="n">
        <f aca="false">IFERROR(IF(AND(INDEX(Mob_Demob!$D$6:$D$14,MATCH(AM430,Mob_Demob!$A$6:$A$14,0))="",INDEX(Mob_Demob!$G$6:$G$14,MATCH(AM430,Mob_Demob!$A$6:$A$14,0))=""),"",ROUND(MAX(N(INDEX(Mob_Demob!$G$6:$G$14,MATCH(AM430,Mob_Demob!$A$6:$A$14,0))),N(INDEX(Mob_Demob!$D$6:$D$14,MATCH(AM430,Mob_Demob!$A$6:$A$14,0)))*Settings!$B$6)+IF(AP430="Y",N(INDEX(Mob_Demob!$I$6:$I$14,MATCH(AM430,Mob_Demob!$A$6:$A$14,0)))*Settings!$B$19,0)+N(INDEX(Mob_Demob!$L$6:$L$14,MATCH(AM430,Mob_Demob!$A$6:$A$14,0)))*N(INDEX(Mob_Demob!$K$6:$K$14,MATCH(AM430,Mob_Demob!$A$6:$A$14,0)))*Settings!$B$6+N(INDEX(Mob_Demob!$M$6:$M$14,MATCH(AM430,Mob_Demob!$A$6:$A$14,0)))*N(INDEX(Mob_Demob!$N$6:$N$14,MATCH(AM430,Mob_Demob!$A$6:$A$14,0))),0)),"")</f>
        <v>400</v>
      </c>
      <c r="AR430" s="16" t="n">
        <f aca="false">IF(AQ430="","",ROUND(AQ430*Settings!$B$18,0))</f>
        <v>400</v>
      </c>
      <c r="AS430" s="13" t="s">
        <v>2749</v>
      </c>
      <c r="AT430" s="14" t="s">
        <v>2750</v>
      </c>
      <c r="AU430" s="14" t="s">
        <v>1712</v>
      </c>
    </row>
    <row r="431" customFormat="false" ht="53.7" hidden="false" customHeight="false" outlineLevel="0" collapsed="false">
      <c r="A431" s="11" t="s">
        <v>2756</v>
      </c>
      <c r="B431" s="11" t="s">
        <v>2720</v>
      </c>
      <c r="C431" s="11" t="s">
        <v>2757</v>
      </c>
      <c r="D431" s="11" t="s">
        <v>2758</v>
      </c>
      <c r="E431" s="12" t="s">
        <v>2759</v>
      </c>
      <c r="F431" s="13" t="s">
        <v>2760</v>
      </c>
      <c r="G431" s="13" t="n">
        <v>24</v>
      </c>
      <c r="H431" s="13" t="s">
        <v>462</v>
      </c>
      <c r="I431" s="14" t="s">
        <v>2761</v>
      </c>
      <c r="J431" s="15"/>
      <c r="K431" s="13"/>
      <c r="L431" s="13"/>
      <c r="M431" s="13" t="n">
        <v>24</v>
      </c>
      <c r="N431" s="13" t="s">
        <v>1154</v>
      </c>
      <c r="O431" s="13" t="s">
        <v>504</v>
      </c>
      <c r="P431" s="13" t="s">
        <v>186</v>
      </c>
      <c r="Q431" s="16"/>
      <c r="R431" s="16"/>
      <c r="S431" s="16"/>
      <c r="T431" s="16"/>
      <c r="U431" s="16"/>
      <c r="V431" s="13" t="s">
        <v>187</v>
      </c>
      <c r="W431" s="17"/>
      <c r="X431" s="13"/>
      <c r="Y431" s="13"/>
      <c r="Z431" s="13"/>
      <c r="AA431" s="13" t="s">
        <v>188</v>
      </c>
      <c r="AB431" s="13"/>
      <c r="AC431" s="17"/>
      <c r="AD431" s="13"/>
      <c r="AE431" s="19" t="n">
        <v>0</v>
      </c>
      <c r="AF431" s="19" t="n">
        <v>0</v>
      </c>
      <c r="AG431" s="19" t="n">
        <v>0</v>
      </c>
      <c r="AH431" s="13" t="s">
        <v>506</v>
      </c>
      <c r="AI431" s="17"/>
      <c r="AJ431" s="13" t="s">
        <v>188</v>
      </c>
      <c r="AK431" s="13" t="s">
        <v>188</v>
      </c>
      <c r="AL431" s="14" t="s">
        <v>2762</v>
      </c>
      <c r="AM431" s="13" t="s">
        <v>507</v>
      </c>
      <c r="AN431" s="15"/>
      <c r="AO431" s="13"/>
      <c r="AP431" s="13" t="s">
        <v>196</v>
      </c>
      <c r="AQ431" s="16" t="n">
        <f aca="false">IFERROR(IF(AND(INDEX(Mob_Demob!$D$6:$D$14,MATCH(AM431,Mob_Demob!$A$6:$A$14,0))="",INDEX(Mob_Demob!$G$6:$G$14,MATCH(AM431,Mob_Demob!$A$6:$A$14,0))=""),"",ROUND(MAX(N(INDEX(Mob_Demob!$G$6:$G$14,MATCH(AM431,Mob_Demob!$A$6:$A$14,0))),N(INDEX(Mob_Demob!$D$6:$D$14,MATCH(AM431,Mob_Demob!$A$6:$A$14,0)))*Settings!$B$6)+IF(AP431="Y",N(INDEX(Mob_Demob!$I$6:$I$14,MATCH(AM431,Mob_Demob!$A$6:$A$14,0)))*Settings!$B$19,0)+N(INDEX(Mob_Demob!$L$6:$L$14,MATCH(AM431,Mob_Demob!$A$6:$A$14,0)))*N(INDEX(Mob_Demob!$K$6:$K$14,MATCH(AM431,Mob_Demob!$A$6:$A$14,0)))*Settings!$B$6+N(INDEX(Mob_Demob!$M$6:$M$14,MATCH(AM431,Mob_Demob!$A$6:$A$14,0)))*N(INDEX(Mob_Demob!$N$6:$N$14,MATCH(AM431,Mob_Demob!$A$6:$A$14,0))),0)),"")</f>
        <v>400</v>
      </c>
      <c r="AR431" s="16" t="n">
        <f aca="false">IF(AQ431="","",ROUND(AQ431*Settings!$B$18,0))</f>
        <v>400</v>
      </c>
      <c r="AS431" s="13" t="s">
        <v>2749</v>
      </c>
      <c r="AT431" s="14"/>
      <c r="AU431" s="14" t="s">
        <v>251</v>
      </c>
    </row>
    <row r="432" customFormat="false" ht="53.7" hidden="false" customHeight="false" outlineLevel="0" collapsed="false">
      <c r="A432" s="11" t="s">
        <v>2763</v>
      </c>
      <c r="B432" s="11" t="s">
        <v>2720</v>
      </c>
      <c r="C432" s="11" t="s">
        <v>2757</v>
      </c>
      <c r="D432" s="11" t="s">
        <v>2758</v>
      </c>
      <c r="E432" s="12" t="s">
        <v>2764</v>
      </c>
      <c r="F432" s="13" t="s">
        <v>2760</v>
      </c>
      <c r="G432" s="13" t="n">
        <v>49</v>
      </c>
      <c r="H432" s="13" t="s">
        <v>462</v>
      </c>
      <c r="I432" s="14" t="s">
        <v>2761</v>
      </c>
      <c r="J432" s="15"/>
      <c r="K432" s="13"/>
      <c r="L432" s="13"/>
      <c r="M432" s="13" t="n">
        <v>49</v>
      </c>
      <c r="N432" s="13" t="s">
        <v>1154</v>
      </c>
      <c r="O432" s="13" t="s">
        <v>504</v>
      </c>
      <c r="P432" s="13" t="s">
        <v>186</v>
      </c>
      <c r="Q432" s="16"/>
      <c r="R432" s="16"/>
      <c r="S432" s="16"/>
      <c r="T432" s="16"/>
      <c r="U432" s="16"/>
      <c r="V432" s="13" t="s">
        <v>187</v>
      </c>
      <c r="W432" s="17"/>
      <c r="X432" s="13"/>
      <c r="Y432" s="13"/>
      <c r="Z432" s="13"/>
      <c r="AA432" s="13" t="s">
        <v>188</v>
      </c>
      <c r="AB432" s="13"/>
      <c r="AC432" s="17"/>
      <c r="AD432" s="13"/>
      <c r="AE432" s="19" t="n">
        <v>0</v>
      </c>
      <c r="AF432" s="19" t="n">
        <v>0</v>
      </c>
      <c r="AG432" s="19" t="n">
        <v>0</v>
      </c>
      <c r="AH432" s="13" t="s">
        <v>506</v>
      </c>
      <c r="AI432" s="17"/>
      <c r="AJ432" s="13" t="s">
        <v>188</v>
      </c>
      <c r="AK432" s="13" t="s">
        <v>188</v>
      </c>
      <c r="AL432" s="14" t="s">
        <v>2762</v>
      </c>
      <c r="AM432" s="13" t="s">
        <v>507</v>
      </c>
      <c r="AN432" s="15"/>
      <c r="AO432" s="13"/>
      <c r="AP432" s="13" t="s">
        <v>196</v>
      </c>
      <c r="AQ432" s="16" t="n">
        <f aca="false">IFERROR(IF(AND(INDEX(Mob_Demob!$D$6:$D$14,MATCH(AM432,Mob_Demob!$A$6:$A$14,0))="",INDEX(Mob_Demob!$G$6:$G$14,MATCH(AM432,Mob_Demob!$A$6:$A$14,0))=""),"",ROUND(MAX(N(INDEX(Mob_Demob!$G$6:$G$14,MATCH(AM432,Mob_Demob!$A$6:$A$14,0))),N(INDEX(Mob_Demob!$D$6:$D$14,MATCH(AM432,Mob_Demob!$A$6:$A$14,0)))*Settings!$B$6)+IF(AP432="Y",N(INDEX(Mob_Demob!$I$6:$I$14,MATCH(AM432,Mob_Demob!$A$6:$A$14,0)))*Settings!$B$19,0)+N(INDEX(Mob_Demob!$L$6:$L$14,MATCH(AM432,Mob_Demob!$A$6:$A$14,0)))*N(INDEX(Mob_Demob!$K$6:$K$14,MATCH(AM432,Mob_Demob!$A$6:$A$14,0)))*Settings!$B$6+N(INDEX(Mob_Demob!$M$6:$M$14,MATCH(AM432,Mob_Demob!$A$6:$A$14,0)))*N(INDEX(Mob_Demob!$N$6:$N$14,MATCH(AM432,Mob_Demob!$A$6:$A$14,0))),0)),"")</f>
        <v>400</v>
      </c>
      <c r="AR432" s="16" t="n">
        <f aca="false">IF(AQ432="","",ROUND(AQ432*Settings!$B$18,0))</f>
        <v>400</v>
      </c>
      <c r="AS432" s="13" t="s">
        <v>2749</v>
      </c>
      <c r="AT432" s="14"/>
      <c r="AU432" s="14" t="s">
        <v>251</v>
      </c>
    </row>
    <row r="433" customFormat="false" ht="53.7" hidden="false" customHeight="false" outlineLevel="0" collapsed="false">
      <c r="A433" s="11" t="s">
        <v>2765</v>
      </c>
      <c r="B433" s="11" t="s">
        <v>2720</v>
      </c>
      <c r="C433" s="11" t="s">
        <v>2757</v>
      </c>
      <c r="D433" s="11" t="s">
        <v>2758</v>
      </c>
      <c r="E433" s="12" t="s">
        <v>2766</v>
      </c>
      <c r="F433" s="13" t="s">
        <v>2760</v>
      </c>
      <c r="G433" s="13" t="n">
        <v>74</v>
      </c>
      <c r="H433" s="13" t="s">
        <v>462</v>
      </c>
      <c r="I433" s="14" t="s">
        <v>2761</v>
      </c>
      <c r="J433" s="15"/>
      <c r="K433" s="13"/>
      <c r="L433" s="13"/>
      <c r="M433" s="13" t="n">
        <v>74</v>
      </c>
      <c r="N433" s="13" t="s">
        <v>1154</v>
      </c>
      <c r="O433" s="13" t="s">
        <v>504</v>
      </c>
      <c r="P433" s="13" t="s">
        <v>186</v>
      </c>
      <c r="Q433" s="16"/>
      <c r="R433" s="16"/>
      <c r="S433" s="16"/>
      <c r="T433" s="16"/>
      <c r="U433" s="16"/>
      <c r="V433" s="13" t="s">
        <v>187</v>
      </c>
      <c r="W433" s="17"/>
      <c r="X433" s="13"/>
      <c r="Y433" s="13"/>
      <c r="Z433" s="13"/>
      <c r="AA433" s="13" t="s">
        <v>188</v>
      </c>
      <c r="AB433" s="13"/>
      <c r="AC433" s="17"/>
      <c r="AD433" s="13"/>
      <c r="AE433" s="19" t="n">
        <v>0</v>
      </c>
      <c r="AF433" s="19" t="n">
        <v>0</v>
      </c>
      <c r="AG433" s="19" t="n">
        <v>0</v>
      </c>
      <c r="AH433" s="13" t="s">
        <v>506</v>
      </c>
      <c r="AI433" s="17"/>
      <c r="AJ433" s="13" t="s">
        <v>188</v>
      </c>
      <c r="AK433" s="13" t="s">
        <v>188</v>
      </c>
      <c r="AL433" s="14" t="s">
        <v>2762</v>
      </c>
      <c r="AM433" s="13" t="s">
        <v>507</v>
      </c>
      <c r="AN433" s="15"/>
      <c r="AO433" s="13"/>
      <c r="AP433" s="13" t="s">
        <v>196</v>
      </c>
      <c r="AQ433" s="16" t="n">
        <f aca="false">IFERROR(IF(AND(INDEX(Mob_Demob!$D$6:$D$14,MATCH(AM433,Mob_Demob!$A$6:$A$14,0))="",INDEX(Mob_Demob!$G$6:$G$14,MATCH(AM433,Mob_Demob!$A$6:$A$14,0))=""),"",ROUND(MAX(N(INDEX(Mob_Demob!$G$6:$G$14,MATCH(AM433,Mob_Demob!$A$6:$A$14,0))),N(INDEX(Mob_Demob!$D$6:$D$14,MATCH(AM433,Mob_Demob!$A$6:$A$14,0)))*Settings!$B$6)+IF(AP433="Y",N(INDEX(Mob_Demob!$I$6:$I$14,MATCH(AM433,Mob_Demob!$A$6:$A$14,0)))*Settings!$B$19,0)+N(INDEX(Mob_Demob!$L$6:$L$14,MATCH(AM433,Mob_Demob!$A$6:$A$14,0)))*N(INDEX(Mob_Demob!$K$6:$K$14,MATCH(AM433,Mob_Demob!$A$6:$A$14,0)))*Settings!$B$6+N(INDEX(Mob_Demob!$M$6:$M$14,MATCH(AM433,Mob_Demob!$A$6:$A$14,0)))*N(INDEX(Mob_Demob!$N$6:$N$14,MATCH(AM433,Mob_Demob!$A$6:$A$14,0))),0)),"")</f>
        <v>400</v>
      </c>
      <c r="AR433" s="16" t="n">
        <f aca="false">IF(AQ433="","",ROUND(AQ433*Settings!$B$18,0))</f>
        <v>400</v>
      </c>
      <c r="AS433" s="13" t="s">
        <v>2749</v>
      </c>
      <c r="AT433" s="14"/>
      <c r="AU433" s="14" t="s">
        <v>251</v>
      </c>
    </row>
    <row r="434" customFormat="false" ht="53.7" hidden="false" customHeight="false" outlineLevel="0" collapsed="false">
      <c r="A434" s="11" t="s">
        <v>2767</v>
      </c>
      <c r="B434" s="11" t="s">
        <v>2720</v>
      </c>
      <c r="C434" s="11" t="s">
        <v>2757</v>
      </c>
      <c r="D434" s="11" t="s">
        <v>2768</v>
      </c>
      <c r="E434" s="12" t="s">
        <v>2769</v>
      </c>
      <c r="F434" s="13" t="s">
        <v>2760</v>
      </c>
      <c r="G434" s="13" t="n">
        <v>20</v>
      </c>
      <c r="H434" s="13" t="s">
        <v>462</v>
      </c>
      <c r="I434" s="14" t="s">
        <v>2761</v>
      </c>
      <c r="J434" s="15"/>
      <c r="K434" s="13"/>
      <c r="L434" s="13"/>
      <c r="M434" s="13" t="n">
        <v>20</v>
      </c>
      <c r="N434" s="13" t="s">
        <v>1154</v>
      </c>
      <c r="O434" s="13" t="s">
        <v>504</v>
      </c>
      <c r="P434" s="13" t="s">
        <v>186</v>
      </c>
      <c r="Q434" s="16"/>
      <c r="R434" s="16"/>
      <c r="S434" s="16"/>
      <c r="T434" s="16"/>
      <c r="U434" s="16"/>
      <c r="V434" s="13" t="s">
        <v>187</v>
      </c>
      <c r="W434" s="17"/>
      <c r="X434" s="13"/>
      <c r="Y434" s="13"/>
      <c r="Z434" s="13"/>
      <c r="AA434" s="13" t="s">
        <v>188</v>
      </c>
      <c r="AB434" s="13"/>
      <c r="AC434" s="17"/>
      <c r="AD434" s="13"/>
      <c r="AE434" s="19" t="n">
        <v>0</v>
      </c>
      <c r="AF434" s="19" t="n">
        <v>0</v>
      </c>
      <c r="AG434" s="19" t="n">
        <v>0</v>
      </c>
      <c r="AH434" s="13" t="s">
        <v>506</v>
      </c>
      <c r="AI434" s="17"/>
      <c r="AJ434" s="13" t="s">
        <v>188</v>
      </c>
      <c r="AK434" s="13" t="s">
        <v>188</v>
      </c>
      <c r="AL434" s="14" t="s">
        <v>2762</v>
      </c>
      <c r="AM434" s="13" t="s">
        <v>507</v>
      </c>
      <c r="AN434" s="15"/>
      <c r="AO434" s="13"/>
      <c r="AP434" s="13" t="s">
        <v>196</v>
      </c>
      <c r="AQ434" s="16" t="n">
        <f aca="false">IFERROR(IF(AND(INDEX(Mob_Demob!$D$6:$D$14,MATCH(AM434,Mob_Demob!$A$6:$A$14,0))="",INDEX(Mob_Demob!$G$6:$G$14,MATCH(AM434,Mob_Demob!$A$6:$A$14,0))=""),"",ROUND(MAX(N(INDEX(Mob_Demob!$G$6:$G$14,MATCH(AM434,Mob_Demob!$A$6:$A$14,0))),N(INDEX(Mob_Demob!$D$6:$D$14,MATCH(AM434,Mob_Demob!$A$6:$A$14,0)))*Settings!$B$6)+IF(AP434="Y",N(INDEX(Mob_Demob!$I$6:$I$14,MATCH(AM434,Mob_Demob!$A$6:$A$14,0)))*Settings!$B$19,0)+N(INDEX(Mob_Demob!$L$6:$L$14,MATCH(AM434,Mob_Demob!$A$6:$A$14,0)))*N(INDEX(Mob_Demob!$K$6:$K$14,MATCH(AM434,Mob_Demob!$A$6:$A$14,0)))*Settings!$B$6+N(INDEX(Mob_Demob!$M$6:$M$14,MATCH(AM434,Mob_Demob!$A$6:$A$14,0)))*N(INDEX(Mob_Demob!$N$6:$N$14,MATCH(AM434,Mob_Demob!$A$6:$A$14,0))),0)),"")</f>
        <v>400</v>
      </c>
      <c r="AR434" s="16" t="n">
        <f aca="false">IF(AQ434="","",ROUND(AQ434*Settings!$B$18,0))</f>
        <v>400</v>
      </c>
      <c r="AS434" s="13" t="s">
        <v>2749</v>
      </c>
      <c r="AT434" s="14"/>
      <c r="AU434" s="14" t="s">
        <v>251</v>
      </c>
    </row>
    <row r="435" customFormat="false" ht="53.7" hidden="false" customHeight="false" outlineLevel="0" collapsed="false">
      <c r="A435" s="11" t="s">
        <v>2770</v>
      </c>
      <c r="B435" s="11" t="s">
        <v>2720</v>
      </c>
      <c r="C435" s="11" t="s">
        <v>2757</v>
      </c>
      <c r="D435" s="11" t="s">
        <v>2768</v>
      </c>
      <c r="E435" s="12" t="s">
        <v>2771</v>
      </c>
      <c r="F435" s="13" t="s">
        <v>2760</v>
      </c>
      <c r="G435" s="13" t="n">
        <v>30</v>
      </c>
      <c r="H435" s="13" t="s">
        <v>462</v>
      </c>
      <c r="I435" s="14" t="s">
        <v>2761</v>
      </c>
      <c r="J435" s="15"/>
      <c r="K435" s="13"/>
      <c r="L435" s="13"/>
      <c r="M435" s="13" t="n">
        <v>30</v>
      </c>
      <c r="N435" s="13" t="s">
        <v>1154</v>
      </c>
      <c r="O435" s="13" t="s">
        <v>504</v>
      </c>
      <c r="P435" s="13" t="s">
        <v>186</v>
      </c>
      <c r="Q435" s="16"/>
      <c r="R435" s="16"/>
      <c r="S435" s="16"/>
      <c r="T435" s="16"/>
      <c r="U435" s="16"/>
      <c r="V435" s="13" t="s">
        <v>187</v>
      </c>
      <c r="W435" s="17"/>
      <c r="X435" s="13"/>
      <c r="Y435" s="13"/>
      <c r="Z435" s="13"/>
      <c r="AA435" s="13" t="s">
        <v>188</v>
      </c>
      <c r="AB435" s="13"/>
      <c r="AC435" s="17"/>
      <c r="AD435" s="13"/>
      <c r="AE435" s="19" t="n">
        <v>0</v>
      </c>
      <c r="AF435" s="19" t="n">
        <v>0</v>
      </c>
      <c r="AG435" s="19" t="n">
        <v>0</v>
      </c>
      <c r="AH435" s="13" t="s">
        <v>506</v>
      </c>
      <c r="AI435" s="17"/>
      <c r="AJ435" s="13" t="s">
        <v>188</v>
      </c>
      <c r="AK435" s="13" t="s">
        <v>188</v>
      </c>
      <c r="AL435" s="14" t="s">
        <v>2762</v>
      </c>
      <c r="AM435" s="13" t="s">
        <v>507</v>
      </c>
      <c r="AN435" s="15"/>
      <c r="AO435" s="13"/>
      <c r="AP435" s="13" t="s">
        <v>196</v>
      </c>
      <c r="AQ435" s="16" t="n">
        <f aca="false">IFERROR(IF(AND(INDEX(Mob_Demob!$D$6:$D$14,MATCH(AM435,Mob_Demob!$A$6:$A$14,0))="",INDEX(Mob_Demob!$G$6:$G$14,MATCH(AM435,Mob_Demob!$A$6:$A$14,0))=""),"",ROUND(MAX(N(INDEX(Mob_Demob!$G$6:$G$14,MATCH(AM435,Mob_Demob!$A$6:$A$14,0))),N(INDEX(Mob_Demob!$D$6:$D$14,MATCH(AM435,Mob_Demob!$A$6:$A$14,0)))*Settings!$B$6)+IF(AP435="Y",N(INDEX(Mob_Demob!$I$6:$I$14,MATCH(AM435,Mob_Demob!$A$6:$A$14,0)))*Settings!$B$19,0)+N(INDEX(Mob_Demob!$L$6:$L$14,MATCH(AM435,Mob_Demob!$A$6:$A$14,0)))*N(INDEX(Mob_Demob!$K$6:$K$14,MATCH(AM435,Mob_Demob!$A$6:$A$14,0)))*Settings!$B$6+N(INDEX(Mob_Demob!$M$6:$M$14,MATCH(AM435,Mob_Demob!$A$6:$A$14,0)))*N(INDEX(Mob_Demob!$N$6:$N$14,MATCH(AM435,Mob_Demob!$A$6:$A$14,0))),0)),"")</f>
        <v>400</v>
      </c>
      <c r="AR435" s="16" t="n">
        <f aca="false">IF(AQ435="","",ROUND(AQ435*Settings!$B$18,0))</f>
        <v>400</v>
      </c>
      <c r="AS435" s="13" t="s">
        <v>2749</v>
      </c>
      <c r="AT435" s="14"/>
      <c r="AU435" s="14" t="s">
        <v>251</v>
      </c>
    </row>
    <row r="436" customFormat="false" ht="53.7" hidden="false" customHeight="false" outlineLevel="0" collapsed="false">
      <c r="A436" s="11" t="s">
        <v>2772</v>
      </c>
      <c r="B436" s="11" t="s">
        <v>2720</v>
      </c>
      <c r="C436" s="11" t="s">
        <v>2757</v>
      </c>
      <c r="D436" s="11" t="s">
        <v>2768</v>
      </c>
      <c r="E436" s="12" t="s">
        <v>2773</v>
      </c>
      <c r="F436" s="13" t="s">
        <v>2760</v>
      </c>
      <c r="G436" s="13" t="n">
        <v>50</v>
      </c>
      <c r="H436" s="13" t="s">
        <v>462</v>
      </c>
      <c r="I436" s="14" t="s">
        <v>2761</v>
      </c>
      <c r="J436" s="15"/>
      <c r="K436" s="13"/>
      <c r="L436" s="13"/>
      <c r="M436" s="13" t="n">
        <v>50</v>
      </c>
      <c r="N436" s="13" t="s">
        <v>1154</v>
      </c>
      <c r="O436" s="13" t="s">
        <v>504</v>
      </c>
      <c r="P436" s="13" t="s">
        <v>186</v>
      </c>
      <c r="Q436" s="16"/>
      <c r="R436" s="16"/>
      <c r="S436" s="16"/>
      <c r="T436" s="16"/>
      <c r="U436" s="16"/>
      <c r="V436" s="13" t="s">
        <v>187</v>
      </c>
      <c r="W436" s="17"/>
      <c r="X436" s="13"/>
      <c r="Y436" s="13"/>
      <c r="Z436" s="13"/>
      <c r="AA436" s="13" t="s">
        <v>188</v>
      </c>
      <c r="AB436" s="13"/>
      <c r="AC436" s="17"/>
      <c r="AD436" s="13"/>
      <c r="AE436" s="19" t="n">
        <v>0</v>
      </c>
      <c r="AF436" s="19" t="n">
        <v>0</v>
      </c>
      <c r="AG436" s="19" t="n">
        <v>0</v>
      </c>
      <c r="AH436" s="13" t="s">
        <v>506</v>
      </c>
      <c r="AI436" s="17"/>
      <c r="AJ436" s="13" t="s">
        <v>188</v>
      </c>
      <c r="AK436" s="13" t="s">
        <v>188</v>
      </c>
      <c r="AL436" s="14" t="s">
        <v>2762</v>
      </c>
      <c r="AM436" s="13" t="s">
        <v>507</v>
      </c>
      <c r="AN436" s="15"/>
      <c r="AO436" s="13"/>
      <c r="AP436" s="13" t="s">
        <v>196</v>
      </c>
      <c r="AQ436" s="16" t="n">
        <f aca="false">IFERROR(IF(AND(INDEX(Mob_Demob!$D$6:$D$14,MATCH(AM436,Mob_Demob!$A$6:$A$14,0))="",INDEX(Mob_Demob!$G$6:$G$14,MATCH(AM436,Mob_Demob!$A$6:$A$14,0))=""),"",ROUND(MAX(N(INDEX(Mob_Demob!$G$6:$G$14,MATCH(AM436,Mob_Demob!$A$6:$A$14,0))),N(INDEX(Mob_Demob!$D$6:$D$14,MATCH(AM436,Mob_Demob!$A$6:$A$14,0)))*Settings!$B$6)+IF(AP436="Y",N(INDEX(Mob_Demob!$I$6:$I$14,MATCH(AM436,Mob_Demob!$A$6:$A$14,0)))*Settings!$B$19,0)+N(INDEX(Mob_Demob!$L$6:$L$14,MATCH(AM436,Mob_Demob!$A$6:$A$14,0)))*N(INDEX(Mob_Demob!$K$6:$K$14,MATCH(AM436,Mob_Demob!$A$6:$A$14,0)))*Settings!$B$6+N(INDEX(Mob_Demob!$M$6:$M$14,MATCH(AM436,Mob_Demob!$A$6:$A$14,0)))*N(INDEX(Mob_Demob!$N$6:$N$14,MATCH(AM436,Mob_Demob!$A$6:$A$14,0))),0)),"")</f>
        <v>400</v>
      </c>
      <c r="AR436" s="16" t="n">
        <f aca="false">IF(AQ436="","",ROUND(AQ436*Settings!$B$18,0))</f>
        <v>400</v>
      </c>
      <c r="AS436" s="13" t="s">
        <v>2749</v>
      </c>
      <c r="AT436" s="14"/>
      <c r="AU436" s="14" t="s">
        <v>251</v>
      </c>
    </row>
    <row r="437" customFormat="false" ht="64.15" hidden="false" customHeight="false" outlineLevel="0" collapsed="false">
      <c r="A437" s="11" t="s">
        <v>2774</v>
      </c>
      <c r="B437" s="11" t="s">
        <v>2720</v>
      </c>
      <c r="C437" s="11" t="s">
        <v>2775</v>
      </c>
      <c r="D437" s="11" t="s">
        <v>2776</v>
      </c>
      <c r="E437" s="12" t="s">
        <v>2777</v>
      </c>
      <c r="F437" s="13" t="s">
        <v>2778</v>
      </c>
      <c r="G437" s="13"/>
      <c r="H437" s="13" t="s">
        <v>2748</v>
      </c>
      <c r="I437" s="14"/>
      <c r="J437" s="15"/>
      <c r="K437" s="13"/>
      <c r="L437" s="13"/>
      <c r="M437" s="13"/>
      <c r="N437" s="13" t="s">
        <v>184</v>
      </c>
      <c r="O437" s="13" t="s">
        <v>185</v>
      </c>
      <c r="P437" s="13" t="s">
        <v>186</v>
      </c>
      <c r="Q437" s="16"/>
      <c r="R437" s="16"/>
      <c r="S437" s="16"/>
      <c r="T437" s="16"/>
      <c r="U437" s="16"/>
      <c r="V437" s="13" t="s">
        <v>187</v>
      </c>
      <c r="W437" s="17"/>
      <c r="X437" s="13"/>
      <c r="Y437" s="13"/>
      <c r="Z437" s="13"/>
      <c r="AA437" s="13" t="s">
        <v>188</v>
      </c>
      <c r="AB437" s="13"/>
      <c r="AC437" s="17"/>
      <c r="AD437" s="13"/>
      <c r="AE437" s="19"/>
      <c r="AF437" s="19"/>
      <c r="AG437" s="19"/>
      <c r="AH437" s="13"/>
      <c r="AI437" s="17"/>
      <c r="AJ437" s="13" t="s">
        <v>188</v>
      </c>
      <c r="AK437" s="13" t="s">
        <v>188</v>
      </c>
      <c r="AL437" s="14" t="s">
        <v>194</v>
      </c>
      <c r="AM437" s="13" t="s">
        <v>286</v>
      </c>
      <c r="AN437" s="15"/>
      <c r="AO437" s="13"/>
      <c r="AP437" s="13" t="s">
        <v>269</v>
      </c>
      <c r="AQ437" s="16" t="n">
        <f aca="false">IFERROR(IF(AND(INDEX(Mob_Demob!$D$6:$D$14,MATCH(AM437,Mob_Demob!$A$6:$A$14,0))="",INDEX(Mob_Demob!$G$6:$G$14,MATCH(AM437,Mob_Demob!$A$6:$A$14,0))=""),"",ROUND(MAX(N(INDEX(Mob_Demob!$G$6:$G$14,MATCH(AM437,Mob_Demob!$A$6:$A$14,0))),N(INDEX(Mob_Demob!$D$6:$D$14,MATCH(AM437,Mob_Demob!$A$6:$A$14,0)))*Settings!$B$6)+IF(AP437="Y",N(INDEX(Mob_Demob!$I$6:$I$14,MATCH(AM437,Mob_Demob!$A$6:$A$14,0)))*Settings!$B$19,0)+N(INDEX(Mob_Demob!$L$6:$L$14,MATCH(AM437,Mob_Demob!$A$6:$A$14,0)))*N(INDEX(Mob_Demob!$K$6:$K$14,MATCH(AM437,Mob_Demob!$A$6:$A$14,0)))*Settings!$B$6+N(INDEX(Mob_Demob!$M$6:$M$14,MATCH(AM437,Mob_Demob!$A$6:$A$14,0)))*N(INDEX(Mob_Demob!$N$6:$N$14,MATCH(AM437,Mob_Demob!$A$6:$A$14,0))),0)),"")</f>
        <v>1913</v>
      </c>
      <c r="AR437" s="16" t="n">
        <f aca="false">IF(AQ437="","",ROUND(AQ437*Settings!$B$18,0))</f>
        <v>1913</v>
      </c>
      <c r="AS437" s="13" t="s">
        <v>2779</v>
      </c>
      <c r="AT437" s="14"/>
      <c r="AU437" s="14" t="s">
        <v>1712</v>
      </c>
    </row>
    <row r="438" customFormat="false" ht="64.15" hidden="false" customHeight="false" outlineLevel="0" collapsed="false">
      <c r="A438" s="11" t="s">
        <v>2780</v>
      </c>
      <c r="B438" s="11" t="s">
        <v>2720</v>
      </c>
      <c r="C438" s="11" t="s">
        <v>2781</v>
      </c>
      <c r="D438" s="11" t="s">
        <v>2782</v>
      </c>
      <c r="E438" s="12" t="s">
        <v>2783</v>
      </c>
      <c r="F438" s="13" t="s">
        <v>2784</v>
      </c>
      <c r="G438" s="13" t="n">
        <v>24</v>
      </c>
      <c r="H438" s="13" t="s">
        <v>1196</v>
      </c>
      <c r="I438" s="14" t="s">
        <v>2785</v>
      </c>
      <c r="J438" s="15"/>
      <c r="K438" s="13"/>
      <c r="L438" s="13"/>
      <c r="M438" s="13"/>
      <c r="N438" s="13" t="s">
        <v>184</v>
      </c>
      <c r="O438" s="13" t="s">
        <v>185</v>
      </c>
      <c r="P438" s="13" t="s">
        <v>186</v>
      </c>
      <c r="Q438" s="16"/>
      <c r="R438" s="16"/>
      <c r="S438" s="16"/>
      <c r="T438" s="16"/>
      <c r="U438" s="16"/>
      <c r="V438" s="13" t="s">
        <v>187</v>
      </c>
      <c r="W438" s="17"/>
      <c r="X438" s="13"/>
      <c r="Y438" s="13"/>
      <c r="Z438" s="13"/>
      <c r="AA438" s="13" t="s">
        <v>188</v>
      </c>
      <c r="AB438" s="13" t="s">
        <v>2786</v>
      </c>
      <c r="AC438" s="17"/>
      <c r="AD438" s="13"/>
      <c r="AE438" s="19"/>
      <c r="AF438" s="19"/>
      <c r="AG438" s="19"/>
      <c r="AH438" s="13"/>
      <c r="AI438" s="17"/>
      <c r="AJ438" s="13" t="s">
        <v>188</v>
      </c>
      <c r="AK438" s="13" t="s">
        <v>188</v>
      </c>
      <c r="AL438" s="14" t="s">
        <v>194</v>
      </c>
      <c r="AM438" s="13" t="s">
        <v>484</v>
      </c>
      <c r="AN438" s="15"/>
      <c r="AO438" s="13"/>
      <c r="AP438" s="13" t="s">
        <v>196</v>
      </c>
      <c r="AQ438" s="16" t="str">
        <f aca="false">IFERROR(IF(AND(INDEX(Mob_Demob!$D$6:$D$14,MATCH(AM438,Mob_Demob!$A$6:$A$14,0))="",INDEX(Mob_Demob!$G$6:$G$14,MATCH(AM438,Mob_Demob!$A$6:$A$14,0))=""),"",ROUND(MAX(N(INDEX(Mob_Demob!$G$6:$G$14,MATCH(AM438,Mob_Demob!$A$6:$A$14,0))),N(INDEX(Mob_Demob!$D$6:$D$14,MATCH(AM438,Mob_Demob!$A$6:$A$14,0)))*Settings!$B$6)+IF(AP438="Y",N(INDEX(Mob_Demob!$I$6:$I$14,MATCH(AM438,Mob_Demob!$A$6:$A$14,0)))*Settings!$B$19,0)+N(INDEX(Mob_Demob!$L$6:$L$14,MATCH(AM438,Mob_Demob!$A$6:$A$14,0)))*N(INDEX(Mob_Demob!$K$6:$K$14,MATCH(AM438,Mob_Demob!$A$6:$A$14,0)))*Settings!$B$6+N(INDEX(Mob_Demob!$M$6:$M$14,MATCH(AM438,Mob_Demob!$A$6:$A$14,0)))*N(INDEX(Mob_Demob!$N$6:$N$14,MATCH(AM438,Mob_Demob!$A$6:$A$14,0))),0)),"")</f>
        <v/>
      </c>
      <c r="AR438" s="16" t="str">
        <f aca="false">IF(AQ438="","",ROUND(AQ438*Settings!$B$18,0))</f>
        <v/>
      </c>
      <c r="AS438" s="13"/>
      <c r="AT438" s="14" t="s">
        <v>2787</v>
      </c>
      <c r="AU438" s="14" t="s">
        <v>1381</v>
      </c>
    </row>
    <row r="439" customFormat="false" ht="64.15" hidden="false" customHeight="false" outlineLevel="0" collapsed="false">
      <c r="A439" s="11" t="s">
        <v>2788</v>
      </c>
      <c r="B439" s="11" t="s">
        <v>2720</v>
      </c>
      <c r="C439" s="11" t="s">
        <v>2789</v>
      </c>
      <c r="D439" s="11" t="s">
        <v>2790</v>
      </c>
      <c r="E439" s="12" t="s">
        <v>2791</v>
      </c>
      <c r="F439" s="13" t="s">
        <v>141</v>
      </c>
      <c r="G439" s="13" t="s">
        <v>2792</v>
      </c>
      <c r="H439" s="13"/>
      <c r="I439" s="14" t="s">
        <v>2793</v>
      </c>
      <c r="J439" s="15"/>
      <c r="K439" s="13"/>
      <c r="L439" s="13"/>
      <c r="M439" s="13"/>
      <c r="N439" s="13" t="s">
        <v>184</v>
      </c>
      <c r="O439" s="13" t="s">
        <v>1164</v>
      </c>
      <c r="P439" s="13" t="s">
        <v>186</v>
      </c>
      <c r="Q439" s="16"/>
      <c r="R439" s="16"/>
      <c r="S439" s="16"/>
      <c r="T439" s="16"/>
      <c r="U439" s="16"/>
      <c r="V439" s="13" t="s">
        <v>187</v>
      </c>
      <c r="W439" s="17"/>
      <c r="X439" s="13"/>
      <c r="Y439" s="13"/>
      <c r="Z439" s="13"/>
      <c r="AA439" s="13" t="s">
        <v>188</v>
      </c>
      <c r="AB439" s="13" t="s">
        <v>2794</v>
      </c>
      <c r="AC439" s="17"/>
      <c r="AD439" s="13"/>
      <c r="AE439" s="19"/>
      <c r="AF439" s="19"/>
      <c r="AG439" s="19"/>
      <c r="AH439" s="13"/>
      <c r="AI439" s="17"/>
      <c r="AJ439" s="13" t="s">
        <v>188</v>
      </c>
      <c r="AK439" s="13" t="s">
        <v>188</v>
      </c>
      <c r="AL439" s="14" t="s">
        <v>194</v>
      </c>
      <c r="AM439" s="13" t="s">
        <v>1147</v>
      </c>
      <c r="AN439" s="15"/>
      <c r="AO439" s="13"/>
      <c r="AP439" s="13" t="s">
        <v>196</v>
      </c>
      <c r="AQ439" s="16" t="n">
        <f aca="false">IFERROR(IF(AND(INDEX(Mob_Demob!$D$6:$D$14,MATCH(AM439,Mob_Demob!$A$6:$A$14,0))="",INDEX(Mob_Demob!$G$6:$G$14,MATCH(AM439,Mob_Demob!$A$6:$A$14,0))=""),"",ROUND(MAX(N(INDEX(Mob_Demob!$G$6:$G$14,MATCH(AM439,Mob_Demob!$A$6:$A$14,0))),N(INDEX(Mob_Demob!$D$6:$D$14,MATCH(AM439,Mob_Demob!$A$6:$A$14,0)))*Settings!$B$6)+IF(AP439="Y",N(INDEX(Mob_Demob!$I$6:$I$14,MATCH(AM439,Mob_Demob!$A$6:$A$14,0)))*Settings!$B$19,0)+N(INDEX(Mob_Demob!$L$6:$L$14,MATCH(AM439,Mob_Demob!$A$6:$A$14,0)))*N(INDEX(Mob_Demob!$K$6:$K$14,MATCH(AM439,Mob_Demob!$A$6:$A$14,0)))*Settings!$B$6+N(INDEX(Mob_Demob!$M$6:$M$14,MATCH(AM439,Mob_Demob!$A$6:$A$14,0)))*N(INDEX(Mob_Demob!$N$6:$N$14,MATCH(AM439,Mob_Demob!$A$6:$A$14,0))),0)),"")</f>
        <v>200</v>
      </c>
      <c r="AR439" s="16" t="n">
        <f aca="false">IF(AQ439="","",ROUND(AQ439*Settings!$B$18,0))</f>
        <v>200</v>
      </c>
      <c r="AS439" s="13"/>
      <c r="AT439" s="14" t="s">
        <v>2795</v>
      </c>
      <c r="AU439" s="14" t="s">
        <v>1381</v>
      </c>
    </row>
    <row r="440" customFormat="false" ht="64.15" hidden="false" customHeight="false" outlineLevel="0" collapsed="false">
      <c r="A440" s="11" t="s">
        <v>2796</v>
      </c>
      <c r="B440" s="11" t="s">
        <v>2720</v>
      </c>
      <c r="C440" s="11" t="s">
        <v>2797</v>
      </c>
      <c r="D440" s="11" t="s">
        <v>2798</v>
      </c>
      <c r="E440" s="12" t="s">
        <v>2799</v>
      </c>
      <c r="F440" s="13" t="s">
        <v>2784</v>
      </c>
      <c r="G440" s="13" t="n">
        <v>16</v>
      </c>
      <c r="H440" s="13" t="s">
        <v>1196</v>
      </c>
      <c r="I440" s="14"/>
      <c r="J440" s="15"/>
      <c r="K440" s="13"/>
      <c r="L440" s="13"/>
      <c r="M440" s="13"/>
      <c r="N440" s="13" t="s">
        <v>184</v>
      </c>
      <c r="O440" s="13" t="s">
        <v>1164</v>
      </c>
      <c r="P440" s="13" t="s">
        <v>186</v>
      </c>
      <c r="Q440" s="16"/>
      <c r="R440" s="16"/>
      <c r="S440" s="16"/>
      <c r="T440" s="16"/>
      <c r="U440" s="16"/>
      <c r="V440" s="13" t="s">
        <v>187</v>
      </c>
      <c r="W440" s="17"/>
      <c r="X440" s="13"/>
      <c r="Y440" s="13"/>
      <c r="Z440" s="13"/>
      <c r="AA440" s="13" t="s">
        <v>188</v>
      </c>
      <c r="AB440" s="13" t="s">
        <v>2800</v>
      </c>
      <c r="AC440" s="17"/>
      <c r="AD440" s="13"/>
      <c r="AE440" s="19"/>
      <c r="AF440" s="19"/>
      <c r="AG440" s="19"/>
      <c r="AH440" s="13"/>
      <c r="AI440" s="17"/>
      <c r="AJ440" s="13" t="s">
        <v>188</v>
      </c>
      <c r="AK440" s="13" t="s">
        <v>188</v>
      </c>
      <c r="AL440" s="14" t="s">
        <v>194</v>
      </c>
      <c r="AM440" s="13" t="s">
        <v>1147</v>
      </c>
      <c r="AN440" s="15"/>
      <c r="AO440" s="13"/>
      <c r="AP440" s="13" t="s">
        <v>196</v>
      </c>
      <c r="AQ440" s="16" t="n">
        <f aca="false">IFERROR(IF(AND(INDEX(Mob_Demob!$D$6:$D$14,MATCH(AM440,Mob_Demob!$A$6:$A$14,0))="",INDEX(Mob_Demob!$G$6:$G$14,MATCH(AM440,Mob_Demob!$A$6:$A$14,0))=""),"",ROUND(MAX(N(INDEX(Mob_Demob!$G$6:$G$14,MATCH(AM440,Mob_Demob!$A$6:$A$14,0))),N(INDEX(Mob_Demob!$D$6:$D$14,MATCH(AM440,Mob_Demob!$A$6:$A$14,0)))*Settings!$B$6)+IF(AP440="Y",N(INDEX(Mob_Demob!$I$6:$I$14,MATCH(AM440,Mob_Demob!$A$6:$A$14,0)))*Settings!$B$19,0)+N(INDEX(Mob_Demob!$L$6:$L$14,MATCH(AM440,Mob_Demob!$A$6:$A$14,0)))*N(INDEX(Mob_Demob!$K$6:$K$14,MATCH(AM440,Mob_Demob!$A$6:$A$14,0)))*Settings!$B$6+N(INDEX(Mob_Demob!$M$6:$M$14,MATCH(AM440,Mob_Demob!$A$6:$A$14,0)))*N(INDEX(Mob_Demob!$N$6:$N$14,MATCH(AM440,Mob_Demob!$A$6:$A$14,0))),0)),"")</f>
        <v>200</v>
      </c>
      <c r="AR440" s="16" t="n">
        <f aca="false">IF(AQ440="","",ROUND(AQ440*Settings!$B$18,0))</f>
        <v>200</v>
      </c>
      <c r="AS440" s="13"/>
      <c r="AT440" s="14" t="s">
        <v>2801</v>
      </c>
      <c r="AU440" s="14" t="s">
        <v>1381</v>
      </c>
    </row>
    <row r="441" customFormat="false" ht="64.15" hidden="false" customHeight="false" outlineLevel="0" collapsed="false">
      <c r="A441" s="11" t="s">
        <v>2802</v>
      </c>
      <c r="B441" s="11" t="s">
        <v>2720</v>
      </c>
      <c r="C441" s="11" t="s">
        <v>2797</v>
      </c>
      <c r="D441" s="11" t="s">
        <v>2803</v>
      </c>
      <c r="E441" s="12" t="s">
        <v>2804</v>
      </c>
      <c r="F441" s="13" t="s">
        <v>2784</v>
      </c>
      <c r="G441" s="13" t="n">
        <v>18</v>
      </c>
      <c r="H441" s="13" t="s">
        <v>1196</v>
      </c>
      <c r="I441" s="14"/>
      <c r="J441" s="15"/>
      <c r="K441" s="13"/>
      <c r="L441" s="13"/>
      <c r="M441" s="13"/>
      <c r="N441" s="13" t="s">
        <v>184</v>
      </c>
      <c r="O441" s="13" t="s">
        <v>1164</v>
      </c>
      <c r="P441" s="13" t="s">
        <v>186</v>
      </c>
      <c r="Q441" s="16"/>
      <c r="R441" s="16"/>
      <c r="S441" s="16"/>
      <c r="T441" s="16"/>
      <c r="U441" s="16"/>
      <c r="V441" s="13" t="s">
        <v>187</v>
      </c>
      <c r="W441" s="17"/>
      <c r="X441" s="13"/>
      <c r="Y441" s="13"/>
      <c r="Z441" s="13"/>
      <c r="AA441" s="13" t="s">
        <v>188</v>
      </c>
      <c r="AB441" s="13" t="s">
        <v>2805</v>
      </c>
      <c r="AC441" s="17"/>
      <c r="AD441" s="13"/>
      <c r="AE441" s="19"/>
      <c r="AF441" s="19"/>
      <c r="AG441" s="19"/>
      <c r="AH441" s="13"/>
      <c r="AI441" s="17"/>
      <c r="AJ441" s="13" t="s">
        <v>188</v>
      </c>
      <c r="AK441" s="13" t="s">
        <v>188</v>
      </c>
      <c r="AL441" s="14" t="s">
        <v>194</v>
      </c>
      <c r="AM441" s="13" t="s">
        <v>1147</v>
      </c>
      <c r="AN441" s="15"/>
      <c r="AO441" s="13"/>
      <c r="AP441" s="13" t="s">
        <v>196</v>
      </c>
      <c r="AQ441" s="16" t="n">
        <f aca="false">IFERROR(IF(AND(INDEX(Mob_Demob!$D$6:$D$14,MATCH(AM441,Mob_Demob!$A$6:$A$14,0))="",INDEX(Mob_Demob!$G$6:$G$14,MATCH(AM441,Mob_Demob!$A$6:$A$14,0))=""),"",ROUND(MAX(N(INDEX(Mob_Demob!$G$6:$G$14,MATCH(AM441,Mob_Demob!$A$6:$A$14,0))),N(INDEX(Mob_Demob!$D$6:$D$14,MATCH(AM441,Mob_Demob!$A$6:$A$14,0)))*Settings!$B$6)+IF(AP441="Y",N(INDEX(Mob_Demob!$I$6:$I$14,MATCH(AM441,Mob_Demob!$A$6:$A$14,0)))*Settings!$B$19,0)+N(INDEX(Mob_Demob!$L$6:$L$14,MATCH(AM441,Mob_Demob!$A$6:$A$14,0)))*N(INDEX(Mob_Demob!$K$6:$K$14,MATCH(AM441,Mob_Demob!$A$6:$A$14,0)))*Settings!$B$6+N(INDEX(Mob_Demob!$M$6:$M$14,MATCH(AM441,Mob_Demob!$A$6:$A$14,0)))*N(INDEX(Mob_Demob!$N$6:$N$14,MATCH(AM441,Mob_Demob!$A$6:$A$14,0))),0)),"")</f>
        <v>200</v>
      </c>
      <c r="AR441" s="16" t="n">
        <f aca="false">IF(AQ441="","",ROUND(AQ441*Settings!$B$18,0))</f>
        <v>200</v>
      </c>
      <c r="AS441" s="13"/>
      <c r="AT441" s="14" t="s">
        <v>2806</v>
      </c>
      <c r="AU441" s="14" t="s">
        <v>1381</v>
      </c>
    </row>
    <row r="442" customFormat="false" ht="64.15" hidden="false" customHeight="false" outlineLevel="0" collapsed="false">
      <c r="A442" s="11" t="s">
        <v>2807</v>
      </c>
      <c r="B442" s="11" t="s">
        <v>2720</v>
      </c>
      <c r="C442" s="11" t="s">
        <v>2797</v>
      </c>
      <c r="D442" s="11" t="s">
        <v>2808</v>
      </c>
      <c r="E442" s="12" t="s">
        <v>2809</v>
      </c>
      <c r="F442" s="13" t="s">
        <v>2784</v>
      </c>
      <c r="G442" s="13" t="n">
        <v>36</v>
      </c>
      <c r="H442" s="13" t="s">
        <v>1196</v>
      </c>
      <c r="I442" s="14"/>
      <c r="J442" s="15"/>
      <c r="K442" s="13"/>
      <c r="L442" s="13"/>
      <c r="M442" s="13"/>
      <c r="N442" s="13" t="s">
        <v>184</v>
      </c>
      <c r="O442" s="13" t="s">
        <v>1164</v>
      </c>
      <c r="P442" s="13" t="s">
        <v>186</v>
      </c>
      <c r="Q442" s="16"/>
      <c r="R442" s="16"/>
      <c r="S442" s="16"/>
      <c r="T442" s="16"/>
      <c r="U442" s="16"/>
      <c r="V442" s="13" t="s">
        <v>187</v>
      </c>
      <c r="W442" s="17"/>
      <c r="X442" s="13"/>
      <c r="Y442" s="13"/>
      <c r="Z442" s="13"/>
      <c r="AA442" s="13" t="s">
        <v>188</v>
      </c>
      <c r="AB442" s="13" t="s">
        <v>2810</v>
      </c>
      <c r="AC442" s="17"/>
      <c r="AD442" s="13"/>
      <c r="AE442" s="19"/>
      <c r="AF442" s="19"/>
      <c r="AG442" s="19"/>
      <c r="AH442" s="13"/>
      <c r="AI442" s="17"/>
      <c r="AJ442" s="13" t="s">
        <v>188</v>
      </c>
      <c r="AK442" s="13" t="s">
        <v>188</v>
      </c>
      <c r="AL442" s="14" t="s">
        <v>194</v>
      </c>
      <c r="AM442" s="13" t="s">
        <v>1147</v>
      </c>
      <c r="AN442" s="15"/>
      <c r="AO442" s="13"/>
      <c r="AP442" s="13" t="s">
        <v>196</v>
      </c>
      <c r="AQ442" s="16" t="n">
        <f aca="false">IFERROR(IF(AND(INDEX(Mob_Demob!$D$6:$D$14,MATCH(AM442,Mob_Demob!$A$6:$A$14,0))="",INDEX(Mob_Demob!$G$6:$G$14,MATCH(AM442,Mob_Demob!$A$6:$A$14,0))=""),"",ROUND(MAX(N(INDEX(Mob_Demob!$G$6:$G$14,MATCH(AM442,Mob_Demob!$A$6:$A$14,0))),N(INDEX(Mob_Demob!$D$6:$D$14,MATCH(AM442,Mob_Demob!$A$6:$A$14,0)))*Settings!$B$6)+IF(AP442="Y",N(INDEX(Mob_Demob!$I$6:$I$14,MATCH(AM442,Mob_Demob!$A$6:$A$14,0)))*Settings!$B$19,0)+N(INDEX(Mob_Demob!$L$6:$L$14,MATCH(AM442,Mob_Demob!$A$6:$A$14,0)))*N(INDEX(Mob_Demob!$K$6:$K$14,MATCH(AM442,Mob_Demob!$A$6:$A$14,0)))*Settings!$B$6+N(INDEX(Mob_Demob!$M$6:$M$14,MATCH(AM442,Mob_Demob!$A$6:$A$14,0)))*N(INDEX(Mob_Demob!$N$6:$N$14,MATCH(AM442,Mob_Demob!$A$6:$A$14,0))),0)),"")</f>
        <v>200</v>
      </c>
      <c r="AR442" s="16" t="n">
        <f aca="false">IF(AQ442="","",ROUND(AQ442*Settings!$B$18,0))</f>
        <v>200</v>
      </c>
      <c r="AS442" s="13"/>
      <c r="AT442" s="14" t="s">
        <v>2811</v>
      </c>
      <c r="AU442" s="14" t="s">
        <v>1381</v>
      </c>
    </row>
    <row r="443" customFormat="false" ht="53.7" hidden="false" customHeight="false" outlineLevel="0" collapsed="false">
      <c r="A443" s="21" t="s">
        <v>2812</v>
      </c>
      <c r="B443" s="21" t="s">
        <v>2813</v>
      </c>
      <c r="C443" s="21" t="s">
        <v>2814</v>
      </c>
      <c r="D443" s="21" t="s">
        <v>2815</v>
      </c>
      <c r="E443" s="22" t="s">
        <v>2816</v>
      </c>
      <c r="F443" s="13" t="s">
        <v>2817</v>
      </c>
      <c r="G443" s="13" t="n">
        <v>66.8</v>
      </c>
      <c r="H443" s="13" t="s">
        <v>462</v>
      </c>
      <c r="I443" s="14" t="s">
        <v>2818</v>
      </c>
      <c r="J443" s="15" t="n">
        <v>101400</v>
      </c>
      <c r="K443" s="13"/>
      <c r="L443" s="13"/>
      <c r="M443" s="13" t="n">
        <v>66.8</v>
      </c>
      <c r="N443" s="13" t="s">
        <v>184</v>
      </c>
      <c r="O443" s="13" t="s">
        <v>185</v>
      </c>
      <c r="P443" s="13" t="s">
        <v>186</v>
      </c>
      <c r="Q443" s="16"/>
      <c r="R443" s="16"/>
      <c r="S443" s="16"/>
      <c r="T443" s="16"/>
      <c r="U443" s="16"/>
      <c r="V443" s="13" t="s">
        <v>187</v>
      </c>
      <c r="W443" s="17"/>
      <c r="X443" s="13"/>
      <c r="Y443" s="13"/>
      <c r="Z443" s="13"/>
      <c r="AA443" s="13" t="s">
        <v>188</v>
      </c>
      <c r="AB443" s="13"/>
      <c r="AC443" s="17"/>
      <c r="AD443" s="13"/>
      <c r="AE443" s="19"/>
      <c r="AF443" s="19"/>
      <c r="AG443" s="19"/>
      <c r="AH443" s="13"/>
      <c r="AI443" s="17"/>
      <c r="AJ443" s="13" t="s">
        <v>188</v>
      </c>
      <c r="AK443" s="13" t="s">
        <v>188</v>
      </c>
      <c r="AL443" s="14" t="s">
        <v>2433</v>
      </c>
      <c r="AM443" s="13" t="s">
        <v>286</v>
      </c>
      <c r="AN443" s="15" t="n">
        <v>101400</v>
      </c>
      <c r="AO443" s="13"/>
      <c r="AP443" s="13" t="s">
        <v>269</v>
      </c>
      <c r="AQ443" s="16" t="n">
        <f aca="false">IFERROR(IF(AND(INDEX(Mob_Demob!$D$6:$D$14,MATCH(AM443,Mob_Demob!$A$6:$A$14,0))="",INDEX(Mob_Demob!$G$6:$G$14,MATCH(AM443,Mob_Demob!$A$6:$A$14,0))=""),"",ROUND(MAX(N(INDEX(Mob_Demob!$G$6:$G$14,MATCH(AM443,Mob_Demob!$A$6:$A$14,0))),N(INDEX(Mob_Demob!$D$6:$D$14,MATCH(AM443,Mob_Demob!$A$6:$A$14,0)))*Settings!$B$6)+IF(AP443="Y",N(INDEX(Mob_Demob!$I$6:$I$14,MATCH(AM443,Mob_Demob!$A$6:$A$14,0)))*Settings!$B$19,0)+N(INDEX(Mob_Demob!$L$6:$L$14,MATCH(AM443,Mob_Demob!$A$6:$A$14,0)))*N(INDEX(Mob_Demob!$K$6:$K$14,MATCH(AM443,Mob_Demob!$A$6:$A$14,0)))*Settings!$B$6+N(INDEX(Mob_Demob!$M$6:$M$14,MATCH(AM443,Mob_Demob!$A$6:$A$14,0)))*N(INDEX(Mob_Demob!$N$6:$N$14,MATCH(AM443,Mob_Demob!$A$6:$A$14,0))),0)),"")</f>
        <v>1913</v>
      </c>
      <c r="AR443" s="16" t="n">
        <f aca="false">IF(AQ443="","",ROUND(AQ443*Settings!$B$18,0))</f>
        <v>1913</v>
      </c>
      <c r="AS443" s="13" t="s">
        <v>2819</v>
      </c>
      <c r="AT443" s="14"/>
      <c r="AU443" s="14" t="s">
        <v>466</v>
      </c>
    </row>
    <row r="444" customFormat="false" ht="53.7" hidden="false" customHeight="false" outlineLevel="0" collapsed="false">
      <c r="A444" s="21" t="s">
        <v>2820</v>
      </c>
      <c r="B444" s="21" t="s">
        <v>2813</v>
      </c>
      <c r="C444" s="21" t="s">
        <v>2814</v>
      </c>
      <c r="D444" s="21" t="s">
        <v>2815</v>
      </c>
      <c r="E444" s="22" t="s">
        <v>2821</v>
      </c>
      <c r="F444" s="13" t="s">
        <v>2817</v>
      </c>
      <c r="G444" s="13" t="n">
        <v>72.2</v>
      </c>
      <c r="H444" s="13" t="s">
        <v>462</v>
      </c>
      <c r="I444" s="14" t="s">
        <v>2822</v>
      </c>
      <c r="J444" s="15" t="n">
        <v>122600</v>
      </c>
      <c r="K444" s="13"/>
      <c r="L444" s="13"/>
      <c r="M444" s="13" t="n">
        <v>72.2</v>
      </c>
      <c r="N444" s="13" t="s">
        <v>184</v>
      </c>
      <c r="O444" s="13" t="s">
        <v>185</v>
      </c>
      <c r="P444" s="13" t="s">
        <v>186</v>
      </c>
      <c r="Q444" s="16"/>
      <c r="R444" s="16"/>
      <c r="S444" s="16"/>
      <c r="T444" s="16"/>
      <c r="U444" s="16"/>
      <c r="V444" s="13" t="s">
        <v>187</v>
      </c>
      <c r="W444" s="17"/>
      <c r="X444" s="13"/>
      <c r="Y444" s="13"/>
      <c r="Z444" s="13"/>
      <c r="AA444" s="13" t="s">
        <v>188</v>
      </c>
      <c r="AB444" s="13"/>
      <c r="AC444" s="17"/>
      <c r="AD444" s="13"/>
      <c r="AE444" s="19"/>
      <c r="AF444" s="19"/>
      <c r="AG444" s="19"/>
      <c r="AH444" s="13"/>
      <c r="AI444" s="17"/>
      <c r="AJ444" s="13" t="s">
        <v>188</v>
      </c>
      <c r="AK444" s="13" t="s">
        <v>188</v>
      </c>
      <c r="AL444" s="14" t="s">
        <v>2433</v>
      </c>
      <c r="AM444" s="13" t="s">
        <v>286</v>
      </c>
      <c r="AN444" s="15" t="n">
        <v>122600</v>
      </c>
      <c r="AO444" s="13"/>
      <c r="AP444" s="13" t="s">
        <v>269</v>
      </c>
      <c r="AQ444" s="16" t="n">
        <f aca="false">IFERROR(IF(AND(INDEX(Mob_Demob!$D$6:$D$14,MATCH(AM444,Mob_Demob!$A$6:$A$14,0))="",INDEX(Mob_Demob!$G$6:$G$14,MATCH(AM444,Mob_Demob!$A$6:$A$14,0))=""),"",ROUND(MAX(N(INDEX(Mob_Demob!$G$6:$G$14,MATCH(AM444,Mob_Demob!$A$6:$A$14,0))),N(INDEX(Mob_Demob!$D$6:$D$14,MATCH(AM444,Mob_Demob!$A$6:$A$14,0)))*Settings!$B$6)+IF(AP444="Y",N(INDEX(Mob_Demob!$I$6:$I$14,MATCH(AM444,Mob_Demob!$A$6:$A$14,0)))*Settings!$B$19,0)+N(INDEX(Mob_Demob!$L$6:$L$14,MATCH(AM444,Mob_Demob!$A$6:$A$14,0)))*N(INDEX(Mob_Demob!$K$6:$K$14,MATCH(AM444,Mob_Demob!$A$6:$A$14,0)))*Settings!$B$6+N(INDEX(Mob_Demob!$M$6:$M$14,MATCH(AM444,Mob_Demob!$A$6:$A$14,0)))*N(INDEX(Mob_Demob!$N$6:$N$14,MATCH(AM444,Mob_Demob!$A$6:$A$14,0))),0)),"")</f>
        <v>1913</v>
      </c>
      <c r="AR444" s="16" t="n">
        <f aca="false">IF(AQ444="","",ROUND(AQ444*Settings!$B$18,0))</f>
        <v>1913</v>
      </c>
      <c r="AS444" s="13" t="s">
        <v>2819</v>
      </c>
      <c r="AT444" s="14"/>
      <c r="AU444" s="14" t="s">
        <v>466</v>
      </c>
    </row>
    <row r="445" customFormat="false" ht="53.7" hidden="false" customHeight="false" outlineLevel="0" collapsed="false">
      <c r="A445" s="21" t="s">
        <v>2823</v>
      </c>
      <c r="B445" s="21" t="s">
        <v>2813</v>
      </c>
      <c r="C445" s="21" t="s">
        <v>2814</v>
      </c>
      <c r="D445" s="21" t="s">
        <v>2815</v>
      </c>
      <c r="E445" s="22" t="s">
        <v>2824</v>
      </c>
      <c r="F445" s="13" t="s">
        <v>2817</v>
      </c>
      <c r="G445" s="13" t="n">
        <v>90.8</v>
      </c>
      <c r="H445" s="13" t="s">
        <v>462</v>
      </c>
      <c r="I445" s="14" t="s">
        <v>2825</v>
      </c>
      <c r="J445" s="15" t="n">
        <v>142200</v>
      </c>
      <c r="K445" s="13"/>
      <c r="L445" s="13"/>
      <c r="M445" s="13" t="n">
        <v>90.8</v>
      </c>
      <c r="N445" s="13" t="s">
        <v>184</v>
      </c>
      <c r="O445" s="13" t="s">
        <v>185</v>
      </c>
      <c r="P445" s="13" t="s">
        <v>186</v>
      </c>
      <c r="Q445" s="16"/>
      <c r="R445" s="16"/>
      <c r="S445" s="16"/>
      <c r="T445" s="16"/>
      <c r="U445" s="16"/>
      <c r="V445" s="13" t="s">
        <v>187</v>
      </c>
      <c r="W445" s="17"/>
      <c r="X445" s="13"/>
      <c r="Y445" s="13"/>
      <c r="Z445" s="13"/>
      <c r="AA445" s="13" t="s">
        <v>188</v>
      </c>
      <c r="AB445" s="13"/>
      <c r="AC445" s="17"/>
      <c r="AD445" s="13"/>
      <c r="AE445" s="19"/>
      <c r="AF445" s="19"/>
      <c r="AG445" s="19"/>
      <c r="AH445" s="13"/>
      <c r="AI445" s="17"/>
      <c r="AJ445" s="13" t="s">
        <v>188</v>
      </c>
      <c r="AK445" s="13" t="s">
        <v>188</v>
      </c>
      <c r="AL445" s="14" t="s">
        <v>2433</v>
      </c>
      <c r="AM445" s="13" t="s">
        <v>286</v>
      </c>
      <c r="AN445" s="15" t="n">
        <v>142200</v>
      </c>
      <c r="AO445" s="13"/>
      <c r="AP445" s="13" t="s">
        <v>269</v>
      </c>
      <c r="AQ445" s="16" t="n">
        <f aca="false">IFERROR(IF(AND(INDEX(Mob_Demob!$D$6:$D$14,MATCH(AM445,Mob_Demob!$A$6:$A$14,0))="",INDEX(Mob_Demob!$G$6:$G$14,MATCH(AM445,Mob_Demob!$A$6:$A$14,0))=""),"",ROUND(MAX(N(INDEX(Mob_Demob!$G$6:$G$14,MATCH(AM445,Mob_Demob!$A$6:$A$14,0))),N(INDEX(Mob_Demob!$D$6:$D$14,MATCH(AM445,Mob_Demob!$A$6:$A$14,0)))*Settings!$B$6)+IF(AP445="Y",N(INDEX(Mob_Demob!$I$6:$I$14,MATCH(AM445,Mob_Demob!$A$6:$A$14,0)))*Settings!$B$19,0)+N(INDEX(Mob_Demob!$L$6:$L$14,MATCH(AM445,Mob_Demob!$A$6:$A$14,0)))*N(INDEX(Mob_Demob!$K$6:$K$14,MATCH(AM445,Mob_Demob!$A$6:$A$14,0)))*Settings!$B$6+N(INDEX(Mob_Demob!$M$6:$M$14,MATCH(AM445,Mob_Demob!$A$6:$A$14,0)))*N(INDEX(Mob_Demob!$N$6:$N$14,MATCH(AM445,Mob_Demob!$A$6:$A$14,0))),0)),"")</f>
        <v>1913</v>
      </c>
      <c r="AR445" s="16" t="n">
        <f aca="false">IF(AQ445="","",ROUND(AQ445*Settings!$B$18,0))</f>
        <v>1913</v>
      </c>
      <c r="AS445" s="13" t="s">
        <v>2819</v>
      </c>
      <c r="AT445" s="14"/>
      <c r="AU445" s="14" t="s">
        <v>466</v>
      </c>
    </row>
    <row r="446" customFormat="false" ht="53.7" hidden="false" customHeight="false" outlineLevel="0" collapsed="false">
      <c r="A446" s="21" t="s">
        <v>2826</v>
      </c>
      <c r="B446" s="21" t="s">
        <v>2813</v>
      </c>
      <c r="C446" s="21" t="s">
        <v>2827</v>
      </c>
      <c r="D446" s="21" t="s">
        <v>2828</v>
      </c>
      <c r="E446" s="22" t="s">
        <v>2829</v>
      </c>
      <c r="F446" s="13" t="s">
        <v>333</v>
      </c>
      <c r="G446" s="13" t="n">
        <v>87800</v>
      </c>
      <c r="H446" s="13" t="s">
        <v>334</v>
      </c>
      <c r="I446" s="14" t="s">
        <v>2830</v>
      </c>
      <c r="J446" s="15" t="n">
        <v>87800</v>
      </c>
      <c r="K446" s="13"/>
      <c r="L446" s="13"/>
      <c r="M446" s="13"/>
      <c r="N446" s="13" t="s">
        <v>184</v>
      </c>
      <c r="O446" s="13" t="s">
        <v>185</v>
      </c>
      <c r="P446" s="13" t="s">
        <v>186</v>
      </c>
      <c r="Q446" s="16"/>
      <c r="R446" s="16"/>
      <c r="S446" s="16"/>
      <c r="T446" s="16"/>
      <c r="U446" s="16"/>
      <c r="V446" s="13" t="s">
        <v>187</v>
      </c>
      <c r="W446" s="17"/>
      <c r="X446" s="13"/>
      <c r="Y446" s="13"/>
      <c r="Z446" s="13"/>
      <c r="AA446" s="13" t="s">
        <v>188</v>
      </c>
      <c r="AB446" s="13"/>
      <c r="AC446" s="17"/>
      <c r="AD446" s="13"/>
      <c r="AE446" s="19"/>
      <c r="AF446" s="19"/>
      <c r="AG446" s="19"/>
      <c r="AH446" s="13"/>
      <c r="AI446" s="17"/>
      <c r="AJ446" s="13" t="s">
        <v>188</v>
      </c>
      <c r="AK446" s="13" t="s">
        <v>188</v>
      </c>
      <c r="AL446" s="14" t="s">
        <v>2433</v>
      </c>
      <c r="AM446" s="13" t="s">
        <v>268</v>
      </c>
      <c r="AN446" s="15" t="n">
        <v>87800</v>
      </c>
      <c r="AO446" s="13"/>
      <c r="AP446" s="13" t="s">
        <v>269</v>
      </c>
      <c r="AQ446" s="16" t="n">
        <f aca="false">IFERROR(IF(AND(INDEX(Mob_Demob!$D$6:$D$14,MATCH(AM446,Mob_Demob!$A$6:$A$14,0))="",INDEX(Mob_Demob!$G$6:$G$14,MATCH(AM446,Mob_Demob!$A$6:$A$14,0))=""),"",ROUND(MAX(N(INDEX(Mob_Demob!$G$6:$G$14,MATCH(AM446,Mob_Demob!$A$6:$A$14,0))),N(INDEX(Mob_Demob!$D$6:$D$14,MATCH(AM446,Mob_Demob!$A$6:$A$14,0)))*Settings!$B$6)+IF(AP446="Y",N(INDEX(Mob_Demob!$I$6:$I$14,MATCH(AM446,Mob_Demob!$A$6:$A$14,0)))*Settings!$B$19,0)+N(INDEX(Mob_Demob!$L$6:$L$14,MATCH(AM446,Mob_Demob!$A$6:$A$14,0)))*N(INDEX(Mob_Demob!$K$6:$K$14,MATCH(AM446,Mob_Demob!$A$6:$A$14,0)))*Settings!$B$6+N(INDEX(Mob_Demob!$M$6:$M$14,MATCH(AM446,Mob_Demob!$A$6:$A$14,0)))*N(INDEX(Mob_Demob!$N$6:$N$14,MATCH(AM446,Mob_Demob!$A$6:$A$14,0))),0)),"")</f>
        <v>1800</v>
      </c>
      <c r="AR446" s="16" t="n">
        <f aca="false">IF(AQ446="","",ROUND(AQ446*Settings!$B$18,0))</f>
        <v>1800</v>
      </c>
      <c r="AS446" s="13" t="s">
        <v>2819</v>
      </c>
      <c r="AT446" s="14"/>
      <c r="AU446" s="14" t="s">
        <v>466</v>
      </c>
    </row>
    <row r="447" customFormat="false" ht="53.7" hidden="false" customHeight="false" outlineLevel="0" collapsed="false">
      <c r="A447" s="21" t="s">
        <v>2831</v>
      </c>
      <c r="B447" s="21" t="s">
        <v>2813</v>
      </c>
      <c r="C447" s="21" t="s">
        <v>2827</v>
      </c>
      <c r="D447" s="21" t="s">
        <v>2828</v>
      </c>
      <c r="E447" s="22" t="s">
        <v>2832</v>
      </c>
      <c r="F447" s="13" t="s">
        <v>333</v>
      </c>
      <c r="G447" s="13" t="n">
        <v>121000</v>
      </c>
      <c r="H447" s="13" t="s">
        <v>334</v>
      </c>
      <c r="I447" s="14" t="s">
        <v>2833</v>
      </c>
      <c r="J447" s="15" t="n">
        <v>121000</v>
      </c>
      <c r="K447" s="13"/>
      <c r="L447" s="13"/>
      <c r="M447" s="13"/>
      <c r="N447" s="13" t="s">
        <v>184</v>
      </c>
      <c r="O447" s="13" t="s">
        <v>185</v>
      </c>
      <c r="P447" s="13" t="s">
        <v>186</v>
      </c>
      <c r="Q447" s="16"/>
      <c r="R447" s="16"/>
      <c r="S447" s="16"/>
      <c r="T447" s="16"/>
      <c r="U447" s="16"/>
      <c r="V447" s="13" t="s">
        <v>187</v>
      </c>
      <c r="W447" s="17"/>
      <c r="X447" s="13"/>
      <c r="Y447" s="13"/>
      <c r="Z447" s="13"/>
      <c r="AA447" s="13" t="s">
        <v>188</v>
      </c>
      <c r="AB447" s="13"/>
      <c r="AC447" s="17"/>
      <c r="AD447" s="13"/>
      <c r="AE447" s="19"/>
      <c r="AF447" s="19"/>
      <c r="AG447" s="19"/>
      <c r="AH447" s="13"/>
      <c r="AI447" s="17"/>
      <c r="AJ447" s="13" t="s">
        <v>188</v>
      </c>
      <c r="AK447" s="13" t="s">
        <v>188</v>
      </c>
      <c r="AL447" s="14" t="s">
        <v>2433</v>
      </c>
      <c r="AM447" s="13" t="s">
        <v>286</v>
      </c>
      <c r="AN447" s="15" t="n">
        <v>121000</v>
      </c>
      <c r="AO447" s="13"/>
      <c r="AP447" s="13" t="s">
        <v>269</v>
      </c>
      <c r="AQ447" s="16" t="n">
        <f aca="false">IFERROR(IF(AND(INDEX(Mob_Demob!$D$6:$D$14,MATCH(AM447,Mob_Demob!$A$6:$A$14,0))="",INDEX(Mob_Demob!$G$6:$G$14,MATCH(AM447,Mob_Demob!$A$6:$A$14,0))=""),"",ROUND(MAX(N(INDEX(Mob_Demob!$G$6:$G$14,MATCH(AM447,Mob_Demob!$A$6:$A$14,0))),N(INDEX(Mob_Demob!$D$6:$D$14,MATCH(AM447,Mob_Demob!$A$6:$A$14,0)))*Settings!$B$6)+IF(AP447="Y",N(INDEX(Mob_Demob!$I$6:$I$14,MATCH(AM447,Mob_Demob!$A$6:$A$14,0)))*Settings!$B$19,0)+N(INDEX(Mob_Demob!$L$6:$L$14,MATCH(AM447,Mob_Demob!$A$6:$A$14,0)))*N(INDEX(Mob_Demob!$K$6:$K$14,MATCH(AM447,Mob_Demob!$A$6:$A$14,0)))*Settings!$B$6+N(INDEX(Mob_Demob!$M$6:$M$14,MATCH(AM447,Mob_Demob!$A$6:$A$14,0)))*N(INDEX(Mob_Demob!$N$6:$N$14,MATCH(AM447,Mob_Demob!$A$6:$A$14,0))),0)),"")</f>
        <v>1913</v>
      </c>
      <c r="AR447" s="16" t="n">
        <f aca="false">IF(AQ447="","",ROUND(AQ447*Settings!$B$18,0))</f>
        <v>1913</v>
      </c>
      <c r="AS447" s="13" t="s">
        <v>2819</v>
      </c>
      <c r="AT447" s="14"/>
      <c r="AU447" s="14" t="s">
        <v>466</v>
      </c>
    </row>
    <row r="448" customFormat="false" ht="64.15" hidden="false" customHeight="false" outlineLevel="0" collapsed="false">
      <c r="A448" s="21" t="s">
        <v>2834</v>
      </c>
      <c r="B448" s="21" t="s">
        <v>2813</v>
      </c>
      <c r="C448" s="21" t="s">
        <v>2835</v>
      </c>
      <c r="D448" s="21" t="s">
        <v>2836</v>
      </c>
      <c r="E448" s="22" t="s">
        <v>2837</v>
      </c>
      <c r="F448" s="13" t="s">
        <v>1161</v>
      </c>
      <c r="G448" s="13"/>
      <c r="H448" s="13" t="s">
        <v>334</v>
      </c>
      <c r="I448" s="14"/>
      <c r="J448" s="15"/>
      <c r="K448" s="13"/>
      <c r="L448" s="13"/>
      <c r="M448" s="13"/>
      <c r="N448" s="13" t="s">
        <v>1737</v>
      </c>
      <c r="O448" s="13" t="s">
        <v>1164</v>
      </c>
      <c r="P448" s="13" t="s">
        <v>186</v>
      </c>
      <c r="Q448" s="16"/>
      <c r="R448" s="16"/>
      <c r="S448" s="16"/>
      <c r="T448" s="16"/>
      <c r="U448" s="16"/>
      <c r="V448" s="13" t="s">
        <v>187</v>
      </c>
      <c r="W448" s="17"/>
      <c r="X448" s="13"/>
      <c r="Y448" s="13"/>
      <c r="Z448" s="13"/>
      <c r="AA448" s="13" t="s">
        <v>188</v>
      </c>
      <c r="AB448" s="13"/>
      <c r="AC448" s="17"/>
      <c r="AD448" s="13"/>
      <c r="AE448" s="19" t="n">
        <v>0</v>
      </c>
      <c r="AF448" s="19" t="n">
        <v>0</v>
      </c>
      <c r="AG448" s="19" t="n">
        <v>0</v>
      </c>
      <c r="AH448" s="13" t="s">
        <v>1739</v>
      </c>
      <c r="AI448" s="17"/>
      <c r="AJ448" s="13" t="s">
        <v>188</v>
      </c>
      <c r="AK448" s="13" t="s">
        <v>188</v>
      </c>
      <c r="AL448" s="14" t="s">
        <v>194</v>
      </c>
      <c r="AM448" s="13" t="s">
        <v>195</v>
      </c>
      <c r="AN448" s="15"/>
      <c r="AO448" s="13"/>
      <c r="AP448" s="13" t="s">
        <v>196</v>
      </c>
      <c r="AQ448" s="16" t="n">
        <f aca="false">IFERROR(IF(AND(INDEX(Mob_Demob!$D$6:$D$14,MATCH(AM448,Mob_Demob!$A$6:$A$14,0))="",INDEX(Mob_Demob!$G$6:$G$14,MATCH(AM448,Mob_Demob!$A$6:$A$14,0))=""),"",ROUND(MAX(N(INDEX(Mob_Demob!$G$6:$G$14,MATCH(AM448,Mob_Demob!$A$6:$A$14,0))),N(INDEX(Mob_Demob!$D$6:$D$14,MATCH(AM448,Mob_Demob!$A$6:$A$14,0)))*Settings!$B$6)+IF(AP448="Y",N(INDEX(Mob_Demob!$I$6:$I$14,MATCH(AM448,Mob_Demob!$A$6:$A$14,0)))*Settings!$B$19,0)+N(INDEX(Mob_Demob!$L$6:$L$14,MATCH(AM448,Mob_Demob!$A$6:$A$14,0)))*N(INDEX(Mob_Demob!$K$6:$K$14,MATCH(AM448,Mob_Demob!$A$6:$A$14,0)))*Settings!$B$6+N(INDEX(Mob_Demob!$M$6:$M$14,MATCH(AM448,Mob_Demob!$A$6:$A$14,0)))*N(INDEX(Mob_Demob!$N$6:$N$14,MATCH(AM448,Mob_Demob!$A$6:$A$14,0))),0)),"")</f>
        <v>500</v>
      </c>
      <c r="AR448" s="16" t="n">
        <f aca="false">IF(AQ448="","",ROUND(AQ448*Settings!$B$18,0))</f>
        <v>500</v>
      </c>
      <c r="AS448" s="13"/>
      <c r="AT448" s="14" t="s">
        <v>2838</v>
      </c>
      <c r="AU448" s="14" t="s">
        <v>251</v>
      </c>
    </row>
    <row r="449" customFormat="false" ht="64.15" hidden="false" customHeight="false" outlineLevel="0" collapsed="false">
      <c r="A449" s="21" t="s">
        <v>2839</v>
      </c>
      <c r="B449" s="21" t="s">
        <v>2813</v>
      </c>
      <c r="C449" s="21" t="s">
        <v>1480</v>
      </c>
      <c r="D449" s="21" t="s">
        <v>2840</v>
      </c>
      <c r="E449" s="22" t="s">
        <v>2841</v>
      </c>
      <c r="F449" s="13" t="s">
        <v>141</v>
      </c>
      <c r="G449" s="13" t="s">
        <v>1580</v>
      </c>
      <c r="H449" s="13"/>
      <c r="I449" s="14"/>
      <c r="J449" s="15"/>
      <c r="K449" s="13"/>
      <c r="L449" s="13"/>
      <c r="M449" s="13"/>
      <c r="N449" s="13" t="s">
        <v>503</v>
      </c>
      <c r="O449" s="13" t="s">
        <v>504</v>
      </c>
      <c r="P449" s="13" t="s">
        <v>186</v>
      </c>
      <c r="Q449" s="20" t="n">
        <v>303</v>
      </c>
      <c r="R449" s="20" t="n">
        <v>833</v>
      </c>
      <c r="S449" s="20" t="n">
        <v>2375</v>
      </c>
      <c r="T449" s="20" t="n">
        <v>1665</v>
      </c>
      <c r="U449" s="20" t="n">
        <v>3303</v>
      </c>
      <c r="V449" s="13" t="s">
        <v>187</v>
      </c>
      <c r="W449" s="17"/>
      <c r="X449" s="13"/>
      <c r="Y449" s="13" t="s">
        <v>2842</v>
      </c>
      <c r="Z449" s="13" t="s">
        <v>212</v>
      </c>
      <c r="AA449" s="13" t="s">
        <v>213</v>
      </c>
      <c r="AB449" s="13"/>
      <c r="AC449" s="17"/>
      <c r="AD449" s="13"/>
      <c r="AE449" s="19" t="n">
        <v>0</v>
      </c>
      <c r="AF449" s="19" t="n">
        <v>0</v>
      </c>
      <c r="AG449" s="19" t="n">
        <v>0</v>
      </c>
      <c r="AH449" s="13" t="s">
        <v>506</v>
      </c>
      <c r="AI449" s="17"/>
      <c r="AJ449" s="13" t="s">
        <v>188</v>
      </c>
      <c r="AK449" s="13" t="s">
        <v>188</v>
      </c>
      <c r="AL449" s="14" t="s">
        <v>194</v>
      </c>
      <c r="AM449" s="13" t="s">
        <v>507</v>
      </c>
      <c r="AN449" s="15"/>
      <c r="AO449" s="13"/>
      <c r="AP449" s="13" t="s">
        <v>196</v>
      </c>
      <c r="AQ449" s="16" t="n">
        <f aca="false">IFERROR(IF(AND(INDEX(Mob_Demob!$D$6:$D$14,MATCH(AM449,Mob_Demob!$A$6:$A$14,0))="",INDEX(Mob_Demob!$G$6:$G$14,MATCH(AM449,Mob_Demob!$A$6:$A$14,0))=""),"",ROUND(MAX(N(INDEX(Mob_Demob!$G$6:$G$14,MATCH(AM449,Mob_Demob!$A$6:$A$14,0))),N(INDEX(Mob_Demob!$D$6:$D$14,MATCH(AM449,Mob_Demob!$A$6:$A$14,0)))*Settings!$B$6)+IF(AP449="Y",N(INDEX(Mob_Demob!$I$6:$I$14,MATCH(AM449,Mob_Demob!$A$6:$A$14,0)))*Settings!$B$19,0)+N(INDEX(Mob_Demob!$L$6:$L$14,MATCH(AM449,Mob_Demob!$A$6:$A$14,0)))*N(INDEX(Mob_Demob!$K$6:$K$14,MATCH(AM449,Mob_Demob!$A$6:$A$14,0)))*Settings!$B$6+N(INDEX(Mob_Demob!$M$6:$M$14,MATCH(AM449,Mob_Demob!$A$6:$A$14,0)))*N(INDEX(Mob_Demob!$N$6:$N$14,MATCH(AM449,Mob_Demob!$A$6:$A$14,0))),0)),"")</f>
        <v>400</v>
      </c>
      <c r="AR449" s="16" t="n">
        <f aca="false">IF(AQ449="","",ROUND(AQ449*Settings!$B$18,0))</f>
        <v>400</v>
      </c>
      <c r="AS449" s="13" t="s">
        <v>2843</v>
      </c>
      <c r="AT449" s="14" t="s">
        <v>2844</v>
      </c>
      <c r="AU449" s="14" t="s">
        <v>341</v>
      </c>
    </row>
    <row r="450" customFormat="false" ht="64.15" hidden="false" customHeight="false" outlineLevel="0" collapsed="false">
      <c r="A450" s="21" t="s">
        <v>2845</v>
      </c>
      <c r="B450" s="21" t="s">
        <v>2813</v>
      </c>
      <c r="C450" s="21" t="s">
        <v>1480</v>
      </c>
      <c r="D450" s="21" t="s">
        <v>2840</v>
      </c>
      <c r="E450" s="22" t="s">
        <v>2846</v>
      </c>
      <c r="F450" s="13" t="s">
        <v>141</v>
      </c>
      <c r="G450" s="13" t="s">
        <v>1580</v>
      </c>
      <c r="H450" s="13"/>
      <c r="I450" s="14"/>
      <c r="J450" s="15"/>
      <c r="K450" s="13"/>
      <c r="L450" s="13"/>
      <c r="M450" s="13"/>
      <c r="N450" s="13" t="s">
        <v>503</v>
      </c>
      <c r="O450" s="13" t="s">
        <v>504</v>
      </c>
      <c r="P450" s="13" t="s">
        <v>186</v>
      </c>
      <c r="Q450" s="20" t="n">
        <v>589</v>
      </c>
      <c r="R450" s="20" t="n">
        <v>1708</v>
      </c>
      <c r="S450" s="20" t="n">
        <v>4995</v>
      </c>
      <c r="T450" s="16"/>
      <c r="U450" s="16"/>
      <c r="V450" s="13" t="s">
        <v>187</v>
      </c>
      <c r="W450" s="17"/>
      <c r="X450" s="13"/>
      <c r="Y450" s="13" t="s">
        <v>259</v>
      </c>
      <c r="Z450" s="13" t="s">
        <v>212</v>
      </c>
      <c r="AA450" s="13" t="s">
        <v>192</v>
      </c>
      <c r="AB450" s="13"/>
      <c r="AC450" s="17"/>
      <c r="AD450" s="13"/>
      <c r="AE450" s="19" t="n">
        <v>0</v>
      </c>
      <c r="AF450" s="19" t="n">
        <v>0</v>
      </c>
      <c r="AG450" s="19" t="n">
        <v>0</v>
      </c>
      <c r="AH450" s="13" t="s">
        <v>506</v>
      </c>
      <c r="AI450" s="17"/>
      <c r="AJ450" s="13" t="s">
        <v>188</v>
      </c>
      <c r="AK450" s="13" t="s">
        <v>188</v>
      </c>
      <c r="AL450" s="14" t="s">
        <v>194</v>
      </c>
      <c r="AM450" s="13" t="s">
        <v>507</v>
      </c>
      <c r="AN450" s="15"/>
      <c r="AO450" s="13"/>
      <c r="AP450" s="13" t="s">
        <v>196</v>
      </c>
      <c r="AQ450" s="16" t="n">
        <f aca="false">IFERROR(IF(AND(INDEX(Mob_Demob!$D$6:$D$14,MATCH(AM450,Mob_Demob!$A$6:$A$14,0))="",INDEX(Mob_Demob!$G$6:$G$14,MATCH(AM450,Mob_Demob!$A$6:$A$14,0))=""),"",ROUND(MAX(N(INDEX(Mob_Demob!$G$6:$G$14,MATCH(AM450,Mob_Demob!$A$6:$A$14,0))),N(INDEX(Mob_Demob!$D$6:$D$14,MATCH(AM450,Mob_Demob!$A$6:$A$14,0)))*Settings!$B$6)+IF(AP450="Y",N(INDEX(Mob_Demob!$I$6:$I$14,MATCH(AM450,Mob_Demob!$A$6:$A$14,0)))*Settings!$B$19,0)+N(INDEX(Mob_Demob!$L$6:$L$14,MATCH(AM450,Mob_Demob!$A$6:$A$14,0)))*N(INDEX(Mob_Demob!$K$6:$K$14,MATCH(AM450,Mob_Demob!$A$6:$A$14,0)))*Settings!$B$6+N(INDEX(Mob_Demob!$M$6:$M$14,MATCH(AM450,Mob_Demob!$A$6:$A$14,0)))*N(INDEX(Mob_Demob!$N$6:$N$14,MATCH(AM450,Mob_Demob!$A$6:$A$14,0))),0)),"")</f>
        <v>400</v>
      </c>
      <c r="AR450" s="16" t="n">
        <f aca="false">IF(AQ450="","",ROUND(AQ450*Settings!$B$18,0))</f>
        <v>400</v>
      </c>
      <c r="AS450" s="13" t="s">
        <v>2843</v>
      </c>
      <c r="AT450" s="14" t="s">
        <v>2847</v>
      </c>
      <c r="AU450" s="14" t="s">
        <v>341</v>
      </c>
    </row>
    <row r="451" customFormat="false" ht="64.15" hidden="false" customHeight="false" outlineLevel="0" collapsed="false">
      <c r="A451" s="21" t="s">
        <v>2848</v>
      </c>
      <c r="B451" s="21" t="s">
        <v>2813</v>
      </c>
      <c r="C451" s="21" t="s">
        <v>1480</v>
      </c>
      <c r="D451" s="21" t="s">
        <v>2849</v>
      </c>
      <c r="E451" s="22" t="s">
        <v>2850</v>
      </c>
      <c r="F451" s="13" t="s">
        <v>141</v>
      </c>
      <c r="G451" s="13" t="s">
        <v>1580</v>
      </c>
      <c r="H451" s="13"/>
      <c r="I451" s="14"/>
      <c r="J451" s="15"/>
      <c r="K451" s="13"/>
      <c r="L451" s="13"/>
      <c r="M451" s="13"/>
      <c r="N451" s="13" t="s">
        <v>503</v>
      </c>
      <c r="O451" s="13" t="s">
        <v>504</v>
      </c>
      <c r="P451" s="13" t="s">
        <v>186</v>
      </c>
      <c r="Q451" s="20" t="n">
        <v>800</v>
      </c>
      <c r="R451" s="20" t="n">
        <v>1975</v>
      </c>
      <c r="S451" s="20" t="n">
        <v>4900</v>
      </c>
      <c r="T451" s="16"/>
      <c r="U451" s="16"/>
      <c r="V451" s="13" t="s">
        <v>187</v>
      </c>
      <c r="W451" s="17"/>
      <c r="X451" s="13"/>
      <c r="Y451" s="13" t="s">
        <v>1001</v>
      </c>
      <c r="Z451" s="13" t="s">
        <v>212</v>
      </c>
      <c r="AA451" s="13" t="s">
        <v>192</v>
      </c>
      <c r="AB451" s="13"/>
      <c r="AC451" s="17"/>
      <c r="AD451" s="13"/>
      <c r="AE451" s="19" t="n">
        <v>0</v>
      </c>
      <c r="AF451" s="19" t="n">
        <v>0</v>
      </c>
      <c r="AG451" s="19" t="n">
        <v>0</v>
      </c>
      <c r="AH451" s="13" t="s">
        <v>506</v>
      </c>
      <c r="AI451" s="17"/>
      <c r="AJ451" s="13" t="s">
        <v>188</v>
      </c>
      <c r="AK451" s="13" t="s">
        <v>188</v>
      </c>
      <c r="AL451" s="14" t="s">
        <v>194</v>
      </c>
      <c r="AM451" s="13" t="s">
        <v>507</v>
      </c>
      <c r="AN451" s="15"/>
      <c r="AO451" s="13"/>
      <c r="AP451" s="13" t="s">
        <v>196</v>
      </c>
      <c r="AQ451" s="16" t="n">
        <f aca="false">IFERROR(IF(AND(INDEX(Mob_Demob!$D$6:$D$14,MATCH(AM451,Mob_Demob!$A$6:$A$14,0))="",INDEX(Mob_Demob!$G$6:$G$14,MATCH(AM451,Mob_Demob!$A$6:$A$14,0))=""),"",ROUND(MAX(N(INDEX(Mob_Demob!$G$6:$G$14,MATCH(AM451,Mob_Demob!$A$6:$A$14,0))),N(INDEX(Mob_Demob!$D$6:$D$14,MATCH(AM451,Mob_Demob!$A$6:$A$14,0)))*Settings!$B$6)+IF(AP451="Y",N(INDEX(Mob_Demob!$I$6:$I$14,MATCH(AM451,Mob_Demob!$A$6:$A$14,0)))*Settings!$B$19,0)+N(INDEX(Mob_Demob!$L$6:$L$14,MATCH(AM451,Mob_Demob!$A$6:$A$14,0)))*N(INDEX(Mob_Demob!$K$6:$K$14,MATCH(AM451,Mob_Demob!$A$6:$A$14,0)))*Settings!$B$6+N(INDEX(Mob_Demob!$M$6:$M$14,MATCH(AM451,Mob_Demob!$A$6:$A$14,0)))*N(INDEX(Mob_Demob!$N$6:$N$14,MATCH(AM451,Mob_Demob!$A$6:$A$14,0))),0)),"")</f>
        <v>400</v>
      </c>
      <c r="AR451" s="16" t="n">
        <f aca="false">IF(AQ451="","",ROUND(AQ451*Settings!$B$18,0))</f>
        <v>400</v>
      </c>
      <c r="AS451" s="13" t="s">
        <v>2843</v>
      </c>
      <c r="AT451" s="14" t="s">
        <v>2851</v>
      </c>
      <c r="AU451" s="14" t="s">
        <v>341</v>
      </c>
    </row>
    <row r="452" customFormat="false" ht="64.15" hidden="false" customHeight="false" outlineLevel="0" collapsed="false">
      <c r="A452" s="21" t="s">
        <v>2852</v>
      </c>
      <c r="B452" s="21" t="s">
        <v>2813</v>
      </c>
      <c r="C452" s="21" t="s">
        <v>1480</v>
      </c>
      <c r="D452" s="21" t="s">
        <v>2853</v>
      </c>
      <c r="E452" s="22" t="s">
        <v>2853</v>
      </c>
      <c r="F452" s="13" t="s">
        <v>141</v>
      </c>
      <c r="G452" s="13" t="s">
        <v>1580</v>
      </c>
      <c r="H452" s="13"/>
      <c r="I452" s="14"/>
      <c r="J452" s="15"/>
      <c r="K452" s="13"/>
      <c r="L452" s="13"/>
      <c r="M452" s="13"/>
      <c r="N452" s="13" t="s">
        <v>503</v>
      </c>
      <c r="O452" s="13" t="s">
        <v>504</v>
      </c>
      <c r="P452" s="13" t="s">
        <v>186</v>
      </c>
      <c r="Q452" s="20" t="n">
        <v>1050</v>
      </c>
      <c r="R452" s="20" t="n">
        <v>2575</v>
      </c>
      <c r="S452" s="20" t="n">
        <v>6400</v>
      </c>
      <c r="T452" s="20" t="n">
        <v>5500</v>
      </c>
      <c r="U452" s="20" t="n">
        <v>10440</v>
      </c>
      <c r="V452" s="13" t="s">
        <v>187</v>
      </c>
      <c r="W452" s="17"/>
      <c r="X452" s="13"/>
      <c r="Y452" s="13" t="s">
        <v>426</v>
      </c>
      <c r="Z452" s="13" t="s">
        <v>212</v>
      </c>
      <c r="AA452" s="13" t="s">
        <v>213</v>
      </c>
      <c r="AB452" s="13"/>
      <c r="AC452" s="17"/>
      <c r="AD452" s="13"/>
      <c r="AE452" s="19" t="n">
        <v>0</v>
      </c>
      <c r="AF452" s="19" t="n">
        <v>0</v>
      </c>
      <c r="AG452" s="19" t="n">
        <v>0</v>
      </c>
      <c r="AH452" s="13" t="s">
        <v>506</v>
      </c>
      <c r="AI452" s="17"/>
      <c r="AJ452" s="13" t="s">
        <v>188</v>
      </c>
      <c r="AK452" s="13" t="s">
        <v>188</v>
      </c>
      <c r="AL452" s="14" t="s">
        <v>194</v>
      </c>
      <c r="AM452" s="13" t="s">
        <v>507</v>
      </c>
      <c r="AN452" s="15"/>
      <c r="AO452" s="13"/>
      <c r="AP452" s="13" t="s">
        <v>196</v>
      </c>
      <c r="AQ452" s="16" t="n">
        <f aca="false">IFERROR(IF(AND(INDEX(Mob_Demob!$D$6:$D$14,MATCH(AM452,Mob_Demob!$A$6:$A$14,0))="",INDEX(Mob_Demob!$G$6:$G$14,MATCH(AM452,Mob_Demob!$A$6:$A$14,0))=""),"",ROUND(MAX(N(INDEX(Mob_Demob!$G$6:$G$14,MATCH(AM452,Mob_Demob!$A$6:$A$14,0))),N(INDEX(Mob_Demob!$D$6:$D$14,MATCH(AM452,Mob_Demob!$A$6:$A$14,0)))*Settings!$B$6)+IF(AP452="Y",N(INDEX(Mob_Demob!$I$6:$I$14,MATCH(AM452,Mob_Demob!$A$6:$A$14,0)))*Settings!$B$19,0)+N(INDEX(Mob_Demob!$L$6:$L$14,MATCH(AM452,Mob_Demob!$A$6:$A$14,0)))*N(INDEX(Mob_Demob!$K$6:$K$14,MATCH(AM452,Mob_Demob!$A$6:$A$14,0)))*Settings!$B$6+N(INDEX(Mob_Demob!$M$6:$M$14,MATCH(AM452,Mob_Demob!$A$6:$A$14,0)))*N(INDEX(Mob_Demob!$N$6:$N$14,MATCH(AM452,Mob_Demob!$A$6:$A$14,0))),0)),"")</f>
        <v>400</v>
      </c>
      <c r="AR452" s="16" t="n">
        <f aca="false">IF(AQ452="","",ROUND(AQ452*Settings!$B$18,0))</f>
        <v>400</v>
      </c>
      <c r="AS452" s="13" t="s">
        <v>2843</v>
      </c>
      <c r="AT452" s="14" t="s">
        <v>2854</v>
      </c>
      <c r="AU452" s="14" t="s">
        <v>341</v>
      </c>
    </row>
    <row r="453" customFormat="false" ht="64.15" hidden="false" customHeight="false" outlineLevel="0" collapsed="false">
      <c r="A453" s="21" t="s">
        <v>2855</v>
      </c>
      <c r="B453" s="21" t="s">
        <v>2813</v>
      </c>
      <c r="C453" s="21" t="s">
        <v>1480</v>
      </c>
      <c r="D453" s="21" t="s">
        <v>2856</v>
      </c>
      <c r="E453" s="22" t="s">
        <v>2857</v>
      </c>
      <c r="F453" s="13" t="s">
        <v>141</v>
      </c>
      <c r="G453" s="13" t="s">
        <v>1580</v>
      </c>
      <c r="H453" s="13"/>
      <c r="I453" s="14"/>
      <c r="J453" s="15"/>
      <c r="K453" s="13"/>
      <c r="L453" s="13"/>
      <c r="M453" s="13"/>
      <c r="N453" s="13" t="s">
        <v>503</v>
      </c>
      <c r="O453" s="13" t="s">
        <v>504</v>
      </c>
      <c r="P453" s="13" t="s">
        <v>186</v>
      </c>
      <c r="Q453" s="20" t="n">
        <v>1600</v>
      </c>
      <c r="R453" s="20" t="n">
        <v>3975</v>
      </c>
      <c r="S453" s="20" t="n">
        <v>9900</v>
      </c>
      <c r="T453" s="16"/>
      <c r="U453" s="16"/>
      <c r="V453" s="13" t="s">
        <v>187</v>
      </c>
      <c r="W453" s="17"/>
      <c r="X453" s="13"/>
      <c r="Y453" s="13" t="s">
        <v>1001</v>
      </c>
      <c r="Z453" s="13" t="s">
        <v>212</v>
      </c>
      <c r="AA453" s="13" t="s">
        <v>192</v>
      </c>
      <c r="AB453" s="13"/>
      <c r="AC453" s="17"/>
      <c r="AD453" s="13"/>
      <c r="AE453" s="19" t="n">
        <v>0</v>
      </c>
      <c r="AF453" s="19" t="n">
        <v>0</v>
      </c>
      <c r="AG453" s="19" t="n">
        <v>0</v>
      </c>
      <c r="AH453" s="13" t="s">
        <v>506</v>
      </c>
      <c r="AI453" s="17"/>
      <c r="AJ453" s="13" t="s">
        <v>188</v>
      </c>
      <c r="AK453" s="13" t="s">
        <v>188</v>
      </c>
      <c r="AL453" s="14" t="s">
        <v>194</v>
      </c>
      <c r="AM453" s="13" t="s">
        <v>507</v>
      </c>
      <c r="AN453" s="15"/>
      <c r="AO453" s="13"/>
      <c r="AP453" s="13" t="s">
        <v>196</v>
      </c>
      <c r="AQ453" s="16" t="n">
        <f aca="false">IFERROR(IF(AND(INDEX(Mob_Demob!$D$6:$D$14,MATCH(AM453,Mob_Demob!$A$6:$A$14,0))="",INDEX(Mob_Demob!$G$6:$G$14,MATCH(AM453,Mob_Demob!$A$6:$A$14,0))=""),"",ROUND(MAX(N(INDEX(Mob_Demob!$G$6:$G$14,MATCH(AM453,Mob_Demob!$A$6:$A$14,0))),N(INDEX(Mob_Demob!$D$6:$D$14,MATCH(AM453,Mob_Demob!$A$6:$A$14,0)))*Settings!$B$6)+IF(AP453="Y",N(INDEX(Mob_Demob!$I$6:$I$14,MATCH(AM453,Mob_Demob!$A$6:$A$14,0)))*Settings!$B$19,0)+N(INDEX(Mob_Demob!$L$6:$L$14,MATCH(AM453,Mob_Demob!$A$6:$A$14,0)))*N(INDEX(Mob_Demob!$K$6:$K$14,MATCH(AM453,Mob_Demob!$A$6:$A$14,0)))*Settings!$B$6+N(INDEX(Mob_Demob!$M$6:$M$14,MATCH(AM453,Mob_Demob!$A$6:$A$14,0)))*N(INDEX(Mob_Demob!$N$6:$N$14,MATCH(AM453,Mob_Demob!$A$6:$A$14,0))),0)),"")</f>
        <v>400</v>
      </c>
      <c r="AR453" s="16" t="n">
        <f aca="false">IF(AQ453="","",ROUND(AQ453*Settings!$B$18,0))</f>
        <v>400</v>
      </c>
      <c r="AS453" s="13" t="s">
        <v>2843</v>
      </c>
      <c r="AT453" s="14" t="s">
        <v>2858</v>
      </c>
      <c r="AU453" s="14" t="s">
        <v>341</v>
      </c>
    </row>
    <row r="454" customFormat="false" ht="64.15" hidden="false" customHeight="false" outlineLevel="0" collapsed="false">
      <c r="A454" s="21" t="s">
        <v>2859</v>
      </c>
      <c r="B454" s="21" t="s">
        <v>2813</v>
      </c>
      <c r="C454" s="21" t="s">
        <v>1480</v>
      </c>
      <c r="D454" s="21" t="s">
        <v>2860</v>
      </c>
      <c r="E454" s="22" t="s">
        <v>2861</v>
      </c>
      <c r="F454" s="13" t="s">
        <v>141</v>
      </c>
      <c r="G454" s="13" t="s">
        <v>1580</v>
      </c>
      <c r="H454" s="13"/>
      <c r="I454" s="14"/>
      <c r="J454" s="15"/>
      <c r="K454" s="13"/>
      <c r="L454" s="13"/>
      <c r="M454" s="13"/>
      <c r="N454" s="13" t="s">
        <v>503</v>
      </c>
      <c r="O454" s="13" t="s">
        <v>504</v>
      </c>
      <c r="P454" s="13" t="s">
        <v>186</v>
      </c>
      <c r="Q454" s="20" t="n">
        <v>900</v>
      </c>
      <c r="R454" s="20" t="n">
        <v>3200</v>
      </c>
      <c r="S454" s="20" t="n">
        <v>8500</v>
      </c>
      <c r="T454" s="16"/>
      <c r="U454" s="16"/>
      <c r="V454" s="13" t="s">
        <v>187</v>
      </c>
      <c r="W454" s="17"/>
      <c r="X454" s="13"/>
      <c r="Y454" s="13" t="s">
        <v>450</v>
      </c>
      <c r="Z454" s="13" t="s">
        <v>212</v>
      </c>
      <c r="AA454" s="13" t="s">
        <v>192</v>
      </c>
      <c r="AB454" s="13"/>
      <c r="AC454" s="17"/>
      <c r="AD454" s="13"/>
      <c r="AE454" s="19" t="n">
        <v>0</v>
      </c>
      <c r="AF454" s="19" t="n">
        <v>0</v>
      </c>
      <c r="AG454" s="19" t="n">
        <v>0</v>
      </c>
      <c r="AH454" s="13" t="s">
        <v>506</v>
      </c>
      <c r="AI454" s="17"/>
      <c r="AJ454" s="13" t="s">
        <v>188</v>
      </c>
      <c r="AK454" s="13" t="s">
        <v>188</v>
      </c>
      <c r="AL454" s="14" t="s">
        <v>194</v>
      </c>
      <c r="AM454" s="13" t="s">
        <v>507</v>
      </c>
      <c r="AN454" s="15"/>
      <c r="AO454" s="13"/>
      <c r="AP454" s="13" t="s">
        <v>196</v>
      </c>
      <c r="AQ454" s="16" t="n">
        <f aca="false">IFERROR(IF(AND(INDEX(Mob_Demob!$D$6:$D$14,MATCH(AM454,Mob_Demob!$A$6:$A$14,0))="",INDEX(Mob_Demob!$G$6:$G$14,MATCH(AM454,Mob_Demob!$A$6:$A$14,0))=""),"",ROUND(MAX(N(INDEX(Mob_Demob!$G$6:$G$14,MATCH(AM454,Mob_Demob!$A$6:$A$14,0))),N(INDEX(Mob_Demob!$D$6:$D$14,MATCH(AM454,Mob_Demob!$A$6:$A$14,0)))*Settings!$B$6)+IF(AP454="Y",N(INDEX(Mob_Demob!$I$6:$I$14,MATCH(AM454,Mob_Demob!$A$6:$A$14,0)))*Settings!$B$19,0)+N(INDEX(Mob_Demob!$L$6:$L$14,MATCH(AM454,Mob_Demob!$A$6:$A$14,0)))*N(INDEX(Mob_Demob!$K$6:$K$14,MATCH(AM454,Mob_Demob!$A$6:$A$14,0)))*Settings!$B$6+N(INDEX(Mob_Demob!$M$6:$M$14,MATCH(AM454,Mob_Demob!$A$6:$A$14,0)))*N(INDEX(Mob_Demob!$N$6:$N$14,MATCH(AM454,Mob_Demob!$A$6:$A$14,0))),0)),"")</f>
        <v>400</v>
      </c>
      <c r="AR454" s="16" t="n">
        <f aca="false">IF(AQ454="","",ROUND(AQ454*Settings!$B$18,0))</f>
        <v>400</v>
      </c>
      <c r="AS454" s="13" t="s">
        <v>2843</v>
      </c>
      <c r="AT454" s="14" t="s">
        <v>2862</v>
      </c>
      <c r="AU454" s="14" t="s">
        <v>341</v>
      </c>
    </row>
    <row r="455" customFormat="false" ht="64.15" hidden="false" customHeight="false" outlineLevel="0" collapsed="false">
      <c r="A455" s="21" t="s">
        <v>2863</v>
      </c>
      <c r="B455" s="21" t="s">
        <v>2813</v>
      </c>
      <c r="C455" s="21" t="s">
        <v>1480</v>
      </c>
      <c r="D455" s="21" t="s">
        <v>2864</v>
      </c>
      <c r="E455" s="22" t="s">
        <v>2865</v>
      </c>
      <c r="F455" s="13" t="s">
        <v>141</v>
      </c>
      <c r="G455" s="13" t="s">
        <v>1580</v>
      </c>
      <c r="H455" s="13"/>
      <c r="I455" s="14"/>
      <c r="J455" s="15"/>
      <c r="K455" s="13"/>
      <c r="L455" s="13"/>
      <c r="M455" s="13"/>
      <c r="N455" s="13" t="s">
        <v>503</v>
      </c>
      <c r="O455" s="13" t="s">
        <v>504</v>
      </c>
      <c r="P455" s="13" t="s">
        <v>186</v>
      </c>
      <c r="Q455" s="20" t="n">
        <v>2000</v>
      </c>
      <c r="R455" s="20" t="n">
        <v>4000</v>
      </c>
      <c r="S455" s="20" t="n">
        <v>13000</v>
      </c>
      <c r="T455" s="16"/>
      <c r="U455" s="16"/>
      <c r="V455" s="13" t="s">
        <v>187</v>
      </c>
      <c r="W455" s="17"/>
      <c r="X455" s="13"/>
      <c r="Y455" s="13" t="s">
        <v>450</v>
      </c>
      <c r="Z455" s="13" t="s">
        <v>212</v>
      </c>
      <c r="AA455" s="13" t="s">
        <v>192</v>
      </c>
      <c r="AB455" s="13"/>
      <c r="AC455" s="17"/>
      <c r="AD455" s="13"/>
      <c r="AE455" s="19" t="n">
        <v>0</v>
      </c>
      <c r="AF455" s="19" t="n">
        <v>0</v>
      </c>
      <c r="AG455" s="19" t="n">
        <v>0</v>
      </c>
      <c r="AH455" s="13" t="s">
        <v>506</v>
      </c>
      <c r="AI455" s="17"/>
      <c r="AJ455" s="13" t="s">
        <v>188</v>
      </c>
      <c r="AK455" s="13" t="s">
        <v>188</v>
      </c>
      <c r="AL455" s="14" t="s">
        <v>194</v>
      </c>
      <c r="AM455" s="13" t="s">
        <v>507</v>
      </c>
      <c r="AN455" s="15"/>
      <c r="AO455" s="13"/>
      <c r="AP455" s="13" t="s">
        <v>196</v>
      </c>
      <c r="AQ455" s="16" t="n">
        <f aca="false">IFERROR(IF(AND(INDEX(Mob_Demob!$D$6:$D$14,MATCH(AM455,Mob_Demob!$A$6:$A$14,0))="",INDEX(Mob_Demob!$G$6:$G$14,MATCH(AM455,Mob_Demob!$A$6:$A$14,0))=""),"",ROUND(MAX(N(INDEX(Mob_Demob!$G$6:$G$14,MATCH(AM455,Mob_Demob!$A$6:$A$14,0))),N(INDEX(Mob_Demob!$D$6:$D$14,MATCH(AM455,Mob_Demob!$A$6:$A$14,0)))*Settings!$B$6)+IF(AP455="Y",N(INDEX(Mob_Demob!$I$6:$I$14,MATCH(AM455,Mob_Demob!$A$6:$A$14,0)))*Settings!$B$19,0)+N(INDEX(Mob_Demob!$L$6:$L$14,MATCH(AM455,Mob_Demob!$A$6:$A$14,0)))*N(INDEX(Mob_Demob!$K$6:$K$14,MATCH(AM455,Mob_Demob!$A$6:$A$14,0)))*Settings!$B$6+N(INDEX(Mob_Demob!$M$6:$M$14,MATCH(AM455,Mob_Demob!$A$6:$A$14,0)))*N(INDEX(Mob_Demob!$N$6:$N$14,MATCH(AM455,Mob_Demob!$A$6:$A$14,0))),0)),"")</f>
        <v>400</v>
      </c>
      <c r="AR455" s="16" t="n">
        <f aca="false">IF(AQ455="","",ROUND(AQ455*Settings!$B$18,0))</f>
        <v>400</v>
      </c>
      <c r="AS455" s="13" t="s">
        <v>2843</v>
      </c>
      <c r="AT455" s="14" t="s">
        <v>2862</v>
      </c>
      <c r="AU455" s="14" t="s">
        <v>341</v>
      </c>
    </row>
    <row r="456" customFormat="false" ht="64.15" hidden="false" customHeight="false" outlineLevel="0" collapsed="false">
      <c r="A456" s="21" t="s">
        <v>2866</v>
      </c>
      <c r="B456" s="21" t="s">
        <v>2813</v>
      </c>
      <c r="C456" s="21" t="s">
        <v>1480</v>
      </c>
      <c r="D456" s="21" t="s">
        <v>2867</v>
      </c>
      <c r="E456" s="22" t="s">
        <v>2868</v>
      </c>
      <c r="F456" s="13" t="s">
        <v>141</v>
      </c>
      <c r="G456" s="13" t="s">
        <v>1580</v>
      </c>
      <c r="H456" s="13"/>
      <c r="I456" s="14"/>
      <c r="J456" s="15"/>
      <c r="K456" s="13"/>
      <c r="L456" s="13"/>
      <c r="M456" s="13"/>
      <c r="N456" s="13" t="s">
        <v>503</v>
      </c>
      <c r="O456" s="13" t="s">
        <v>504</v>
      </c>
      <c r="P456" s="13" t="s">
        <v>186</v>
      </c>
      <c r="Q456" s="20" t="n">
        <v>137</v>
      </c>
      <c r="R456" s="20" t="n">
        <v>393</v>
      </c>
      <c r="S456" s="20" t="n">
        <v>913</v>
      </c>
      <c r="T456" s="20" t="n">
        <v>745</v>
      </c>
      <c r="U456" s="20" t="n">
        <v>1825</v>
      </c>
      <c r="V456" s="13" t="s">
        <v>187</v>
      </c>
      <c r="W456" s="17"/>
      <c r="X456" s="13"/>
      <c r="Y456" s="13" t="s">
        <v>2869</v>
      </c>
      <c r="Z456" s="13" t="s">
        <v>212</v>
      </c>
      <c r="AA456" s="13" t="s">
        <v>213</v>
      </c>
      <c r="AB456" s="13"/>
      <c r="AC456" s="17"/>
      <c r="AD456" s="13"/>
      <c r="AE456" s="19" t="n">
        <v>0</v>
      </c>
      <c r="AF456" s="19" t="n">
        <v>0</v>
      </c>
      <c r="AG456" s="19" t="n">
        <v>0</v>
      </c>
      <c r="AH456" s="13" t="s">
        <v>506</v>
      </c>
      <c r="AI456" s="17"/>
      <c r="AJ456" s="13" t="s">
        <v>188</v>
      </c>
      <c r="AK456" s="13" t="s">
        <v>188</v>
      </c>
      <c r="AL456" s="14" t="s">
        <v>194</v>
      </c>
      <c r="AM456" s="13" t="s">
        <v>507</v>
      </c>
      <c r="AN456" s="15"/>
      <c r="AO456" s="13"/>
      <c r="AP456" s="13" t="s">
        <v>196</v>
      </c>
      <c r="AQ456" s="16" t="n">
        <f aca="false">IFERROR(IF(AND(INDEX(Mob_Demob!$D$6:$D$14,MATCH(AM456,Mob_Demob!$A$6:$A$14,0))="",INDEX(Mob_Demob!$G$6:$G$14,MATCH(AM456,Mob_Demob!$A$6:$A$14,0))=""),"",ROUND(MAX(N(INDEX(Mob_Demob!$G$6:$G$14,MATCH(AM456,Mob_Demob!$A$6:$A$14,0))),N(INDEX(Mob_Demob!$D$6:$D$14,MATCH(AM456,Mob_Demob!$A$6:$A$14,0)))*Settings!$B$6)+IF(AP456="Y",N(INDEX(Mob_Demob!$I$6:$I$14,MATCH(AM456,Mob_Demob!$A$6:$A$14,0)))*Settings!$B$19,0)+N(INDEX(Mob_Demob!$L$6:$L$14,MATCH(AM456,Mob_Demob!$A$6:$A$14,0)))*N(INDEX(Mob_Demob!$K$6:$K$14,MATCH(AM456,Mob_Demob!$A$6:$A$14,0)))*Settings!$B$6+N(INDEX(Mob_Demob!$M$6:$M$14,MATCH(AM456,Mob_Demob!$A$6:$A$14,0)))*N(INDEX(Mob_Demob!$N$6:$N$14,MATCH(AM456,Mob_Demob!$A$6:$A$14,0))),0)),"")</f>
        <v>400</v>
      </c>
      <c r="AR456" s="16" t="n">
        <f aca="false">IF(AQ456="","",ROUND(AQ456*Settings!$B$18,0))</f>
        <v>400</v>
      </c>
      <c r="AS456" s="13"/>
      <c r="AT456" s="14" t="s">
        <v>2870</v>
      </c>
      <c r="AU456" s="14" t="s">
        <v>341</v>
      </c>
    </row>
    <row r="457" customFormat="false" ht="64.15" hidden="false" customHeight="false" outlineLevel="0" collapsed="false">
      <c r="A457" s="21" t="s">
        <v>2871</v>
      </c>
      <c r="B457" s="21" t="s">
        <v>2813</v>
      </c>
      <c r="C457" s="21" t="s">
        <v>1480</v>
      </c>
      <c r="D457" s="21" t="s">
        <v>2872</v>
      </c>
      <c r="E457" s="22" t="s">
        <v>2872</v>
      </c>
      <c r="F457" s="13" t="s">
        <v>141</v>
      </c>
      <c r="G457" s="13" t="s">
        <v>1580</v>
      </c>
      <c r="H457" s="13"/>
      <c r="I457" s="14"/>
      <c r="J457" s="15"/>
      <c r="K457" s="13"/>
      <c r="L457" s="13"/>
      <c r="M457" s="13"/>
      <c r="N457" s="13" t="s">
        <v>503</v>
      </c>
      <c r="O457" s="13" t="s">
        <v>504</v>
      </c>
      <c r="P457" s="13" t="s">
        <v>186</v>
      </c>
      <c r="Q457" s="20" t="n">
        <v>110</v>
      </c>
      <c r="R457" s="20" t="n">
        <v>319</v>
      </c>
      <c r="S457" s="20" t="n">
        <v>924</v>
      </c>
      <c r="T457" s="16"/>
      <c r="U457" s="16"/>
      <c r="V457" s="13" t="s">
        <v>187</v>
      </c>
      <c r="W457" s="17"/>
      <c r="X457" s="13"/>
      <c r="Y457" s="13" t="s">
        <v>259</v>
      </c>
      <c r="Z457" s="13" t="s">
        <v>212</v>
      </c>
      <c r="AA457" s="13" t="s">
        <v>192</v>
      </c>
      <c r="AB457" s="13"/>
      <c r="AC457" s="17"/>
      <c r="AD457" s="13"/>
      <c r="AE457" s="19" t="n">
        <v>0</v>
      </c>
      <c r="AF457" s="19" t="n">
        <v>0</v>
      </c>
      <c r="AG457" s="19" t="n">
        <v>0</v>
      </c>
      <c r="AH457" s="13" t="s">
        <v>506</v>
      </c>
      <c r="AI457" s="17"/>
      <c r="AJ457" s="13" t="s">
        <v>188</v>
      </c>
      <c r="AK457" s="13" t="s">
        <v>188</v>
      </c>
      <c r="AL457" s="14" t="s">
        <v>194</v>
      </c>
      <c r="AM457" s="13" t="s">
        <v>507</v>
      </c>
      <c r="AN457" s="15"/>
      <c r="AO457" s="13"/>
      <c r="AP457" s="13" t="s">
        <v>196</v>
      </c>
      <c r="AQ457" s="16" t="n">
        <f aca="false">IFERROR(IF(AND(INDEX(Mob_Demob!$D$6:$D$14,MATCH(AM457,Mob_Demob!$A$6:$A$14,0))="",INDEX(Mob_Demob!$G$6:$G$14,MATCH(AM457,Mob_Demob!$A$6:$A$14,0))=""),"",ROUND(MAX(N(INDEX(Mob_Demob!$G$6:$G$14,MATCH(AM457,Mob_Demob!$A$6:$A$14,0))),N(INDEX(Mob_Demob!$D$6:$D$14,MATCH(AM457,Mob_Demob!$A$6:$A$14,0)))*Settings!$B$6)+IF(AP457="Y",N(INDEX(Mob_Demob!$I$6:$I$14,MATCH(AM457,Mob_Demob!$A$6:$A$14,0)))*Settings!$B$19,0)+N(INDEX(Mob_Demob!$L$6:$L$14,MATCH(AM457,Mob_Demob!$A$6:$A$14,0)))*N(INDEX(Mob_Demob!$K$6:$K$14,MATCH(AM457,Mob_Demob!$A$6:$A$14,0)))*Settings!$B$6+N(INDEX(Mob_Demob!$M$6:$M$14,MATCH(AM457,Mob_Demob!$A$6:$A$14,0)))*N(INDEX(Mob_Demob!$N$6:$N$14,MATCH(AM457,Mob_Demob!$A$6:$A$14,0))),0)),"")</f>
        <v>400</v>
      </c>
      <c r="AR457" s="16" t="n">
        <f aca="false">IF(AQ457="","",ROUND(AQ457*Settings!$B$18,0))</f>
        <v>400</v>
      </c>
      <c r="AS457" s="13"/>
      <c r="AT457" s="14" t="s">
        <v>2847</v>
      </c>
      <c r="AU457" s="14" t="s">
        <v>341</v>
      </c>
    </row>
    <row r="458" customFormat="false" ht="64.15" hidden="false" customHeight="false" outlineLevel="0" collapsed="false">
      <c r="A458" s="21" t="s">
        <v>2873</v>
      </c>
      <c r="B458" s="21" t="s">
        <v>2813</v>
      </c>
      <c r="C458" s="21" t="s">
        <v>1480</v>
      </c>
      <c r="D458" s="21" t="s">
        <v>2874</v>
      </c>
      <c r="E458" s="22" t="s">
        <v>2874</v>
      </c>
      <c r="F458" s="13" t="s">
        <v>141</v>
      </c>
      <c r="G458" s="13" t="s">
        <v>1580</v>
      </c>
      <c r="H458" s="13"/>
      <c r="I458" s="14"/>
      <c r="J458" s="15"/>
      <c r="K458" s="13"/>
      <c r="L458" s="13"/>
      <c r="M458" s="13"/>
      <c r="N458" s="13" t="s">
        <v>503</v>
      </c>
      <c r="O458" s="13" t="s">
        <v>504</v>
      </c>
      <c r="P458" s="13" t="s">
        <v>186</v>
      </c>
      <c r="Q458" s="20" t="n">
        <v>163</v>
      </c>
      <c r="R458" s="20" t="n">
        <v>441</v>
      </c>
      <c r="S458" s="20" t="n">
        <v>1053</v>
      </c>
      <c r="T458" s="20" t="n">
        <v>750</v>
      </c>
      <c r="U458" s="20" t="n">
        <v>1995</v>
      </c>
      <c r="V458" s="13" t="s">
        <v>187</v>
      </c>
      <c r="W458" s="17"/>
      <c r="X458" s="13"/>
      <c r="Y458" s="13" t="s">
        <v>2869</v>
      </c>
      <c r="Z458" s="13" t="s">
        <v>212</v>
      </c>
      <c r="AA458" s="13" t="s">
        <v>213</v>
      </c>
      <c r="AB458" s="13"/>
      <c r="AC458" s="17"/>
      <c r="AD458" s="13"/>
      <c r="AE458" s="19" t="n">
        <v>0</v>
      </c>
      <c r="AF458" s="19" t="n">
        <v>0</v>
      </c>
      <c r="AG458" s="19" t="n">
        <v>0</v>
      </c>
      <c r="AH458" s="13" t="s">
        <v>506</v>
      </c>
      <c r="AI458" s="17"/>
      <c r="AJ458" s="13" t="s">
        <v>188</v>
      </c>
      <c r="AK458" s="13" t="s">
        <v>188</v>
      </c>
      <c r="AL458" s="14" t="s">
        <v>194</v>
      </c>
      <c r="AM458" s="13" t="s">
        <v>507</v>
      </c>
      <c r="AN458" s="15"/>
      <c r="AO458" s="13"/>
      <c r="AP458" s="13" t="s">
        <v>196</v>
      </c>
      <c r="AQ458" s="16" t="n">
        <f aca="false">IFERROR(IF(AND(INDEX(Mob_Demob!$D$6:$D$14,MATCH(AM458,Mob_Demob!$A$6:$A$14,0))="",INDEX(Mob_Demob!$G$6:$G$14,MATCH(AM458,Mob_Demob!$A$6:$A$14,0))=""),"",ROUND(MAX(N(INDEX(Mob_Demob!$G$6:$G$14,MATCH(AM458,Mob_Demob!$A$6:$A$14,0))),N(INDEX(Mob_Demob!$D$6:$D$14,MATCH(AM458,Mob_Demob!$A$6:$A$14,0)))*Settings!$B$6)+IF(AP458="Y",N(INDEX(Mob_Demob!$I$6:$I$14,MATCH(AM458,Mob_Demob!$A$6:$A$14,0)))*Settings!$B$19,0)+N(INDEX(Mob_Demob!$L$6:$L$14,MATCH(AM458,Mob_Demob!$A$6:$A$14,0)))*N(INDEX(Mob_Demob!$K$6:$K$14,MATCH(AM458,Mob_Demob!$A$6:$A$14,0)))*Settings!$B$6+N(INDEX(Mob_Demob!$M$6:$M$14,MATCH(AM458,Mob_Demob!$A$6:$A$14,0)))*N(INDEX(Mob_Demob!$N$6:$N$14,MATCH(AM458,Mob_Demob!$A$6:$A$14,0))),0)),"")</f>
        <v>400</v>
      </c>
      <c r="AR458" s="16" t="n">
        <f aca="false">IF(AQ458="","",ROUND(AQ458*Settings!$B$18,0))</f>
        <v>400</v>
      </c>
      <c r="AS458" s="13"/>
      <c r="AT458" s="14" t="s">
        <v>2875</v>
      </c>
      <c r="AU458" s="14" t="s">
        <v>341</v>
      </c>
    </row>
    <row r="459" customFormat="false" ht="64.15" hidden="false" customHeight="false" outlineLevel="0" collapsed="false">
      <c r="A459" s="21" t="s">
        <v>2876</v>
      </c>
      <c r="B459" s="21" t="s">
        <v>2813</v>
      </c>
      <c r="C459" s="21" t="s">
        <v>1480</v>
      </c>
      <c r="D459" s="21" t="s">
        <v>2877</v>
      </c>
      <c r="E459" s="22" t="s">
        <v>2878</v>
      </c>
      <c r="F459" s="13" t="s">
        <v>141</v>
      </c>
      <c r="G459" s="13" t="s">
        <v>1580</v>
      </c>
      <c r="H459" s="13"/>
      <c r="I459" s="14"/>
      <c r="J459" s="15"/>
      <c r="K459" s="13"/>
      <c r="L459" s="13"/>
      <c r="M459" s="13"/>
      <c r="N459" s="13" t="s">
        <v>503</v>
      </c>
      <c r="O459" s="13" t="s">
        <v>504</v>
      </c>
      <c r="P459" s="13" t="s">
        <v>186</v>
      </c>
      <c r="Q459" s="20" t="n">
        <v>400</v>
      </c>
      <c r="R459" s="20" t="n">
        <v>975</v>
      </c>
      <c r="S459" s="20" t="n">
        <v>2400</v>
      </c>
      <c r="T459" s="16"/>
      <c r="U459" s="16"/>
      <c r="V459" s="13" t="s">
        <v>187</v>
      </c>
      <c r="W459" s="17"/>
      <c r="X459" s="13"/>
      <c r="Y459" s="13" t="s">
        <v>1001</v>
      </c>
      <c r="Z459" s="13" t="s">
        <v>212</v>
      </c>
      <c r="AA459" s="13" t="s">
        <v>192</v>
      </c>
      <c r="AB459" s="13"/>
      <c r="AC459" s="17"/>
      <c r="AD459" s="13"/>
      <c r="AE459" s="19" t="n">
        <v>0</v>
      </c>
      <c r="AF459" s="19" t="n">
        <v>0</v>
      </c>
      <c r="AG459" s="19" t="n">
        <v>0</v>
      </c>
      <c r="AH459" s="13" t="s">
        <v>506</v>
      </c>
      <c r="AI459" s="17"/>
      <c r="AJ459" s="13" t="s">
        <v>188</v>
      </c>
      <c r="AK459" s="13" t="s">
        <v>188</v>
      </c>
      <c r="AL459" s="14" t="s">
        <v>194</v>
      </c>
      <c r="AM459" s="13" t="s">
        <v>507</v>
      </c>
      <c r="AN459" s="15"/>
      <c r="AO459" s="13"/>
      <c r="AP459" s="13" t="s">
        <v>196</v>
      </c>
      <c r="AQ459" s="16" t="n">
        <f aca="false">IFERROR(IF(AND(INDEX(Mob_Demob!$D$6:$D$14,MATCH(AM459,Mob_Demob!$A$6:$A$14,0))="",INDEX(Mob_Demob!$G$6:$G$14,MATCH(AM459,Mob_Demob!$A$6:$A$14,0))=""),"",ROUND(MAX(N(INDEX(Mob_Demob!$G$6:$G$14,MATCH(AM459,Mob_Demob!$A$6:$A$14,0))),N(INDEX(Mob_Demob!$D$6:$D$14,MATCH(AM459,Mob_Demob!$A$6:$A$14,0)))*Settings!$B$6)+IF(AP459="Y",N(INDEX(Mob_Demob!$I$6:$I$14,MATCH(AM459,Mob_Demob!$A$6:$A$14,0)))*Settings!$B$19,0)+N(INDEX(Mob_Demob!$L$6:$L$14,MATCH(AM459,Mob_Demob!$A$6:$A$14,0)))*N(INDEX(Mob_Demob!$K$6:$K$14,MATCH(AM459,Mob_Demob!$A$6:$A$14,0)))*Settings!$B$6+N(INDEX(Mob_Demob!$M$6:$M$14,MATCH(AM459,Mob_Demob!$A$6:$A$14,0)))*N(INDEX(Mob_Demob!$N$6:$N$14,MATCH(AM459,Mob_Demob!$A$6:$A$14,0))),0)),"")</f>
        <v>400</v>
      </c>
      <c r="AR459" s="16" t="n">
        <f aca="false">IF(AQ459="","",ROUND(AQ459*Settings!$B$18,0))</f>
        <v>400</v>
      </c>
      <c r="AS459" s="13"/>
      <c r="AT459" s="14" t="s">
        <v>2879</v>
      </c>
      <c r="AU459" s="14" t="s">
        <v>341</v>
      </c>
    </row>
    <row r="460" customFormat="false" ht="64.15" hidden="false" customHeight="false" outlineLevel="0" collapsed="false">
      <c r="A460" s="21" t="s">
        <v>2880</v>
      </c>
      <c r="B460" s="21" t="s">
        <v>2813</v>
      </c>
      <c r="C460" s="21" t="s">
        <v>1480</v>
      </c>
      <c r="D460" s="21" t="s">
        <v>2877</v>
      </c>
      <c r="E460" s="22" t="s">
        <v>2881</v>
      </c>
      <c r="F460" s="13" t="s">
        <v>141</v>
      </c>
      <c r="G460" s="13" t="s">
        <v>1580</v>
      </c>
      <c r="H460" s="13"/>
      <c r="I460" s="14"/>
      <c r="J460" s="15"/>
      <c r="K460" s="13"/>
      <c r="L460" s="13"/>
      <c r="M460" s="13"/>
      <c r="N460" s="13" t="s">
        <v>503</v>
      </c>
      <c r="O460" s="13" t="s">
        <v>504</v>
      </c>
      <c r="P460" s="13" t="s">
        <v>186</v>
      </c>
      <c r="Q460" s="20" t="n">
        <v>450</v>
      </c>
      <c r="R460" s="20" t="n">
        <v>1100</v>
      </c>
      <c r="S460" s="20" t="n">
        <v>2700</v>
      </c>
      <c r="T460" s="16"/>
      <c r="U460" s="16"/>
      <c r="V460" s="13" t="s">
        <v>187</v>
      </c>
      <c r="W460" s="17"/>
      <c r="X460" s="13"/>
      <c r="Y460" s="13" t="s">
        <v>1001</v>
      </c>
      <c r="Z460" s="13" t="s">
        <v>212</v>
      </c>
      <c r="AA460" s="13" t="s">
        <v>192</v>
      </c>
      <c r="AB460" s="13"/>
      <c r="AC460" s="17"/>
      <c r="AD460" s="13"/>
      <c r="AE460" s="19" t="n">
        <v>0</v>
      </c>
      <c r="AF460" s="19" t="n">
        <v>0</v>
      </c>
      <c r="AG460" s="19" t="n">
        <v>0</v>
      </c>
      <c r="AH460" s="13" t="s">
        <v>506</v>
      </c>
      <c r="AI460" s="17"/>
      <c r="AJ460" s="13" t="s">
        <v>188</v>
      </c>
      <c r="AK460" s="13" t="s">
        <v>188</v>
      </c>
      <c r="AL460" s="14" t="s">
        <v>194</v>
      </c>
      <c r="AM460" s="13" t="s">
        <v>507</v>
      </c>
      <c r="AN460" s="15"/>
      <c r="AO460" s="13"/>
      <c r="AP460" s="13" t="s">
        <v>196</v>
      </c>
      <c r="AQ460" s="16" t="n">
        <f aca="false">IFERROR(IF(AND(INDEX(Mob_Demob!$D$6:$D$14,MATCH(AM460,Mob_Demob!$A$6:$A$14,0))="",INDEX(Mob_Demob!$G$6:$G$14,MATCH(AM460,Mob_Demob!$A$6:$A$14,0))=""),"",ROUND(MAX(N(INDEX(Mob_Demob!$G$6:$G$14,MATCH(AM460,Mob_Demob!$A$6:$A$14,0))),N(INDEX(Mob_Demob!$D$6:$D$14,MATCH(AM460,Mob_Demob!$A$6:$A$14,0)))*Settings!$B$6)+IF(AP460="Y",N(INDEX(Mob_Demob!$I$6:$I$14,MATCH(AM460,Mob_Demob!$A$6:$A$14,0)))*Settings!$B$19,0)+N(INDEX(Mob_Demob!$L$6:$L$14,MATCH(AM460,Mob_Demob!$A$6:$A$14,0)))*N(INDEX(Mob_Demob!$K$6:$K$14,MATCH(AM460,Mob_Demob!$A$6:$A$14,0)))*Settings!$B$6+N(INDEX(Mob_Demob!$M$6:$M$14,MATCH(AM460,Mob_Demob!$A$6:$A$14,0)))*N(INDEX(Mob_Demob!$N$6:$N$14,MATCH(AM460,Mob_Demob!$A$6:$A$14,0))),0)),"")</f>
        <v>400</v>
      </c>
      <c r="AR460" s="16" t="n">
        <f aca="false">IF(AQ460="","",ROUND(AQ460*Settings!$B$18,0))</f>
        <v>400</v>
      </c>
      <c r="AS460" s="13"/>
      <c r="AT460" s="14" t="s">
        <v>2882</v>
      </c>
      <c r="AU460" s="14" t="s">
        <v>341</v>
      </c>
    </row>
    <row r="461" customFormat="false" ht="64.15" hidden="false" customHeight="false" outlineLevel="0" collapsed="false">
      <c r="A461" s="21" t="s">
        <v>2883</v>
      </c>
      <c r="B461" s="21" t="s">
        <v>2813</v>
      </c>
      <c r="C461" s="21" t="s">
        <v>1480</v>
      </c>
      <c r="D461" s="21" t="s">
        <v>2884</v>
      </c>
      <c r="E461" s="22" t="s">
        <v>2884</v>
      </c>
      <c r="F461" s="13" t="s">
        <v>141</v>
      </c>
      <c r="G461" s="13" t="s">
        <v>1580</v>
      </c>
      <c r="H461" s="13"/>
      <c r="I461" s="14"/>
      <c r="J461" s="15"/>
      <c r="K461" s="13"/>
      <c r="L461" s="13"/>
      <c r="M461" s="13"/>
      <c r="N461" s="13" t="s">
        <v>503</v>
      </c>
      <c r="O461" s="13" t="s">
        <v>504</v>
      </c>
      <c r="P461" s="13" t="s">
        <v>186</v>
      </c>
      <c r="Q461" s="20" t="n">
        <v>105</v>
      </c>
      <c r="R461" s="20" t="n">
        <v>315</v>
      </c>
      <c r="S461" s="20" t="n">
        <v>945</v>
      </c>
      <c r="T461" s="16"/>
      <c r="U461" s="16"/>
      <c r="V461" s="13" t="s">
        <v>187</v>
      </c>
      <c r="W461" s="17"/>
      <c r="X461" s="13"/>
      <c r="Y461" s="13" t="s">
        <v>722</v>
      </c>
      <c r="Z461" s="13" t="s">
        <v>212</v>
      </c>
      <c r="AA461" s="13" t="s">
        <v>192</v>
      </c>
      <c r="AB461" s="13"/>
      <c r="AC461" s="17"/>
      <c r="AD461" s="13"/>
      <c r="AE461" s="19" t="n">
        <v>0</v>
      </c>
      <c r="AF461" s="19" t="n">
        <v>0</v>
      </c>
      <c r="AG461" s="19" t="n">
        <v>0</v>
      </c>
      <c r="AH461" s="13" t="s">
        <v>506</v>
      </c>
      <c r="AI461" s="17"/>
      <c r="AJ461" s="13" t="s">
        <v>188</v>
      </c>
      <c r="AK461" s="13" t="s">
        <v>188</v>
      </c>
      <c r="AL461" s="14" t="s">
        <v>194</v>
      </c>
      <c r="AM461" s="13" t="s">
        <v>507</v>
      </c>
      <c r="AN461" s="15"/>
      <c r="AO461" s="13"/>
      <c r="AP461" s="13" t="s">
        <v>196</v>
      </c>
      <c r="AQ461" s="16" t="n">
        <f aca="false">IFERROR(IF(AND(INDEX(Mob_Demob!$D$6:$D$14,MATCH(AM461,Mob_Demob!$A$6:$A$14,0))="",INDEX(Mob_Demob!$G$6:$G$14,MATCH(AM461,Mob_Demob!$A$6:$A$14,0))=""),"",ROUND(MAX(N(INDEX(Mob_Demob!$G$6:$G$14,MATCH(AM461,Mob_Demob!$A$6:$A$14,0))),N(INDEX(Mob_Demob!$D$6:$D$14,MATCH(AM461,Mob_Demob!$A$6:$A$14,0)))*Settings!$B$6)+IF(AP461="Y",N(INDEX(Mob_Demob!$I$6:$I$14,MATCH(AM461,Mob_Demob!$A$6:$A$14,0)))*Settings!$B$19,0)+N(INDEX(Mob_Demob!$L$6:$L$14,MATCH(AM461,Mob_Demob!$A$6:$A$14,0)))*N(INDEX(Mob_Demob!$K$6:$K$14,MATCH(AM461,Mob_Demob!$A$6:$A$14,0)))*Settings!$B$6+N(INDEX(Mob_Demob!$M$6:$M$14,MATCH(AM461,Mob_Demob!$A$6:$A$14,0)))*N(INDEX(Mob_Demob!$N$6:$N$14,MATCH(AM461,Mob_Demob!$A$6:$A$14,0))),0)),"")</f>
        <v>400</v>
      </c>
      <c r="AR461" s="16" t="n">
        <f aca="false">IF(AQ461="","",ROUND(AQ461*Settings!$B$18,0))</f>
        <v>400</v>
      </c>
      <c r="AS461" s="13"/>
      <c r="AT461" s="14" t="s">
        <v>2885</v>
      </c>
      <c r="AU461" s="14" t="s">
        <v>341</v>
      </c>
    </row>
    <row r="462" customFormat="false" ht="64.15" hidden="false" customHeight="false" outlineLevel="0" collapsed="false">
      <c r="A462" s="21" t="s">
        <v>2886</v>
      </c>
      <c r="B462" s="21" t="s">
        <v>2813</v>
      </c>
      <c r="C462" s="21" t="s">
        <v>1480</v>
      </c>
      <c r="D462" s="21" t="s">
        <v>2887</v>
      </c>
      <c r="E462" s="22" t="s">
        <v>2888</v>
      </c>
      <c r="F462" s="13" t="s">
        <v>141</v>
      </c>
      <c r="G462" s="13" t="s">
        <v>1580</v>
      </c>
      <c r="H462" s="13"/>
      <c r="I462" s="14"/>
      <c r="J462" s="15"/>
      <c r="K462" s="13"/>
      <c r="L462" s="13"/>
      <c r="M462" s="13"/>
      <c r="N462" s="13" t="s">
        <v>503</v>
      </c>
      <c r="O462" s="13" t="s">
        <v>504</v>
      </c>
      <c r="P462" s="13" t="s">
        <v>186</v>
      </c>
      <c r="Q462" s="20" t="n">
        <v>242</v>
      </c>
      <c r="R462" s="20" t="n">
        <v>701</v>
      </c>
      <c r="S462" s="20" t="n">
        <v>2033</v>
      </c>
      <c r="T462" s="16"/>
      <c r="U462" s="16"/>
      <c r="V462" s="13" t="s">
        <v>187</v>
      </c>
      <c r="W462" s="17"/>
      <c r="X462" s="13"/>
      <c r="Y462" s="13" t="s">
        <v>259</v>
      </c>
      <c r="Z462" s="13" t="s">
        <v>212</v>
      </c>
      <c r="AA462" s="13" t="s">
        <v>192</v>
      </c>
      <c r="AB462" s="13"/>
      <c r="AC462" s="17"/>
      <c r="AD462" s="13"/>
      <c r="AE462" s="19" t="n">
        <v>0</v>
      </c>
      <c r="AF462" s="19" t="n">
        <v>0</v>
      </c>
      <c r="AG462" s="19" t="n">
        <v>0</v>
      </c>
      <c r="AH462" s="13" t="s">
        <v>506</v>
      </c>
      <c r="AI462" s="17"/>
      <c r="AJ462" s="13" t="s">
        <v>188</v>
      </c>
      <c r="AK462" s="13" t="s">
        <v>188</v>
      </c>
      <c r="AL462" s="14" t="s">
        <v>194</v>
      </c>
      <c r="AM462" s="13" t="s">
        <v>507</v>
      </c>
      <c r="AN462" s="15"/>
      <c r="AO462" s="13"/>
      <c r="AP462" s="13" t="s">
        <v>196</v>
      </c>
      <c r="AQ462" s="16" t="n">
        <f aca="false">IFERROR(IF(AND(INDEX(Mob_Demob!$D$6:$D$14,MATCH(AM462,Mob_Demob!$A$6:$A$14,0))="",INDEX(Mob_Demob!$G$6:$G$14,MATCH(AM462,Mob_Demob!$A$6:$A$14,0))=""),"",ROUND(MAX(N(INDEX(Mob_Demob!$G$6:$G$14,MATCH(AM462,Mob_Demob!$A$6:$A$14,0))),N(INDEX(Mob_Demob!$D$6:$D$14,MATCH(AM462,Mob_Demob!$A$6:$A$14,0)))*Settings!$B$6)+IF(AP462="Y",N(INDEX(Mob_Demob!$I$6:$I$14,MATCH(AM462,Mob_Demob!$A$6:$A$14,0)))*Settings!$B$19,0)+N(INDEX(Mob_Demob!$L$6:$L$14,MATCH(AM462,Mob_Demob!$A$6:$A$14,0)))*N(INDEX(Mob_Demob!$K$6:$K$14,MATCH(AM462,Mob_Demob!$A$6:$A$14,0)))*Settings!$B$6+N(INDEX(Mob_Demob!$M$6:$M$14,MATCH(AM462,Mob_Demob!$A$6:$A$14,0)))*N(INDEX(Mob_Demob!$N$6:$N$14,MATCH(AM462,Mob_Demob!$A$6:$A$14,0))),0)),"")</f>
        <v>400</v>
      </c>
      <c r="AR462" s="16" t="n">
        <f aca="false">IF(AQ462="","",ROUND(AQ462*Settings!$B$18,0))</f>
        <v>400</v>
      </c>
      <c r="AS462" s="13"/>
      <c r="AT462" s="14" t="s">
        <v>2847</v>
      </c>
      <c r="AU462" s="14" t="s">
        <v>341</v>
      </c>
    </row>
    <row r="463" customFormat="false" ht="64.15" hidden="false" customHeight="false" outlineLevel="0" collapsed="false">
      <c r="A463" s="21" t="s">
        <v>2889</v>
      </c>
      <c r="B463" s="21" t="s">
        <v>2813</v>
      </c>
      <c r="C463" s="21" t="s">
        <v>1480</v>
      </c>
      <c r="D463" s="21" t="s">
        <v>2890</v>
      </c>
      <c r="E463" s="22" t="s">
        <v>2891</v>
      </c>
      <c r="F463" s="13" t="s">
        <v>141</v>
      </c>
      <c r="G463" s="13" t="s">
        <v>1580</v>
      </c>
      <c r="H463" s="13"/>
      <c r="I463" s="14"/>
      <c r="J463" s="15"/>
      <c r="K463" s="13"/>
      <c r="L463" s="13"/>
      <c r="M463" s="13"/>
      <c r="N463" s="13" t="s">
        <v>503</v>
      </c>
      <c r="O463" s="13" t="s">
        <v>504</v>
      </c>
      <c r="P463" s="13" t="s">
        <v>186</v>
      </c>
      <c r="Q463" s="20" t="n">
        <v>300</v>
      </c>
      <c r="R463" s="20" t="n">
        <v>750</v>
      </c>
      <c r="S463" s="20" t="n">
        <v>1900</v>
      </c>
      <c r="T463" s="16"/>
      <c r="U463" s="16"/>
      <c r="V463" s="13" t="s">
        <v>187</v>
      </c>
      <c r="W463" s="17"/>
      <c r="X463" s="13"/>
      <c r="Y463" s="13" t="s">
        <v>1001</v>
      </c>
      <c r="Z463" s="13" t="s">
        <v>212</v>
      </c>
      <c r="AA463" s="13" t="s">
        <v>192</v>
      </c>
      <c r="AB463" s="13"/>
      <c r="AC463" s="17"/>
      <c r="AD463" s="13"/>
      <c r="AE463" s="19" t="n">
        <v>0</v>
      </c>
      <c r="AF463" s="19" t="n">
        <v>0</v>
      </c>
      <c r="AG463" s="19" t="n">
        <v>0</v>
      </c>
      <c r="AH463" s="13" t="s">
        <v>506</v>
      </c>
      <c r="AI463" s="17"/>
      <c r="AJ463" s="13" t="s">
        <v>188</v>
      </c>
      <c r="AK463" s="13" t="s">
        <v>188</v>
      </c>
      <c r="AL463" s="14" t="s">
        <v>194</v>
      </c>
      <c r="AM463" s="13" t="s">
        <v>507</v>
      </c>
      <c r="AN463" s="15"/>
      <c r="AO463" s="13"/>
      <c r="AP463" s="13" t="s">
        <v>196</v>
      </c>
      <c r="AQ463" s="16" t="n">
        <f aca="false">IFERROR(IF(AND(INDEX(Mob_Demob!$D$6:$D$14,MATCH(AM463,Mob_Demob!$A$6:$A$14,0))="",INDEX(Mob_Demob!$G$6:$G$14,MATCH(AM463,Mob_Demob!$A$6:$A$14,0))=""),"",ROUND(MAX(N(INDEX(Mob_Demob!$G$6:$G$14,MATCH(AM463,Mob_Demob!$A$6:$A$14,0))),N(INDEX(Mob_Demob!$D$6:$D$14,MATCH(AM463,Mob_Demob!$A$6:$A$14,0)))*Settings!$B$6)+IF(AP463="Y",N(INDEX(Mob_Demob!$I$6:$I$14,MATCH(AM463,Mob_Demob!$A$6:$A$14,0)))*Settings!$B$19,0)+N(INDEX(Mob_Demob!$L$6:$L$14,MATCH(AM463,Mob_Demob!$A$6:$A$14,0)))*N(INDEX(Mob_Demob!$K$6:$K$14,MATCH(AM463,Mob_Demob!$A$6:$A$14,0)))*Settings!$B$6+N(INDEX(Mob_Demob!$M$6:$M$14,MATCH(AM463,Mob_Demob!$A$6:$A$14,0)))*N(INDEX(Mob_Demob!$N$6:$N$14,MATCH(AM463,Mob_Demob!$A$6:$A$14,0))),0)),"")</f>
        <v>400</v>
      </c>
      <c r="AR463" s="16" t="n">
        <f aca="false">IF(AQ463="","",ROUND(AQ463*Settings!$B$18,0))</f>
        <v>400</v>
      </c>
      <c r="AS463" s="13"/>
      <c r="AT463" s="14" t="s">
        <v>2892</v>
      </c>
      <c r="AU463" s="14" t="s">
        <v>341</v>
      </c>
    </row>
    <row r="464" customFormat="false" ht="64.15" hidden="false" customHeight="false" outlineLevel="0" collapsed="false">
      <c r="A464" s="21" t="s">
        <v>2893</v>
      </c>
      <c r="B464" s="21" t="s">
        <v>2813</v>
      </c>
      <c r="C464" s="21" t="s">
        <v>1480</v>
      </c>
      <c r="D464" s="21" t="s">
        <v>2894</v>
      </c>
      <c r="E464" s="22" t="s">
        <v>2894</v>
      </c>
      <c r="F464" s="13" t="s">
        <v>141</v>
      </c>
      <c r="G464" s="13" t="s">
        <v>1580</v>
      </c>
      <c r="H464" s="13"/>
      <c r="I464" s="14"/>
      <c r="J464" s="15"/>
      <c r="K464" s="13"/>
      <c r="L464" s="13"/>
      <c r="M464" s="13"/>
      <c r="N464" s="13" t="s">
        <v>503</v>
      </c>
      <c r="O464" s="13" t="s">
        <v>504</v>
      </c>
      <c r="P464" s="13" t="s">
        <v>186</v>
      </c>
      <c r="Q464" s="20" t="n">
        <v>429</v>
      </c>
      <c r="R464" s="20" t="n">
        <v>1177</v>
      </c>
      <c r="S464" s="20" t="n">
        <v>3273</v>
      </c>
      <c r="T464" s="20" t="n">
        <v>1750</v>
      </c>
      <c r="U464" s="20" t="n">
        <v>4796</v>
      </c>
      <c r="V464" s="13" t="s">
        <v>187</v>
      </c>
      <c r="W464" s="17"/>
      <c r="X464" s="13"/>
      <c r="Y464" s="13" t="s">
        <v>2895</v>
      </c>
      <c r="Z464" s="13" t="s">
        <v>260</v>
      </c>
      <c r="AA464" s="13" t="s">
        <v>213</v>
      </c>
      <c r="AB464" s="13"/>
      <c r="AC464" s="17"/>
      <c r="AD464" s="13"/>
      <c r="AE464" s="19" t="n">
        <v>0</v>
      </c>
      <c r="AF464" s="19" t="n">
        <v>0</v>
      </c>
      <c r="AG464" s="19" t="n">
        <v>0</v>
      </c>
      <c r="AH464" s="13" t="s">
        <v>506</v>
      </c>
      <c r="AI464" s="17"/>
      <c r="AJ464" s="13" t="s">
        <v>188</v>
      </c>
      <c r="AK464" s="13" t="s">
        <v>188</v>
      </c>
      <c r="AL464" s="14" t="s">
        <v>194</v>
      </c>
      <c r="AM464" s="13" t="s">
        <v>507</v>
      </c>
      <c r="AN464" s="15"/>
      <c r="AO464" s="13"/>
      <c r="AP464" s="13" t="s">
        <v>196</v>
      </c>
      <c r="AQ464" s="16" t="n">
        <f aca="false">IFERROR(IF(AND(INDEX(Mob_Demob!$D$6:$D$14,MATCH(AM464,Mob_Demob!$A$6:$A$14,0))="",INDEX(Mob_Demob!$G$6:$G$14,MATCH(AM464,Mob_Demob!$A$6:$A$14,0))=""),"",ROUND(MAX(N(INDEX(Mob_Demob!$G$6:$G$14,MATCH(AM464,Mob_Demob!$A$6:$A$14,0))),N(INDEX(Mob_Demob!$D$6:$D$14,MATCH(AM464,Mob_Demob!$A$6:$A$14,0)))*Settings!$B$6)+IF(AP464="Y",N(INDEX(Mob_Demob!$I$6:$I$14,MATCH(AM464,Mob_Demob!$A$6:$A$14,0)))*Settings!$B$19,0)+N(INDEX(Mob_Demob!$L$6:$L$14,MATCH(AM464,Mob_Demob!$A$6:$A$14,0)))*N(INDEX(Mob_Demob!$K$6:$K$14,MATCH(AM464,Mob_Demob!$A$6:$A$14,0)))*Settings!$B$6+N(INDEX(Mob_Demob!$M$6:$M$14,MATCH(AM464,Mob_Demob!$A$6:$A$14,0)))*N(INDEX(Mob_Demob!$N$6:$N$14,MATCH(AM464,Mob_Demob!$A$6:$A$14,0))),0)),"")</f>
        <v>400</v>
      </c>
      <c r="AR464" s="16" t="n">
        <f aca="false">IF(AQ464="","",ROUND(AQ464*Settings!$B$18,0))</f>
        <v>400</v>
      </c>
      <c r="AS464" s="13"/>
      <c r="AT464" s="14" t="s">
        <v>2896</v>
      </c>
      <c r="AU464" s="14" t="s">
        <v>341</v>
      </c>
    </row>
    <row r="465" customFormat="false" ht="64.15" hidden="false" customHeight="false" outlineLevel="0" collapsed="false">
      <c r="A465" s="21" t="s">
        <v>2897</v>
      </c>
      <c r="B465" s="21" t="s">
        <v>2813</v>
      </c>
      <c r="C465" s="21" t="s">
        <v>1480</v>
      </c>
      <c r="D465" s="21" t="s">
        <v>2898</v>
      </c>
      <c r="E465" s="22" t="s">
        <v>2899</v>
      </c>
      <c r="F465" s="13" t="s">
        <v>141</v>
      </c>
      <c r="G465" s="13" t="s">
        <v>1580</v>
      </c>
      <c r="H465" s="13"/>
      <c r="I465" s="14"/>
      <c r="J465" s="15"/>
      <c r="K465" s="13"/>
      <c r="L465" s="13"/>
      <c r="M465" s="13"/>
      <c r="N465" s="13" t="s">
        <v>503</v>
      </c>
      <c r="O465" s="13" t="s">
        <v>504</v>
      </c>
      <c r="P465" s="13" t="s">
        <v>186</v>
      </c>
      <c r="Q465" s="20" t="n">
        <v>900</v>
      </c>
      <c r="R465" s="20" t="n">
        <v>2200</v>
      </c>
      <c r="S465" s="20" t="n">
        <v>5500</v>
      </c>
      <c r="T465" s="16"/>
      <c r="U465" s="16"/>
      <c r="V465" s="13" t="s">
        <v>187</v>
      </c>
      <c r="W465" s="17"/>
      <c r="X465" s="13"/>
      <c r="Y465" s="13" t="s">
        <v>1001</v>
      </c>
      <c r="Z465" s="13" t="s">
        <v>212</v>
      </c>
      <c r="AA465" s="13" t="s">
        <v>192</v>
      </c>
      <c r="AB465" s="13"/>
      <c r="AC465" s="17"/>
      <c r="AD465" s="13"/>
      <c r="AE465" s="19" t="n">
        <v>0</v>
      </c>
      <c r="AF465" s="19" t="n">
        <v>0</v>
      </c>
      <c r="AG465" s="19" t="n">
        <v>0</v>
      </c>
      <c r="AH465" s="13" t="s">
        <v>506</v>
      </c>
      <c r="AI465" s="17"/>
      <c r="AJ465" s="13" t="s">
        <v>188</v>
      </c>
      <c r="AK465" s="13" t="s">
        <v>188</v>
      </c>
      <c r="AL465" s="14" t="s">
        <v>194</v>
      </c>
      <c r="AM465" s="13" t="s">
        <v>507</v>
      </c>
      <c r="AN465" s="15"/>
      <c r="AO465" s="13"/>
      <c r="AP465" s="13" t="s">
        <v>196</v>
      </c>
      <c r="AQ465" s="16" t="n">
        <f aca="false">IFERROR(IF(AND(INDEX(Mob_Demob!$D$6:$D$14,MATCH(AM465,Mob_Demob!$A$6:$A$14,0))="",INDEX(Mob_Demob!$G$6:$G$14,MATCH(AM465,Mob_Demob!$A$6:$A$14,0))=""),"",ROUND(MAX(N(INDEX(Mob_Demob!$G$6:$G$14,MATCH(AM465,Mob_Demob!$A$6:$A$14,0))),N(INDEX(Mob_Demob!$D$6:$D$14,MATCH(AM465,Mob_Demob!$A$6:$A$14,0)))*Settings!$B$6)+IF(AP465="Y",N(INDEX(Mob_Demob!$I$6:$I$14,MATCH(AM465,Mob_Demob!$A$6:$A$14,0)))*Settings!$B$19,0)+N(INDEX(Mob_Demob!$L$6:$L$14,MATCH(AM465,Mob_Demob!$A$6:$A$14,0)))*N(INDEX(Mob_Demob!$K$6:$K$14,MATCH(AM465,Mob_Demob!$A$6:$A$14,0)))*Settings!$B$6+N(INDEX(Mob_Demob!$M$6:$M$14,MATCH(AM465,Mob_Demob!$A$6:$A$14,0)))*N(INDEX(Mob_Demob!$N$6:$N$14,MATCH(AM465,Mob_Demob!$A$6:$A$14,0))),0)),"")</f>
        <v>400</v>
      </c>
      <c r="AR465" s="16" t="n">
        <f aca="false">IF(AQ465="","",ROUND(AQ465*Settings!$B$18,0))</f>
        <v>400</v>
      </c>
      <c r="AS465" s="13"/>
      <c r="AT465" s="14" t="s">
        <v>2892</v>
      </c>
      <c r="AU465" s="14" t="s">
        <v>341</v>
      </c>
    </row>
    <row r="466" customFormat="false" ht="64.15" hidden="false" customHeight="false" outlineLevel="0" collapsed="false">
      <c r="A466" s="21" t="s">
        <v>2900</v>
      </c>
      <c r="B466" s="21" t="s">
        <v>2813</v>
      </c>
      <c r="C466" s="21" t="s">
        <v>1480</v>
      </c>
      <c r="D466" s="21" t="s">
        <v>2901</v>
      </c>
      <c r="E466" s="22" t="s">
        <v>2902</v>
      </c>
      <c r="F466" s="13" t="s">
        <v>141</v>
      </c>
      <c r="G466" s="13" t="s">
        <v>1580</v>
      </c>
      <c r="H466" s="13"/>
      <c r="I466" s="14"/>
      <c r="J466" s="15"/>
      <c r="K466" s="13"/>
      <c r="L466" s="13"/>
      <c r="M466" s="13"/>
      <c r="N466" s="13" t="s">
        <v>503</v>
      </c>
      <c r="O466" s="13" t="s">
        <v>504</v>
      </c>
      <c r="P466" s="13" t="s">
        <v>186</v>
      </c>
      <c r="Q466" s="20" t="n">
        <v>200</v>
      </c>
      <c r="R466" s="20" t="n">
        <v>450</v>
      </c>
      <c r="S466" s="20" t="n">
        <v>1000</v>
      </c>
      <c r="T466" s="16"/>
      <c r="U466" s="16"/>
      <c r="V466" s="13" t="s">
        <v>187</v>
      </c>
      <c r="W466" s="17"/>
      <c r="X466" s="13"/>
      <c r="Y466" s="13" t="s">
        <v>450</v>
      </c>
      <c r="Z466" s="13" t="s">
        <v>212</v>
      </c>
      <c r="AA466" s="13" t="s">
        <v>192</v>
      </c>
      <c r="AB466" s="13"/>
      <c r="AC466" s="17"/>
      <c r="AD466" s="13"/>
      <c r="AE466" s="19" t="n">
        <v>0</v>
      </c>
      <c r="AF466" s="19" t="n">
        <v>0</v>
      </c>
      <c r="AG466" s="19" t="n">
        <v>0</v>
      </c>
      <c r="AH466" s="13" t="s">
        <v>506</v>
      </c>
      <c r="AI466" s="17"/>
      <c r="AJ466" s="13" t="s">
        <v>188</v>
      </c>
      <c r="AK466" s="13" t="s">
        <v>188</v>
      </c>
      <c r="AL466" s="14" t="s">
        <v>194</v>
      </c>
      <c r="AM466" s="13" t="s">
        <v>507</v>
      </c>
      <c r="AN466" s="15"/>
      <c r="AO466" s="13"/>
      <c r="AP466" s="13" t="s">
        <v>196</v>
      </c>
      <c r="AQ466" s="16" t="n">
        <f aca="false">IFERROR(IF(AND(INDEX(Mob_Demob!$D$6:$D$14,MATCH(AM466,Mob_Demob!$A$6:$A$14,0))="",INDEX(Mob_Demob!$G$6:$G$14,MATCH(AM466,Mob_Demob!$A$6:$A$14,0))=""),"",ROUND(MAX(N(INDEX(Mob_Demob!$G$6:$G$14,MATCH(AM466,Mob_Demob!$A$6:$A$14,0))),N(INDEX(Mob_Demob!$D$6:$D$14,MATCH(AM466,Mob_Demob!$A$6:$A$14,0)))*Settings!$B$6)+IF(AP466="Y",N(INDEX(Mob_Demob!$I$6:$I$14,MATCH(AM466,Mob_Demob!$A$6:$A$14,0)))*Settings!$B$19,0)+N(INDEX(Mob_Demob!$L$6:$L$14,MATCH(AM466,Mob_Demob!$A$6:$A$14,0)))*N(INDEX(Mob_Demob!$K$6:$K$14,MATCH(AM466,Mob_Demob!$A$6:$A$14,0)))*Settings!$B$6+N(INDEX(Mob_Demob!$M$6:$M$14,MATCH(AM466,Mob_Demob!$A$6:$A$14,0)))*N(INDEX(Mob_Demob!$N$6:$N$14,MATCH(AM466,Mob_Demob!$A$6:$A$14,0))),0)),"")</f>
        <v>400</v>
      </c>
      <c r="AR466" s="16" t="n">
        <f aca="false">IF(AQ466="","",ROUND(AQ466*Settings!$B$18,0))</f>
        <v>400</v>
      </c>
      <c r="AS466" s="13"/>
      <c r="AT466" s="14" t="s">
        <v>2862</v>
      </c>
      <c r="AU466" s="14" t="s">
        <v>341</v>
      </c>
    </row>
    <row r="467" customFormat="false" ht="64.15" hidden="false" customHeight="false" outlineLevel="0" collapsed="false">
      <c r="A467" s="21" t="s">
        <v>2903</v>
      </c>
      <c r="B467" s="21" t="s">
        <v>2813</v>
      </c>
      <c r="C467" s="21" t="s">
        <v>1480</v>
      </c>
      <c r="D467" s="21" t="s">
        <v>2901</v>
      </c>
      <c r="E467" s="22" t="s">
        <v>2904</v>
      </c>
      <c r="F467" s="13" t="s">
        <v>141</v>
      </c>
      <c r="G467" s="13" t="s">
        <v>1580</v>
      </c>
      <c r="H467" s="13"/>
      <c r="I467" s="14"/>
      <c r="J467" s="15"/>
      <c r="K467" s="13"/>
      <c r="L467" s="13"/>
      <c r="M467" s="13"/>
      <c r="N467" s="13" t="s">
        <v>503</v>
      </c>
      <c r="O467" s="13" t="s">
        <v>504</v>
      </c>
      <c r="P467" s="13" t="s">
        <v>186</v>
      </c>
      <c r="Q467" s="20" t="n">
        <v>325</v>
      </c>
      <c r="R467" s="20" t="n">
        <v>950</v>
      </c>
      <c r="S467" s="20" t="n">
        <v>2050</v>
      </c>
      <c r="T467" s="16"/>
      <c r="U467" s="16"/>
      <c r="V467" s="13" t="s">
        <v>187</v>
      </c>
      <c r="W467" s="17"/>
      <c r="X467" s="13"/>
      <c r="Y467" s="13" t="s">
        <v>450</v>
      </c>
      <c r="Z467" s="13" t="s">
        <v>212</v>
      </c>
      <c r="AA467" s="13" t="s">
        <v>192</v>
      </c>
      <c r="AB467" s="13"/>
      <c r="AC467" s="17"/>
      <c r="AD467" s="13"/>
      <c r="AE467" s="19" t="n">
        <v>0</v>
      </c>
      <c r="AF467" s="19" t="n">
        <v>0</v>
      </c>
      <c r="AG467" s="19" t="n">
        <v>0</v>
      </c>
      <c r="AH467" s="13" t="s">
        <v>506</v>
      </c>
      <c r="AI467" s="17"/>
      <c r="AJ467" s="13" t="s">
        <v>188</v>
      </c>
      <c r="AK467" s="13" t="s">
        <v>188</v>
      </c>
      <c r="AL467" s="14" t="s">
        <v>194</v>
      </c>
      <c r="AM467" s="13" t="s">
        <v>507</v>
      </c>
      <c r="AN467" s="15"/>
      <c r="AO467" s="13"/>
      <c r="AP467" s="13" t="s">
        <v>196</v>
      </c>
      <c r="AQ467" s="16" t="n">
        <f aca="false">IFERROR(IF(AND(INDEX(Mob_Demob!$D$6:$D$14,MATCH(AM467,Mob_Demob!$A$6:$A$14,0))="",INDEX(Mob_Demob!$G$6:$G$14,MATCH(AM467,Mob_Demob!$A$6:$A$14,0))=""),"",ROUND(MAX(N(INDEX(Mob_Demob!$G$6:$G$14,MATCH(AM467,Mob_Demob!$A$6:$A$14,0))),N(INDEX(Mob_Demob!$D$6:$D$14,MATCH(AM467,Mob_Demob!$A$6:$A$14,0)))*Settings!$B$6)+IF(AP467="Y",N(INDEX(Mob_Demob!$I$6:$I$14,MATCH(AM467,Mob_Demob!$A$6:$A$14,0)))*Settings!$B$19,0)+N(INDEX(Mob_Demob!$L$6:$L$14,MATCH(AM467,Mob_Demob!$A$6:$A$14,0)))*N(INDEX(Mob_Demob!$K$6:$K$14,MATCH(AM467,Mob_Demob!$A$6:$A$14,0)))*Settings!$B$6+N(INDEX(Mob_Demob!$M$6:$M$14,MATCH(AM467,Mob_Demob!$A$6:$A$14,0)))*N(INDEX(Mob_Demob!$N$6:$N$14,MATCH(AM467,Mob_Demob!$A$6:$A$14,0))),0)),"")</f>
        <v>400</v>
      </c>
      <c r="AR467" s="16" t="n">
        <f aca="false">IF(AQ467="","",ROUND(AQ467*Settings!$B$18,0))</f>
        <v>400</v>
      </c>
      <c r="AS467" s="13"/>
      <c r="AT467" s="14" t="s">
        <v>2862</v>
      </c>
      <c r="AU467" s="14" t="s">
        <v>341</v>
      </c>
    </row>
    <row r="468" customFormat="false" ht="64.15" hidden="false" customHeight="false" outlineLevel="0" collapsed="false">
      <c r="A468" s="21" t="s">
        <v>2905</v>
      </c>
      <c r="B468" s="21" t="s">
        <v>2813</v>
      </c>
      <c r="C468" s="21" t="s">
        <v>1480</v>
      </c>
      <c r="D468" s="21" t="s">
        <v>2906</v>
      </c>
      <c r="E468" s="22" t="s">
        <v>2906</v>
      </c>
      <c r="F468" s="13" t="s">
        <v>141</v>
      </c>
      <c r="G468" s="13" t="s">
        <v>1580</v>
      </c>
      <c r="H468" s="13"/>
      <c r="I468" s="14"/>
      <c r="J468" s="15"/>
      <c r="K468" s="13"/>
      <c r="L468" s="13"/>
      <c r="M468" s="13"/>
      <c r="N468" s="13" t="s">
        <v>503</v>
      </c>
      <c r="O468" s="13" t="s">
        <v>504</v>
      </c>
      <c r="P468" s="13" t="s">
        <v>186</v>
      </c>
      <c r="Q468" s="20" t="n">
        <v>64</v>
      </c>
      <c r="R468" s="20" t="n">
        <v>186</v>
      </c>
      <c r="S468" s="20" t="n">
        <v>540</v>
      </c>
      <c r="T468" s="16"/>
      <c r="U468" s="16"/>
      <c r="V468" s="13" t="s">
        <v>187</v>
      </c>
      <c r="W468" s="17"/>
      <c r="X468" s="13"/>
      <c r="Y468" s="13" t="s">
        <v>259</v>
      </c>
      <c r="Z468" s="13" t="s">
        <v>212</v>
      </c>
      <c r="AA468" s="13" t="s">
        <v>192</v>
      </c>
      <c r="AB468" s="13"/>
      <c r="AC468" s="17"/>
      <c r="AD468" s="13"/>
      <c r="AE468" s="19" t="n">
        <v>0</v>
      </c>
      <c r="AF468" s="19" t="n">
        <v>0</v>
      </c>
      <c r="AG468" s="19" t="n">
        <v>0</v>
      </c>
      <c r="AH468" s="13" t="s">
        <v>506</v>
      </c>
      <c r="AI468" s="17"/>
      <c r="AJ468" s="13" t="s">
        <v>188</v>
      </c>
      <c r="AK468" s="13" t="s">
        <v>188</v>
      </c>
      <c r="AL468" s="14" t="s">
        <v>194</v>
      </c>
      <c r="AM468" s="13" t="s">
        <v>507</v>
      </c>
      <c r="AN468" s="15"/>
      <c r="AO468" s="13"/>
      <c r="AP468" s="13" t="s">
        <v>196</v>
      </c>
      <c r="AQ468" s="16" t="n">
        <f aca="false">IFERROR(IF(AND(INDEX(Mob_Demob!$D$6:$D$14,MATCH(AM468,Mob_Demob!$A$6:$A$14,0))="",INDEX(Mob_Demob!$G$6:$G$14,MATCH(AM468,Mob_Demob!$A$6:$A$14,0))=""),"",ROUND(MAX(N(INDEX(Mob_Demob!$G$6:$G$14,MATCH(AM468,Mob_Demob!$A$6:$A$14,0))),N(INDEX(Mob_Demob!$D$6:$D$14,MATCH(AM468,Mob_Demob!$A$6:$A$14,0)))*Settings!$B$6)+IF(AP468="Y",N(INDEX(Mob_Demob!$I$6:$I$14,MATCH(AM468,Mob_Demob!$A$6:$A$14,0)))*Settings!$B$19,0)+N(INDEX(Mob_Demob!$L$6:$L$14,MATCH(AM468,Mob_Demob!$A$6:$A$14,0)))*N(INDEX(Mob_Demob!$K$6:$K$14,MATCH(AM468,Mob_Demob!$A$6:$A$14,0)))*Settings!$B$6+N(INDEX(Mob_Demob!$M$6:$M$14,MATCH(AM468,Mob_Demob!$A$6:$A$14,0)))*N(INDEX(Mob_Demob!$N$6:$N$14,MATCH(AM468,Mob_Demob!$A$6:$A$14,0))),0)),"")</f>
        <v>400</v>
      </c>
      <c r="AR468" s="16" t="n">
        <f aca="false">IF(AQ468="","",ROUND(AQ468*Settings!$B$18,0))</f>
        <v>400</v>
      </c>
      <c r="AS468" s="13"/>
      <c r="AT468" s="14" t="s">
        <v>2847</v>
      </c>
      <c r="AU468" s="14" t="s">
        <v>341</v>
      </c>
    </row>
    <row r="469" customFormat="false" ht="64.15" hidden="false" customHeight="false" outlineLevel="0" collapsed="false">
      <c r="A469" s="21" t="s">
        <v>2907</v>
      </c>
      <c r="B469" s="21" t="s">
        <v>2813</v>
      </c>
      <c r="C469" s="21" t="s">
        <v>1480</v>
      </c>
      <c r="D469" s="21" t="s">
        <v>2908</v>
      </c>
      <c r="E469" s="22" t="s">
        <v>2908</v>
      </c>
      <c r="F469" s="13" t="s">
        <v>141</v>
      </c>
      <c r="G469" s="13" t="s">
        <v>1580</v>
      </c>
      <c r="H469" s="13"/>
      <c r="I469" s="14"/>
      <c r="J469" s="15"/>
      <c r="K469" s="13"/>
      <c r="L469" s="13"/>
      <c r="M469" s="13"/>
      <c r="N469" s="13" t="s">
        <v>503</v>
      </c>
      <c r="O469" s="13" t="s">
        <v>504</v>
      </c>
      <c r="P469" s="13" t="s">
        <v>186</v>
      </c>
      <c r="Q469" s="20" t="n">
        <v>75</v>
      </c>
      <c r="R469" s="20" t="n">
        <v>295</v>
      </c>
      <c r="S469" s="20" t="n">
        <v>895</v>
      </c>
      <c r="T469" s="16"/>
      <c r="U469" s="16"/>
      <c r="V469" s="13" t="s">
        <v>187</v>
      </c>
      <c r="W469" s="17"/>
      <c r="X469" s="13"/>
      <c r="Y469" s="13" t="s">
        <v>764</v>
      </c>
      <c r="Z469" s="13" t="s">
        <v>212</v>
      </c>
      <c r="AA469" s="13" t="s">
        <v>192</v>
      </c>
      <c r="AB469" s="13"/>
      <c r="AC469" s="17"/>
      <c r="AD469" s="13"/>
      <c r="AE469" s="19" t="n">
        <v>0</v>
      </c>
      <c r="AF469" s="19" t="n">
        <v>0</v>
      </c>
      <c r="AG469" s="19" t="n">
        <v>0</v>
      </c>
      <c r="AH469" s="13" t="s">
        <v>506</v>
      </c>
      <c r="AI469" s="17"/>
      <c r="AJ469" s="13" t="s">
        <v>188</v>
      </c>
      <c r="AK469" s="13" t="s">
        <v>188</v>
      </c>
      <c r="AL469" s="14" t="s">
        <v>194</v>
      </c>
      <c r="AM469" s="13" t="s">
        <v>507</v>
      </c>
      <c r="AN469" s="15"/>
      <c r="AO469" s="13"/>
      <c r="AP469" s="13" t="s">
        <v>196</v>
      </c>
      <c r="AQ469" s="16" t="n">
        <f aca="false">IFERROR(IF(AND(INDEX(Mob_Demob!$D$6:$D$14,MATCH(AM469,Mob_Demob!$A$6:$A$14,0))="",INDEX(Mob_Demob!$G$6:$G$14,MATCH(AM469,Mob_Demob!$A$6:$A$14,0))=""),"",ROUND(MAX(N(INDEX(Mob_Demob!$G$6:$G$14,MATCH(AM469,Mob_Demob!$A$6:$A$14,0))),N(INDEX(Mob_Demob!$D$6:$D$14,MATCH(AM469,Mob_Demob!$A$6:$A$14,0)))*Settings!$B$6)+IF(AP469="Y",N(INDEX(Mob_Demob!$I$6:$I$14,MATCH(AM469,Mob_Demob!$A$6:$A$14,0)))*Settings!$B$19,0)+N(INDEX(Mob_Demob!$L$6:$L$14,MATCH(AM469,Mob_Demob!$A$6:$A$14,0)))*N(INDEX(Mob_Demob!$K$6:$K$14,MATCH(AM469,Mob_Demob!$A$6:$A$14,0)))*Settings!$B$6+N(INDEX(Mob_Demob!$M$6:$M$14,MATCH(AM469,Mob_Demob!$A$6:$A$14,0)))*N(INDEX(Mob_Demob!$N$6:$N$14,MATCH(AM469,Mob_Demob!$A$6:$A$14,0))),0)),"")</f>
        <v>400</v>
      </c>
      <c r="AR469" s="16" t="n">
        <f aca="false">IF(AQ469="","",ROUND(AQ469*Settings!$B$18,0))</f>
        <v>400</v>
      </c>
      <c r="AS469" s="13"/>
      <c r="AT469" s="14" t="s">
        <v>2909</v>
      </c>
      <c r="AU469" s="14" t="s">
        <v>341</v>
      </c>
    </row>
    <row r="470" customFormat="false" ht="64.15" hidden="false" customHeight="false" outlineLevel="0" collapsed="false">
      <c r="A470" s="21" t="s">
        <v>2910</v>
      </c>
      <c r="B470" s="21" t="s">
        <v>2813</v>
      </c>
      <c r="C470" s="21" t="s">
        <v>1480</v>
      </c>
      <c r="D470" s="21" t="s">
        <v>2911</v>
      </c>
      <c r="E470" s="22" t="s">
        <v>2911</v>
      </c>
      <c r="F470" s="13" t="s">
        <v>141</v>
      </c>
      <c r="G470" s="13" t="s">
        <v>1580</v>
      </c>
      <c r="H470" s="13"/>
      <c r="I470" s="14"/>
      <c r="J470" s="15"/>
      <c r="K470" s="13"/>
      <c r="L470" s="13"/>
      <c r="M470" s="13"/>
      <c r="N470" s="13" t="s">
        <v>503</v>
      </c>
      <c r="O470" s="13" t="s">
        <v>504</v>
      </c>
      <c r="P470" s="13" t="s">
        <v>186</v>
      </c>
      <c r="Q470" s="20" t="n">
        <v>560</v>
      </c>
      <c r="R470" s="20" t="n">
        <v>1670</v>
      </c>
      <c r="S470" s="20" t="n">
        <v>5000</v>
      </c>
      <c r="T470" s="16"/>
      <c r="U470" s="16"/>
      <c r="V470" s="13" t="s">
        <v>187</v>
      </c>
      <c r="W470" s="17"/>
      <c r="X470" s="13"/>
      <c r="Y470" s="13" t="s">
        <v>1001</v>
      </c>
      <c r="Z470" s="13" t="s">
        <v>212</v>
      </c>
      <c r="AA470" s="13" t="s">
        <v>192</v>
      </c>
      <c r="AB470" s="13"/>
      <c r="AC470" s="17"/>
      <c r="AD470" s="13"/>
      <c r="AE470" s="19" t="n">
        <v>0</v>
      </c>
      <c r="AF470" s="19" t="n">
        <v>0</v>
      </c>
      <c r="AG470" s="19" t="n">
        <v>0</v>
      </c>
      <c r="AH470" s="13" t="s">
        <v>506</v>
      </c>
      <c r="AI470" s="17"/>
      <c r="AJ470" s="13" t="s">
        <v>188</v>
      </c>
      <c r="AK470" s="13" t="s">
        <v>188</v>
      </c>
      <c r="AL470" s="14" t="s">
        <v>194</v>
      </c>
      <c r="AM470" s="13" t="s">
        <v>507</v>
      </c>
      <c r="AN470" s="15"/>
      <c r="AO470" s="13"/>
      <c r="AP470" s="13" t="s">
        <v>196</v>
      </c>
      <c r="AQ470" s="16" t="n">
        <f aca="false">IFERROR(IF(AND(INDEX(Mob_Demob!$D$6:$D$14,MATCH(AM470,Mob_Demob!$A$6:$A$14,0))="",INDEX(Mob_Demob!$G$6:$G$14,MATCH(AM470,Mob_Demob!$A$6:$A$14,0))=""),"",ROUND(MAX(N(INDEX(Mob_Demob!$G$6:$G$14,MATCH(AM470,Mob_Demob!$A$6:$A$14,0))),N(INDEX(Mob_Demob!$D$6:$D$14,MATCH(AM470,Mob_Demob!$A$6:$A$14,0)))*Settings!$B$6)+IF(AP470="Y",N(INDEX(Mob_Demob!$I$6:$I$14,MATCH(AM470,Mob_Demob!$A$6:$A$14,0)))*Settings!$B$19,0)+N(INDEX(Mob_Demob!$L$6:$L$14,MATCH(AM470,Mob_Demob!$A$6:$A$14,0)))*N(INDEX(Mob_Demob!$K$6:$K$14,MATCH(AM470,Mob_Demob!$A$6:$A$14,0)))*Settings!$B$6+N(INDEX(Mob_Demob!$M$6:$M$14,MATCH(AM470,Mob_Demob!$A$6:$A$14,0)))*N(INDEX(Mob_Demob!$N$6:$N$14,MATCH(AM470,Mob_Demob!$A$6:$A$14,0))),0)),"")</f>
        <v>400</v>
      </c>
      <c r="AR470" s="16" t="n">
        <f aca="false">IF(AQ470="","",ROUND(AQ470*Settings!$B$18,0))</f>
        <v>400</v>
      </c>
      <c r="AS470" s="13"/>
      <c r="AT470" s="14" t="s">
        <v>2892</v>
      </c>
      <c r="AU470" s="14" t="s">
        <v>341</v>
      </c>
    </row>
    <row r="471" customFormat="false" ht="64.15" hidden="false" customHeight="false" outlineLevel="0" collapsed="false">
      <c r="A471" s="21" t="s">
        <v>2912</v>
      </c>
      <c r="B471" s="21" t="s">
        <v>2813</v>
      </c>
      <c r="C471" s="21" t="s">
        <v>2913</v>
      </c>
      <c r="D471" s="21" t="s">
        <v>2914</v>
      </c>
      <c r="E471" s="22" t="s">
        <v>2915</v>
      </c>
      <c r="F471" s="13" t="s">
        <v>2916</v>
      </c>
      <c r="G471" s="13" t="s">
        <v>2917</v>
      </c>
      <c r="H471" s="13" t="s">
        <v>334</v>
      </c>
      <c r="I471" s="14"/>
      <c r="J471" s="15"/>
      <c r="K471" s="13"/>
      <c r="L471" s="13"/>
      <c r="M471" s="13"/>
      <c r="N471" s="13" t="s">
        <v>2918</v>
      </c>
      <c r="O471" s="13" t="s">
        <v>1164</v>
      </c>
      <c r="P471" s="13" t="s">
        <v>186</v>
      </c>
      <c r="Q471" s="16"/>
      <c r="R471" s="16"/>
      <c r="S471" s="16"/>
      <c r="T471" s="16"/>
      <c r="U471" s="16"/>
      <c r="V471" s="13" t="s">
        <v>187</v>
      </c>
      <c r="W471" s="17"/>
      <c r="X471" s="13"/>
      <c r="Y471" s="13"/>
      <c r="Z471" s="13"/>
      <c r="AA471" s="13" t="s">
        <v>188</v>
      </c>
      <c r="AB471" s="13" t="s">
        <v>2919</v>
      </c>
      <c r="AC471" s="17"/>
      <c r="AD471" s="13"/>
      <c r="AE471" s="19" t="n">
        <v>0</v>
      </c>
      <c r="AF471" s="19" t="n">
        <v>0</v>
      </c>
      <c r="AG471" s="19" t="n">
        <v>0</v>
      </c>
      <c r="AH471" s="13" t="s">
        <v>506</v>
      </c>
      <c r="AI471" s="17"/>
      <c r="AJ471" s="13" t="s">
        <v>188</v>
      </c>
      <c r="AK471" s="13" t="s">
        <v>188</v>
      </c>
      <c r="AL471" s="14" t="s">
        <v>194</v>
      </c>
      <c r="AM471" s="13" t="s">
        <v>1147</v>
      </c>
      <c r="AN471" s="15"/>
      <c r="AO471" s="13"/>
      <c r="AP471" s="13" t="s">
        <v>196</v>
      </c>
      <c r="AQ471" s="16" t="n">
        <f aca="false">IFERROR(IF(AND(INDEX(Mob_Demob!$D$6:$D$14,MATCH(AM471,Mob_Demob!$A$6:$A$14,0))="",INDEX(Mob_Demob!$G$6:$G$14,MATCH(AM471,Mob_Demob!$A$6:$A$14,0))=""),"",ROUND(MAX(N(INDEX(Mob_Demob!$G$6:$G$14,MATCH(AM471,Mob_Demob!$A$6:$A$14,0))),N(INDEX(Mob_Demob!$D$6:$D$14,MATCH(AM471,Mob_Demob!$A$6:$A$14,0)))*Settings!$B$6)+IF(AP471="Y",N(INDEX(Mob_Demob!$I$6:$I$14,MATCH(AM471,Mob_Demob!$A$6:$A$14,0)))*Settings!$B$19,0)+N(INDEX(Mob_Demob!$L$6:$L$14,MATCH(AM471,Mob_Demob!$A$6:$A$14,0)))*N(INDEX(Mob_Demob!$K$6:$K$14,MATCH(AM471,Mob_Demob!$A$6:$A$14,0)))*Settings!$B$6+N(INDEX(Mob_Demob!$M$6:$M$14,MATCH(AM471,Mob_Demob!$A$6:$A$14,0)))*N(INDEX(Mob_Demob!$N$6:$N$14,MATCH(AM471,Mob_Demob!$A$6:$A$14,0))),0)),"")</f>
        <v>200</v>
      </c>
      <c r="AR471" s="16" t="n">
        <f aca="false">IF(AQ471="","",ROUND(AQ471*Settings!$B$18,0))</f>
        <v>200</v>
      </c>
      <c r="AS471" s="13"/>
      <c r="AT471" s="14" t="s">
        <v>2920</v>
      </c>
      <c r="AU471" s="14" t="s">
        <v>509</v>
      </c>
    </row>
    <row r="472" customFormat="false" ht="64.15" hidden="false" customHeight="false" outlineLevel="0" collapsed="false">
      <c r="A472" s="21" t="s">
        <v>2921</v>
      </c>
      <c r="B472" s="21" t="s">
        <v>2813</v>
      </c>
      <c r="C472" s="21" t="s">
        <v>2913</v>
      </c>
      <c r="D472" s="21" t="s">
        <v>2914</v>
      </c>
      <c r="E472" s="22" t="s">
        <v>2922</v>
      </c>
      <c r="F472" s="13" t="s">
        <v>2916</v>
      </c>
      <c r="G472" s="13" t="s">
        <v>2923</v>
      </c>
      <c r="H472" s="13" t="s">
        <v>334</v>
      </c>
      <c r="I472" s="14"/>
      <c r="J472" s="15"/>
      <c r="K472" s="13"/>
      <c r="L472" s="13"/>
      <c r="M472" s="13"/>
      <c r="N472" s="13" t="s">
        <v>2918</v>
      </c>
      <c r="O472" s="13" t="s">
        <v>1164</v>
      </c>
      <c r="P472" s="13" t="s">
        <v>186</v>
      </c>
      <c r="Q472" s="16"/>
      <c r="R472" s="16"/>
      <c r="S472" s="16"/>
      <c r="T472" s="16"/>
      <c r="U472" s="16"/>
      <c r="V472" s="13" t="s">
        <v>187</v>
      </c>
      <c r="W472" s="17"/>
      <c r="X472" s="13"/>
      <c r="Y472" s="13"/>
      <c r="Z472" s="13"/>
      <c r="AA472" s="13" t="s">
        <v>188</v>
      </c>
      <c r="AB472" s="13" t="s">
        <v>2924</v>
      </c>
      <c r="AC472" s="17"/>
      <c r="AD472" s="13"/>
      <c r="AE472" s="19" t="n">
        <v>0</v>
      </c>
      <c r="AF472" s="19" t="n">
        <v>0</v>
      </c>
      <c r="AG472" s="19" t="n">
        <v>0</v>
      </c>
      <c r="AH472" s="13" t="s">
        <v>506</v>
      </c>
      <c r="AI472" s="17"/>
      <c r="AJ472" s="13" t="s">
        <v>188</v>
      </c>
      <c r="AK472" s="13" t="s">
        <v>188</v>
      </c>
      <c r="AL472" s="14" t="s">
        <v>194</v>
      </c>
      <c r="AM472" s="13" t="s">
        <v>1147</v>
      </c>
      <c r="AN472" s="15"/>
      <c r="AO472" s="13"/>
      <c r="AP472" s="13" t="s">
        <v>196</v>
      </c>
      <c r="AQ472" s="16" t="n">
        <f aca="false">IFERROR(IF(AND(INDEX(Mob_Demob!$D$6:$D$14,MATCH(AM472,Mob_Demob!$A$6:$A$14,0))="",INDEX(Mob_Demob!$G$6:$G$14,MATCH(AM472,Mob_Demob!$A$6:$A$14,0))=""),"",ROUND(MAX(N(INDEX(Mob_Demob!$G$6:$G$14,MATCH(AM472,Mob_Demob!$A$6:$A$14,0))),N(INDEX(Mob_Demob!$D$6:$D$14,MATCH(AM472,Mob_Demob!$A$6:$A$14,0)))*Settings!$B$6)+IF(AP472="Y",N(INDEX(Mob_Demob!$I$6:$I$14,MATCH(AM472,Mob_Demob!$A$6:$A$14,0)))*Settings!$B$19,0)+N(INDEX(Mob_Demob!$L$6:$L$14,MATCH(AM472,Mob_Demob!$A$6:$A$14,0)))*N(INDEX(Mob_Demob!$K$6:$K$14,MATCH(AM472,Mob_Demob!$A$6:$A$14,0)))*Settings!$B$6+N(INDEX(Mob_Demob!$M$6:$M$14,MATCH(AM472,Mob_Demob!$A$6:$A$14,0)))*N(INDEX(Mob_Demob!$N$6:$N$14,MATCH(AM472,Mob_Demob!$A$6:$A$14,0))),0)),"")</f>
        <v>200</v>
      </c>
      <c r="AR472" s="16" t="n">
        <f aca="false">IF(AQ472="","",ROUND(AQ472*Settings!$B$18,0))</f>
        <v>200</v>
      </c>
      <c r="AS472" s="13"/>
      <c r="AT472" s="14" t="s">
        <v>2925</v>
      </c>
      <c r="AU472" s="14" t="s">
        <v>509</v>
      </c>
    </row>
    <row r="473" customFormat="false" ht="64.15" hidden="false" customHeight="false" outlineLevel="0" collapsed="false">
      <c r="A473" s="21" t="s">
        <v>2926</v>
      </c>
      <c r="B473" s="21" t="s">
        <v>2813</v>
      </c>
      <c r="C473" s="21" t="s">
        <v>2913</v>
      </c>
      <c r="D473" s="21" t="s">
        <v>2914</v>
      </c>
      <c r="E473" s="22" t="s">
        <v>2927</v>
      </c>
      <c r="F473" s="13" t="s">
        <v>2916</v>
      </c>
      <c r="G473" s="13" t="s">
        <v>2928</v>
      </c>
      <c r="H473" s="13" t="s">
        <v>334</v>
      </c>
      <c r="I473" s="14"/>
      <c r="J473" s="15"/>
      <c r="K473" s="13"/>
      <c r="L473" s="13"/>
      <c r="M473" s="13"/>
      <c r="N473" s="13" t="s">
        <v>2918</v>
      </c>
      <c r="O473" s="13" t="s">
        <v>1164</v>
      </c>
      <c r="P473" s="13" t="s">
        <v>186</v>
      </c>
      <c r="Q473" s="16"/>
      <c r="R473" s="16"/>
      <c r="S473" s="16"/>
      <c r="T473" s="16"/>
      <c r="U473" s="16"/>
      <c r="V473" s="13" t="s">
        <v>187</v>
      </c>
      <c r="W473" s="17"/>
      <c r="X473" s="13"/>
      <c r="Y473" s="13"/>
      <c r="Z473" s="13"/>
      <c r="AA473" s="13" t="s">
        <v>188</v>
      </c>
      <c r="AB473" s="13" t="s">
        <v>2929</v>
      </c>
      <c r="AC473" s="17"/>
      <c r="AD473" s="13"/>
      <c r="AE473" s="19" t="n">
        <v>0</v>
      </c>
      <c r="AF473" s="19" t="n">
        <v>0</v>
      </c>
      <c r="AG473" s="19" t="n">
        <v>0</v>
      </c>
      <c r="AH473" s="13" t="s">
        <v>506</v>
      </c>
      <c r="AI473" s="17"/>
      <c r="AJ473" s="13" t="s">
        <v>188</v>
      </c>
      <c r="AK473" s="13" t="s">
        <v>188</v>
      </c>
      <c r="AL473" s="14" t="s">
        <v>194</v>
      </c>
      <c r="AM473" s="13" t="s">
        <v>1147</v>
      </c>
      <c r="AN473" s="15"/>
      <c r="AO473" s="13"/>
      <c r="AP473" s="13" t="s">
        <v>196</v>
      </c>
      <c r="AQ473" s="16" t="n">
        <f aca="false">IFERROR(IF(AND(INDEX(Mob_Demob!$D$6:$D$14,MATCH(AM473,Mob_Demob!$A$6:$A$14,0))="",INDEX(Mob_Demob!$G$6:$G$14,MATCH(AM473,Mob_Demob!$A$6:$A$14,0))=""),"",ROUND(MAX(N(INDEX(Mob_Demob!$G$6:$G$14,MATCH(AM473,Mob_Demob!$A$6:$A$14,0))),N(INDEX(Mob_Demob!$D$6:$D$14,MATCH(AM473,Mob_Demob!$A$6:$A$14,0)))*Settings!$B$6)+IF(AP473="Y",N(INDEX(Mob_Demob!$I$6:$I$14,MATCH(AM473,Mob_Demob!$A$6:$A$14,0)))*Settings!$B$19,0)+N(INDEX(Mob_Demob!$L$6:$L$14,MATCH(AM473,Mob_Demob!$A$6:$A$14,0)))*N(INDEX(Mob_Demob!$K$6:$K$14,MATCH(AM473,Mob_Demob!$A$6:$A$14,0)))*Settings!$B$6+N(INDEX(Mob_Demob!$M$6:$M$14,MATCH(AM473,Mob_Demob!$A$6:$A$14,0)))*N(INDEX(Mob_Demob!$N$6:$N$14,MATCH(AM473,Mob_Demob!$A$6:$A$14,0))),0)),"")</f>
        <v>200</v>
      </c>
      <c r="AR473" s="16" t="n">
        <f aca="false">IF(AQ473="","",ROUND(AQ473*Settings!$B$18,0))</f>
        <v>200</v>
      </c>
      <c r="AS473" s="13"/>
      <c r="AT473" s="14" t="s">
        <v>2930</v>
      </c>
      <c r="AU473" s="14" t="s">
        <v>509</v>
      </c>
    </row>
    <row r="474" customFormat="false" ht="64.15" hidden="false" customHeight="false" outlineLevel="0" collapsed="false">
      <c r="A474" s="21" t="s">
        <v>2931</v>
      </c>
      <c r="B474" s="21" t="s">
        <v>2813</v>
      </c>
      <c r="C474" s="21" t="s">
        <v>2913</v>
      </c>
      <c r="D474" s="21" t="s">
        <v>2914</v>
      </c>
      <c r="E474" s="22" t="s">
        <v>2932</v>
      </c>
      <c r="F474" s="13" t="s">
        <v>2916</v>
      </c>
      <c r="G474" s="13" t="s">
        <v>1076</v>
      </c>
      <c r="H474" s="13" t="s">
        <v>334</v>
      </c>
      <c r="I474" s="14"/>
      <c r="J474" s="15"/>
      <c r="K474" s="13"/>
      <c r="L474" s="13"/>
      <c r="M474" s="13"/>
      <c r="N474" s="13" t="s">
        <v>2918</v>
      </c>
      <c r="O474" s="13" t="s">
        <v>1164</v>
      </c>
      <c r="P474" s="13" t="s">
        <v>186</v>
      </c>
      <c r="Q474" s="16"/>
      <c r="R474" s="16"/>
      <c r="S474" s="16"/>
      <c r="T474" s="16"/>
      <c r="U474" s="16"/>
      <c r="V474" s="13" t="s">
        <v>187</v>
      </c>
      <c r="W474" s="17"/>
      <c r="X474" s="13"/>
      <c r="Y474" s="13"/>
      <c r="Z474" s="13"/>
      <c r="AA474" s="13" t="s">
        <v>188</v>
      </c>
      <c r="AB474" s="13" t="s">
        <v>2933</v>
      </c>
      <c r="AC474" s="17"/>
      <c r="AD474" s="13"/>
      <c r="AE474" s="19" t="n">
        <v>0</v>
      </c>
      <c r="AF474" s="19" t="n">
        <v>0</v>
      </c>
      <c r="AG474" s="19" t="n">
        <v>0</v>
      </c>
      <c r="AH474" s="13" t="s">
        <v>506</v>
      </c>
      <c r="AI474" s="17"/>
      <c r="AJ474" s="13" t="s">
        <v>188</v>
      </c>
      <c r="AK474" s="13" t="s">
        <v>188</v>
      </c>
      <c r="AL474" s="14" t="s">
        <v>194</v>
      </c>
      <c r="AM474" s="13" t="s">
        <v>1147</v>
      </c>
      <c r="AN474" s="15"/>
      <c r="AO474" s="13"/>
      <c r="AP474" s="13" t="s">
        <v>196</v>
      </c>
      <c r="AQ474" s="16" t="n">
        <f aca="false">IFERROR(IF(AND(INDEX(Mob_Demob!$D$6:$D$14,MATCH(AM474,Mob_Demob!$A$6:$A$14,0))="",INDEX(Mob_Demob!$G$6:$G$14,MATCH(AM474,Mob_Demob!$A$6:$A$14,0))=""),"",ROUND(MAX(N(INDEX(Mob_Demob!$G$6:$G$14,MATCH(AM474,Mob_Demob!$A$6:$A$14,0))),N(INDEX(Mob_Demob!$D$6:$D$14,MATCH(AM474,Mob_Demob!$A$6:$A$14,0)))*Settings!$B$6)+IF(AP474="Y",N(INDEX(Mob_Demob!$I$6:$I$14,MATCH(AM474,Mob_Demob!$A$6:$A$14,0)))*Settings!$B$19,0)+N(INDEX(Mob_Demob!$L$6:$L$14,MATCH(AM474,Mob_Demob!$A$6:$A$14,0)))*N(INDEX(Mob_Demob!$K$6:$K$14,MATCH(AM474,Mob_Demob!$A$6:$A$14,0)))*Settings!$B$6+N(INDEX(Mob_Demob!$M$6:$M$14,MATCH(AM474,Mob_Demob!$A$6:$A$14,0)))*N(INDEX(Mob_Demob!$N$6:$N$14,MATCH(AM474,Mob_Demob!$A$6:$A$14,0))),0)),"")</f>
        <v>200</v>
      </c>
      <c r="AR474" s="16" t="n">
        <f aca="false">IF(AQ474="","",ROUND(AQ474*Settings!$B$18,0))</f>
        <v>200</v>
      </c>
      <c r="AS474" s="13"/>
      <c r="AT474" s="14" t="s">
        <v>2934</v>
      </c>
      <c r="AU474" s="14" t="s">
        <v>509</v>
      </c>
    </row>
    <row r="475" customFormat="false" ht="64.15" hidden="false" customHeight="false" outlineLevel="0" collapsed="false">
      <c r="A475" s="11" t="s">
        <v>2935</v>
      </c>
      <c r="B475" s="11" t="s">
        <v>2936</v>
      </c>
      <c r="C475" s="11" t="s">
        <v>2937</v>
      </c>
      <c r="D475" s="11" t="s">
        <v>2938</v>
      </c>
      <c r="E475" s="12" t="s">
        <v>2939</v>
      </c>
      <c r="F475" s="13" t="s">
        <v>149</v>
      </c>
      <c r="G475" s="13" t="n">
        <v>12</v>
      </c>
      <c r="H475" s="13" t="s">
        <v>1196</v>
      </c>
      <c r="I475" s="14" t="s">
        <v>2940</v>
      </c>
      <c r="J475" s="15"/>
      <c r="K475" s="13"/>
      <c r="L475" s="13"/>
      <c r="M475" s="13"/>
      <c r="N475" s="13" t="s">
        <v>184</v>
      </c>
      <c r="O475" s="13" t="s">
        <v>1164</v>
      </c>
      <c r="P475" s="13" t="s">
        <v>186</v>
      </c>
      <c r="Q475" s="16"/>
      <c r="R475" s="16"/>
      <c r="S475" s="16"/>
      <c r="T475" s="16"/>
      <c r="U475" s="16"/>
      <c r="V475" s="13" t="s">
        <v>187</v>
      </c>
      <c r="W475" s="17"/>
      <c r="X475" s="13"/>
      <c r="Y475" s="13"/>
      <c r="Z475" s="13"/>
      <c r="AA475" s="13" t="s">
        <v>188</v>
      </c>
      <c r="AB475" s="13" t="s">
        <v>2941</v>
      </c>
      <c r="AC475" s="18" t="n">
        <v>24.74</v>
      </c>
      <c r="AD475" s="13" t="s">
        <v>190</v>
      </c>
      <c r="AE475" s="19"/>
      <c r="AF475" s="19"/>
      <c r="AG475" s="19"/>
      <c r="AH475" s="13"/>
      <c r="AI475" s="17" t="str">
        <f aca="false">IF(OR(AC475="",AF475="",Settings!$B$5=""),"",ROUND(AC475-AF475*Settings!$B$5,2))</f>
        <v/>
      </c>
      <c r="AJ475" s="13" t="s">
        <v>192</v>
      </c>
      <c r="AK475" s="13" t="s">
        <v>193</v>
      </c>
      <c r="AL475" s="14" t="s">
        <v>194</v>
      </c>
      <c r="AM475" s="13" t="s">
        <v>1147</v>
      </c>
      <c r="AN475" s="15"/>
      <c r="AO475" s="13"/>
      <c r="AP475" s="13" t="s">
        <v>196</v>
      </c>
      <c r="AQ475" s="16" t="n">
        <f aca="false">IFERROR(IF(AND(INDEX(Mob_Demob!$D$6:$D$14,MATCH(AM475,Mob_Demob!$A$6:$A$14,0))="",INDEX(Mob_Demob!$G$6:$G$14,MATCH(AM475,Mob_Demob!$A$6:$A$14,0))=""),"",ROUND(MAX(N(INDEX(Mob_Demob!$G$6:$G$14,MATCH(AM475,Mob_Demob!$A$6:$A$14,0))),N(INDEX(Mob_Demob!$D$6:$D$14,MATCH(AM475,Mob_Demob!$A$6:$A$14,0)))*Settings!$B$6)+IF(AP475="Y",N(INDEX(Mob_Demob!$I$6:$I$14,MATCH(AM475,Mob_Demob!$A$6:$A$14,0)))*Settings!$B$19,0)+N(INDEX(Mob_Demob!$L$6:$L$14,MATCH(AM475,Mob_Demob!$A$6:$A$14,0)))*N(INDEX(Mob_Demob!$K$6:$K$14,MATCH(AM475,Mob_Demob!$A$6:$A$14,0)))*Settings!$B$6+N(INDEX(Mob_Demob!$M$6:$M$14,MATCH(AM475,Mob_Demob!$A$6:$A$14,0)))*N(INDEX(Mob_Demob!$N$6:$N$14,MATCH(AM475,Mob_Demob!$A$6:$A$14,0))),0)),"")</f>
        <v>200</v>
      </c>
      <c r="AR475" s="16" t="n">
        <f aca="false">IF(AQ475="","",ROUND(AQ475*Settings!$B$18,0))</f>
        <v>200</v>
      </c>
      <c r="AS475" s="13" t="s">
        <v>2942</v>
      </c>
      <c r="AT475" s="14" t="s">
        <v>871</v>
      </c>
      <c r="AU475" s="14" t="s">
        <v>838</v>
      </c>
    </row>
    <row r="476" customFormat="false" ht="64.15" hidden="false" customHeight="false" outlineLevel="0" collapsed="false">
      <c r="A476" s="11" t="s">
        <v>2943</v>
      </c>
      <c r="B476" s="11" t="s">
        <v>2936</v>
      </c>
      <c r="C476" s="11" t="s">
        <v>2937</v>
      </c>
      <c r="D476" s="11" t="s">
        <v>2938</v>
      </c>
      <c r="E476" s="12" t="s">
        <v>2944</v>
      </c>
      <c r="F476" s="13" t="s">
        <v>149</v>
      </c>
      <c r="G476" s="13" t="n">
        <v>15</v>
      </c>
      <c r="H476" s="13" t="s">
        <v>1196</v>
      </c>
      <c r="I476" s="14" t="s">
        <v>2945</v>
      </c>
      <c r="J476" s="15"/>
      <c r="K476" s="13"/>
      <c r="L476" s="13"/>
      <c r="M476" s="13"/>
      <c r="N476" s="13" t="s">
        <v>184</v>
      </c>
      <c r="O476" s="13" t="s">
        <v>1164</v>
      </c>
      <c r="P476" s="13" t="s">
        <v>186</v>
      </c>
      <c r="Q476" s="16"/>
      <c r="R476" s="16"/>
      <c r="S476" s="16"/>
      <c r="T476" s="16"/>
      <c r="U476" s="16"/>
      <c r="V476" s="13" t="s">
        <v>187</v>
      </c>
      <c r="W476" s="17"/>
      <c r="X476" s="13"/>
      <c r="Y476" s="13"/>
      <c r="Z476" s="13"/>
      <c r="AA476" s="13" t="s">
        <v>188</v>
      </c>
      <c r="AB476" s="13" t="s">
        <v>2946</v>
      </c>
      <c r="AC476" s="18" t="n">
        <v>49.8</v>
      </c>
      <c r="AD476" s="13" t="s">
        <v>190</v>
      </c>
      <c r="AE476" s="19"/>
      <c r="AF476" s="19"/>
      <c r="AG476" s="19"/>
      <c r="AH476" s="13"/>
      <c r="AI476" s="17" t="str">
        <f aca="false">IF(OR(AC476="",AF476="",Settings!$B$5=""),"",ROUND(AC476-AF476*Settings!$B$5,2))</f>
        <v/>
      </c>
      <c r="AJ476" s="13" t="s">
        <v>192</v>
      </c>
      <c r="AK476" s="13" t="s">
        <v>193</v>
      </c>
      <c r="AL476" s="14" t="s">
        <v>194</v>
      </c>
      <c r="AM476" s="13" t="s">
        <v>1147</v>
      </c>
      <c r="AN476" s="15"/>
      <c r="AO476" s="13"/>
      <c r="AP476" s="13" t="s">
        <v>196</v>
      </c>
      <c r="AQ476" s="16" t="n">
        <f aca="false">IFERROR(IF(AND(INDEX(Mob_Demob!$D$6:$D$14,MATCH(AM476,Mob_Demob!$A$6:$A$14,0))="",INDEX(Mob_Demob!$G$6:$G$14,MATCH(AM476,Mob_Demob!$A$6:$A$14,0))=""),"",ROUND(MAX(N(INDEX(Mob_Demob!$G$6:$G$14,MATCH(AM476,Mob_Demob!$A$6:$A$14,0))),N(INDEX(Mob_Demob!$D$6:$D$14,MATCH(AM476,Mob_Demob!$A$6:$A$14,0)))*Settings!$B$6)+IF(AP476="Y",N(INDEX(Mob_Demob!$I$6:$I$14,MATCH(AM476,Mob_Demob!$A$6:$A$14,0)))*Settings!$B$19,0)+N(INDEX(Mob_Demob!$L$6:$L$14,MATCH(AM476,Mob_Demob!$A$6:$A$14,0)))*N(INDEX(Mob_Demob!$K$6:$K$14,MATCH(AM476,Mob_Demob!$A$6:$A$14,0)))*Settings!$B$6+N(INDEX(Mob_Demob!$M$6:$M$14,MATCH(AM476,Mob_Demob!$A$6:$A$14,0)))*N(INDEX(Mob_Demob!$N$6:$N$14,MATCH(AM476,Mob_Demob!$A$6:$A$14,0))),0)),"")</f>
        <v>200</v>
      </c>
      <c r="AR476" s="16" t="n">
        <f aca="false">IF(AQ476="","",ROUND(AQ476*Settings!$B$18,0))</f>
        <v>200</v>
      </c>
      <c r="AS476" s="13" t="s">
        <v>2942</v>
      </c>
      <c r="AT476" s="14" t="s">
        <v>871</v>
      </c>
      <c r="AU476" s="14" t="s">
        <v>838</v>
      </c>
    </row>
    <row r="477" customFormat="false" ht="64.15" hidden="false" customHeight="false" outlineLevel="0" collapsed="false">
      <c r="A477" s="11" t="s">
        <v>2947</v>
      </c>
      <c r="B477" s="11" t="s">
        <v>2936</v>
      </c>
      <c r="C477" s="11" t="s">
        <v>2937</v>
      </c>
      <c r="D477" s="11" t="s">
        <v>2938</v>
      </c>
      <c r="E477" s="12" t="s">
        <v>2948</v>
      </c>
      <c r="F477" s="13" t="s">
        <v>149</v>
      </c>
      <c r="G477" s="13" t="n">
        <v>19</v>
      </c>
      <c r="H477" s="13" t="s">
        <v>1196</v>
      </c>
      <c r="I477" s="14" t="s">
        <v>2949</v>
      </c>
      <c r="J477" s="15"/>
      <c r="K477" s="13"/>
      <c r="L477" s="13"/>
      <c r="M477" s="13"/>
      <c r="N477" s="13" t="s">
        <v>184</v>
      </c>
      <c r="O477" s="13" t="s">
        <v>1164</v>
      </c>
      <c r="P477" s="13" t="s">
        <v>186</v>
      </c>
      <c r="Q477" s="16"/>
      <c r="R477" s="16"/>
      <c r="S477" s="16"/>
      <c r="T477" s="16"/>
      <c r="U477" s="16"/>
      <c r="V477" s="13" t="s">
        <v>187</v>
      </c>
      <c r="W477" s="17"/>
      <c r="X477" s="13"/>
      <c r="Y477" s="13"/>
      <c r="Z477" s="13"/>
      <c r="AA477" s="13" t="s">
        <v>188</v>
      </c>
      <c r="AB477" s="13" t="s">
        <v>2950</v>
      </c>
      <c r="AC477" s="18" t="n">
        <v>48.64</v>
      </c>
      <c r="AD477" s="13" t="s">
        <v>190</v>
      </c>
      <c r="AE477" s="19"/>
      <c r="AF477" s="19"/>
      <c r="AG477" s="19"/>
      <c r="AH477" s="13"/>
      <c r="AI477" s="17" t="str">
        <f aca="false">IF(OR(AC477="",AF477="",Settings!$B$5=""),"",ROUND(AC477-AF477*Settings!$B$5,2))</f>
        <v/>
      </c>
      <c r="AJ477" s="13" t="s">
        <v>192</v>
      </c>
      <c r="AK477" s="13" t="s">
        <v>193</v>
      </c>
      <c r="AL477" s="14" t="s">
        <v>194</v>
      </c>
      <c r="AM477" s="13" t="s">
        <v>1147</v>
      </c>
      <c r="AN477" s="15"/>
      <c r="AO477" s="13"/>
      <c r="AP477" s="13" t="s">
        <v>196</v>
      </c>
      <c r="AQ477" s="16" t="n">
        <f aca="false">IFERROR(IF(AND(INDEX(Mob_Demob!$D$6:$D$14,MATCH(AM477,Mob_Demob!$A$6:$A$14,0))="",INDEX(Mob_Demob!$G$6:$G$14,MATCH(AM477,Mob_Demob!$A$6:$A$14,0))=""),"",ROUND(MAX(N(INDEX(Mob_Demob!$G$6:$G$14,MATCH(AM477,Mob_Demob!$A$6:$A$14,0))),N(INDEX(Mob_Demob!$D$6:$D$14,MATCH(AM477,Mob_Demob!$A$6:$A$14,0)))*Settings!$B$6)+IF(AP477="Y",N(INDEX(Mob_Demob!$I$6:$I$14,MATCH(AM477,Mob_Demob!$A$6:$A$14,0)))*Settings!$B$19,0)+N(INDEX(Mob_Demob!$L$6:$L$14,MATCH(AM477,Mob_Demob!$A$6:$A$14,0)))*N(INDEX(Mob_Demob!$K$6:$K$14,MATCH(AM477,Mob_Demob!$A$6:$A$14,0)))*Settings!$B$6+N(INDEX(Mob_Demob!$M$6:$M$14,MATCH(AM477,Mob_Demob!$A$6:$A$14,0)))*N(INDEX(Mob_Demob!$N$6:$N$14,MATCH(AM477,Mob_Demob!$A$6:$A$14,0))),0)),"")</f>
        <v>200</v>
      </c>
      <c r="AR477" s="16" t="n">
        <f aca="false">IF(AQ477="","",ROUND(AQ477*Settings!$B$18,0))</f>
        <v>200</v>
      </c>
      <c r="AS477" s="13" t="s">
        <v>2942</v>
      </c>
      <c r="AT477" s="14" t="s">
        <v>2951</v>
      </c>
      <c r="AU477" s="14" t="s">
        <v>2952</v>
      </c>
    </row>
    <row r="478" customFormat="false" ht="64.15" hidden="false" customHeight="false" outlineLevel="0" collapsed="false">
      <c r="A478" s="11" t="s">
        <v>2953</v>
      </c>
      <c r="B478" s="11" t="s">
        <v>2936</v>
      </c>
      <c r="C478" s="11" t="s">
        <v>2937</v>
      </c>
      <c r="D478" s="11" t="s">
        <v>1368</v>
      </c>
      <c r="E478" s="12" t="s">
        <v>2954</v>
      </c>
      <c r="F478" s="13" t="s">
        <v>149</v>
      </c>
      <c r="G478" s="13" t="n">
        <v>9</v>
      </c>
      <c r="H478" s="13" t="s">
        <v>1196</v>
      </c>
      <c r="I478" s="14" t="s">
        <v>2955</v>
      </c>
      <c r="J478" s="15"/>
      <c r="K478" s="13"/>
      <c r="L478" s="13"/>
      <c r="M478" s="13"/>
      <c r="N478" s="13" t="s">
        <v>184</v>
      </c>
      <c r="O478" s="13" t="s">
        <v>1164</v>
      </c>
      <c r="P478" s="13" t="s">
        <v>186</v>
      </c>
      <c r="Q478" s="16"/>
      <c r="R478" s="16"/>
      <c r="S478" s="16"/>
      <c r="T478" s="16"/>
      <c r="U478" s="16"/>
      <c r="V478" s="13" t="s">
        <v>187</v>
      </c>
      <c r="W478" s="17"/>
      <c r="X478" s="13"/>
      <c r="Y478" s="13"/>
      <c r="Z478" s="13"/>
      <c r="AA478" s="13" t="s">
        <v>188</v>
      </c>
      <c r="AB478" s="13" t="s">
        <v>2956</v>
      </c>
      <c r="AC478" s="17"/>
      <c r="AD478" s="13"/>
      <c r="AE478" s="19"/>
      <c r="AF478" s="19"/>
      <c r="AG478" s="19"/>
      <c r="AH478" s="13"/>
      <c r="AI478" s="17"/>
      <c r="AJ478" s="13" t="s">
        <v>188</v>
      </c>
      <c r="AK478" s="13" t="s">
        <v>188</v>
      </c>
      <c r="AL478" s="14" t="s">
        <v>194</v>
      </c>
      <c r="AM478" s="13" t="s">
        <v>1147</v>
      </c>
      <c r="AN478" s="15"/>
      <c r="AO478" s="13"/>
      <c r="AP478" s="13" t="s">
        <v>196</v>
      </c>
      <c r="AQ478" s="16" t="n">
        <f aca="false">IFERROR(IF(AND(INDEX(Mob_Demob!$D$6:$D$14,MATCH(AM478,Mob_Demob!$A$6:$A$14,0))="",INDEX(Mob_Demob!$G$6:$G$14,MATCH(AM478,Mob_Demob!$A$6:$A$14,0))=""),"",ROUND(MAX(N(INDEX(Mob_Demob!$G$6:$G$14,MATCH(AM478,Mob_Demob!$A$6:$A$14,0))),N(INDEX(Mob_Demob!$D$6:$D$14,MATCH(AM478,Mob_Demob!$A$6:$A$14,0)))*Settings!$B$6)+IF(AP478="Y",N(INDEX(Mob_Demob!$I$6:$I$14,MATCH(AM478,Mob_Demob!$A$6:$A$14,0)))*Settings!$B$19,0)+N(INDEX(Mob_Demob!$L$6:$L$14,MATCH(AM478,Mob_Demob!$A$6:$A$14,0)))*N(INDEX(Mob_Demob!$K$6:$K$14,MATCH(AM478,Mob_Demob!$A$6:$A$14,0)))*Settings!$B$6+N(INDEX(Mob_Demob!$M$6:$M$14,MATCH(AM478,Mob_Demob!$A$6:$A$14,0)))*N(INDEX(Mob_Demob!$N$6:$N$14,MATCH(AM478,Mob_Demob!$A$6:$A$14,0))),0)),"")</f>
        <v>200</v>
      </c>
      <c r="AR478" s="16" t="n">
        <f aca="false">IF(AQ478="","",ROUND(AQ478*Settings!$B$18,0))</f>
        <v>200</v>
      </c>
      <c r="AS478" s="13" t="s">
        <v>2942</v>
      </c>
      <c r="AT478" s="14" t="s">
        <v>2957</v>
      </c>
      <c r="AU478" s="14" t="s">
        <v>1381</v>
      </c>
    </row>
    <row r="479" customFormat="false" ht="64.15" hidden="false" customHeight="false" outlineLevel="0" collapsed="false">
      <c r="A479" s="11" t="s">
        <v>2958</v>
      </c>
      <c r="B479" s="11" t="s">
        <v>2936</v>
      </c>
      <c r="C479" s="11" t="s">
        <v>2959</v>
      </c>
      <c r="D479" s="11" t="s">
        <v>2960</v>
      </c>
      <c r="E479" s="12" t="s">
        <v>2961</v>
      </c>
      <c r="F479" s="13" t="s">
        <v>180</v>
      </c>
      <c r="G479" s="13" t="n">
        <v>560</v>
      </c>
      <c r="H479" s="13" t="s">
        <v>181</v>
      </c>
      <c r="I479" s="14" t="s">
        <v>2962</v>
      </c>
      <c r="J479" s="15"/>
      <c r="K479" s="13" t="n">
        <v>560</v>
      </c>
      <c r="L479" s="13"/>
      <c r="M479" s="13"/>
      <c r="N479" s="13" t="s">
        <v>184</v>
      </c>
      <c r="O479" s="13" t="s">
        <v>185</v>
      </c>
      <c r="P479" s="13" t="s">
        <v>186</v>
      </c>
      <c r="Q479" s="16"/>
      <c r="R479" s="16"/>
      <c r="S479" s="16"/>
      <c r="T479" s="16"/>
      <c r="U479" s="16"/>
      <c r="V479" s="13" t="s">
        <v>187</v>
      </c>
      <c r="W479" s="17"/>
      <c r="X479" s="13"/>
      <c r="Y479" s="13"/>
      <c r="Z479" s="13"/>
      <c r="AA479" s="13" t="s">
        <v>188</v>
      </c>
      <c r="AB479" s="13" t="s">
        <v>2963</v>
      </c>
      <c r="AC479" s="18" t="n">
        <v>167.84</v>
      </c>
      <c r="AD479" s="13" t="s">
        <v>190</v>
      </c>
      <c r="AE479" s="19" t="n">
        <f aca="false">ROUND(K479*Settings!$B$11*Settings!$B$13,2)</f>
        <v>9.53</v>
      </c>
      <c r="AF479" s="19" t="n">
        <f aca="false">ROUND(K479*Settings!$B$11*Settings!$B$14,2)</f>
        <v>12.52</v>
      </c>
      <c r="AG479" s="19" t="n">
        <f aca="false">ROUND(K479*Settings!$B$11*Settings!$B$15,2)</f>
        <v>16.33</v>
      </c>
      <c r="AH479" s="13" t="s">
        <v>191</v>
      </c>
      <c r="AI479" s="17" t="n">
        <f aca="false">IF(OR(AC479="",AF479="",Settings!$B$5=""),"",ROUND(AC479-AF479*Settings!$B$5,2))</f>
        <v>122.02</v>
      </c>
      <c r="AJ479" s="13" t="s">
        <v>192</v>
      </c>
      <c r="AK479" s="13" t="s">
        <v>193</v>
      </c>
      <c r="AL479" s="14" t="s">
        <v>194</v>
      </c>
      <c r="AM479" s="13" t="s">
        <v>268</v>
      </c>
      <c r="AN479" s="15"/>
      <c r="AO479" s="13"/>
      <c r="AP479" s="13" t="s">
        <v>269</v>
      </c>
      <c r="AQ479" s="16" t="n">
        <f aca="false">IFERROR(IF(AND(INDEX(Mob_Demob!$D$6:$D$14,MATCH(AM479,Mob_Demob!$A$6:$A$14,0))="",INDEX(Mob_Demob!$G$6:$G$14,MATCH(AM479,Mob_Demob!$A$6:$A$14,0))=""),"",ROUND(MAX(N(INDEX(Mob_Demob!$G$6:$G$14,MATCH(AM479,Mob_Demob!$A$6:$A$14,0))),N(INDEX(Mob_Demob!$D$6:$D$14,MATCH(AM479,Mob_Demob!$A$6:$A$14,0)))*Settings!$B$6)+IF(AP479="Y",N(INDEX(Mob_Demob!$I$6:$I$14,MATCH(AM479,Mob_Demob!$A$6:$A$14,0)))*Settings!$B$19,0)+N(INDEX(Mob_Demob!$L$6:$L$14,MATCH(AM479,Mob_Demob!$A$6:$A$14,0)))*N(INDEX(Mob_Demob!$K$6:$K$14,MATCH(AM479,Mob_Demob!$A$6:$A$14,0)))*Settings!$B$6+N(INDEX(Mob_Demob!$M$6:$M$14,MATCH(AM479,Mob_Demob!$A$6:$A$14,0)))*N(INDEX(Mob_Demob!$N$6:$N$14,MATCH(AM479,Mob_Demob!$A$6:$A$14,0))),0)),"")</f>
        <v>1800</v>
      </c>
      <c r="AR479" s="16" t="n">
        <f aca="false">IF(AQ479="","",ROUND(AQ479*Settings!$B$18,0))</f>
        <v>1800</v>
      </c>
      <c r="AS479" s="13"/>
      <c r="AT479" s="14" t="s">
        <v>315</v>
      </c>
      <c r="AU479" s="14" t="s">
        <v>199</v>
      </c>
    </row>
    <row r="480" customFormat="false" ht="64.15" hidden="false" customHeight="false" outlineLevel="0" collapsed="false">
      <c r="A480" s="11" t="s">
        <v>2964</v>
      </c>
      <c r="B480" s="11" t="s">
        <v>2936</v>
      </c>
      <c r="C480" s="11" t="s">
        <v>2965</v>
      </c>
      <c r="D480" s="11" t="s">
        <v>2966</v>
      </c>
      <c r="E480" s="12" t="s">
        <v>2967</v>
      </c>
      <c r="F480" s="13" t="s">
        <v>2968</v>
      </c>
      <c r="G480" s="13" t="s">
        <v>2969</v>
      </c>
      <c r="H480" s="13" t="s">
        <v>2970</v>
      </c>
      <c r="I480" s="14" t="s">
        <v>2971</v>
      </c>
      <c r="J480" s="15"/>
      <c r="K480" s="13"/>
      <c r="L480" s="13"/>
      <c r="M480" s="13"/>
      <c r="N480" s="13" t="s">
        <v>184</v>
      </c>
      <c r="O480" s="13" t="s">
        <v>185</v>
      </c>
      <c r="P480" s="13" t="s">
        <v>186</v>
      </c>
      <c r="Q480" s="16"/>
      <c r="R480" s="16"/>
      <c r="S480" s="16"/>
      <c r="T480" s="16"/>
      <c r="U480" s="16"/>
      <c r="V480" s="13" t="s">
        <v>187</v>
      </c>
      <c r="W480" s="17"/>
      <c r="X480" s="13"/>
      <c r="Y480" s="13"/>
      <c r="Z480" s="13"/>
      <c r="AA480" s="13" t="s">
        <v>188</v>
      </c>
      <c r="AB480" s="13" t="s">
        <v>2972</v>
      </c>
      <c r="AC480" s="17"/>
      <c r="AD480" s="13"/>
      <c r="AE480" s="19"/>
      <c r="AF480" s="19"/>
      <c r="AG480" s="19"/>
      <c r="AH480" s="13"/>
      <c r="AI480" s="17"/>
      <c r="AJ480" s="13" t="s">
        <v>188</v>
      </c>
      <c r="AK480" s="13" t="s">
        <v>188</v>
      </c>
      <c r="AL480" s="14" t="s">
        <v>194</v>
      </c>
      <c r="AM480" s="13" t="s">
        <v>268</v>
      </c>
      <c r="AN480" s="15"/>
      <c r="AO480" s="13"/>
      <c r="AP480" s="13" t="s">
        <v>269</v>
      </c>
      <c r="AQ480" s="16" t="n">
        <f aca="false">IFERROR(IF(AND(INDEX(Mob_Demob!$D$6:$D$14,MATCH(AM480,Mob_Demob!$A$6:$A$14,0))="",INDEX(Mob_Demob!$G$6:$G$14,MATCH(AM480,Mob_Demob!$A$6:$A$14,0))=""),"",ROUND(MAX(N(INDEX(Mob_Demob!$G$6:$G$14,MATCH(AM480,Mob_Demob!$A$6:$A$14,0))),N(INDEX(Mob_Demob!$D$6:$D$14,MATCH(AM480,Mob_Demob!$A$6:$A$14,0)))*Settings!$B$6)+IF(AP480="Y",N(INDEX(Mob_Demob!$I$6:$I$14,MATCH(AM480,Mob_Demob!$A$6:$A$14,0)))*Settings!$B$19,0)+N(INDEX(Mob_Demob!$L$6:$L$14,MATCH(AM480,Mob_Demob!$A$6:$A$14,0)))*N(INDEX(Mob_Demob!$K$6:$K$14,MATCH(AM480,Mob_Demob!$A$6:$A$14,0)))*Settings!$B$6+N(INDEX(Mob_Demob!$M$6:$M$14,MATCH(AM480,Mob_Demob!$A$6:$A$14,0)))*N(INDEX(Mob_Demob!$N$6:$N$14,MATCH(AM480,Mob_Demob!$A$6:$A$14,0))),0)),"")</f>
        <v>1800</v>
      </c>
      <c r="AR480" s="16" t="n">
        <f aca="false">IF(AQ480="","",ROUND(AQ480*Settings!$B$18,0))</f>
        <v>1800</v>
      </c>
      <c r="AS480" s="13"/>
      <c r="AT480" s="14" t="s">
        <v>2973</v>
      </c>
      <c r="AU480" s="14" t="s">
        <v>1381</v>
      </c>
    </row>
    <row r="481" customFormat="false" ht="64.15" hidden="false" customHeight="false" outlineLevel="0" collapsed="false">
      <c r="A481" s="11" t="s">
        <v>2974</v>
      </c>
      <c r="B481" s="11" t="s">
        <v>2936</v>
      </c>
      <c r="C481" s="11" t="s">
        <v>2965</v>
      </c>
      <c r="D481" s="11" t="s">
        <v>2966</v>
      </c>
      <c r="E481" s="12" t="s">
        <v>2975</v>
      </c>
      <c r="F481" s="13" t="s">
        <v>2968</v>
      </c>
      <c r="G481" s="13" t="s">
        <v>2976</v>
      </c>
      <c r="H481" s="13" t="s">
        <v>2970</v>
      </c>
      <c r="I481" s="14" t="s">
        <v>2977</v>
      </c>
      <c r="J481" s="15"/>
      <c r="K481" s="13"/>
      <c r="L481" s="13"/>
      <c r="M481" s="13"/>
      <c r="N481" s="13" t="s">
        <v>184</v>
      </c>
      <c r="O481" s="13" t="s">
        <v>185</v>
      </c>
      <c r="P481" s="13" t="s">
        <v>186</v>
      </c>
      <c r="Q481" s="16"/>
      <c r="R481" s="16"/>
      <c r="S481" s="16"/>
      <c r="T481" s="16"/>
      <c r="U481" s="16"/>
      <c r="V481" s="13" t="s">
        <v>187</v>
      </c>
      <c r="W481" s="17"/>
      <c r="X481" s="13"/>
      <c r="Y481" s="13"/>
      <c r="Z481" s="13"/>
      <c r="AA481" s="13" t="s">
        <v>188</v>
      </c>
      <c r="AB481" s="13" t="s">
        <v>2978</v>
      </c>
      <c r="AC481" s="17"/>
      <c r="AD481" s="13"/>
      <c r="AE481" s="19"/>
      <c r="AF481" s="19"/>
      <c r="AG481" s="19"/>
      <c r="AH481" s="13"/>
      <c r="AI481" s="17"/>
      <c r="AJ481" s="13" t="s">
        <v>188</v>
      </c>
      <c r="AK481" s="13" t="s">
        <v>188</v>
      </c>
      <c r="AL481" s="14" t="s">
        <v>194</v>
      </c>
      <c r="AM481" s="13" t="s">
        <v>268</v>
      </c>
      <c r="AN481" s="15"/>
      <c r="AO481" s="13"/>
      <c r="AP481" s="13" t="s">
        <v>269</v>
      </c>
      <c r="AQ481" s="16" t="n">
        <f aca="false">IFERROR(IF(AND(INDEX(Mob_Demob!$D$6:$D$14,MATCH(AM481,Mob_Demob!$A$6:$A$14,0))="",INDEX(Mob_Demob!$G$6:$G$14,MATCH(AM481,Mob_Demob!$A$6:$A$14,0))=""),"",ROUND(MAX(N(INDEX(Mob_Demob!$G$6:$G$14,MATCH(AM481,Mob_Demob!$A$6:$A$14,0))),N(INDEX(Mob_Demob!$D$6:$D$14,MATCH(AM481,Mob_Demob!$A$6:$A$14,0)))*Settings!$B$6)+IF(AP481="Y",N(INDEX(Mob_Demob!$I$6:$I$14,MATCH(AM481,Mob_Demob!$A$6:$A$14,0)))*Settings!$B$19,0)+N(INDEX(Mob_Demob!$L$6:$L$14,MATCH(AM481,Mob_Demob!$A$6:$A$14,0)))*N(INDEX(Mob_Demob!$K$6:$K$14,MATCH(AM481,Mob_Demob!$A$6:$A$14,0)))*Settings!$B$6+N(INDEX(Mob_Demob!$M$6:$M$14,MATCH(AM481,Mob_Demob!$A$6:$A$14,0)))*N(INDEX(Mob_Demob!$N$6:$N$14,MATCH(AM481,Mob_Demob!$A$6:$A$14,0))),0)),"")</f>
        <v>1800</v>
      </c>
      <c r="AR481" s="16" t="n">
        <f aca="false">IF(AQ481="","",ROUND(AQ481*Settings!$B$18,0))</f>
        <v>1800</v>
      </c>
      <c r="AS481" s="13"/>
      <c r="AT481" s="14" t="s">
        <v>2979</v>
      </c>
      <c r="AU481" s="14" t="s">
        <v>1381</v>
      </c>
    </row>
    <row r="482" customFormat="false" ht="64.15" hidden="false" customHeight="false" outlineLevel="0" collapsed="false">
      <c r="A482" s="11" t="s">
        <v>2980</v>
      </c>
      <c r="B482" s="11" t="s">
        <v>2936</v>
      </c>
      <c r="C482" s="11" t="s">
        <v>2965</v>
      </c>
      <c r="D482" s="11" t="s">
        <v>2966</v>
      </c>
      <c r="E482" s="12" t="s">
        <v>2981</v>
      </c>
      <c r="F482" s="13" t="s">
        <v>2968</v>
      </c>
      <c r="G482" s="13" t="s">
        <v>2982</v>
      </c>
      <c r="H482" s="13" t="s">
        <v>2970</v>
      </c>
      <c r="I482" s="14" t="s">
        <v>2983</v>
      </c>
      <c r="J482" s="15"/>
      <c r="K482" s="13"/>
      <c r="L482" s="13"/>
      <c r="M482" s="13"/>
      <c r="N482" s="13" t="s">
        <v>184</v>
      </c>
      <c r="O482" s="13" t="s">
        <v>185</v>
      </c>
      <c r="P482" s="13" t="s">
        <v>186</v>
      </c>
      <c r="Q482" s="16"/>
      <c r="R482" s="16"/>
      <c r="S482" s="16"/>
      <c r="T482" s="16"/>
      <c r="U482" s="16"/>
      <c r="V482" s="13" t="s">
        <v>187</v>
      </c>
      <c r="W482" s="17"/>
      <c r="X482" s="13"/>
      <c r="Y482" s="13"/>
      <c r="Z482" s="13"/>
      <c r="AA482" s="13" t="s">
        <v>188</v>
      </c>
      <c r="AB482" s="13" t="s">
        <v>2984</v>
      </c>
      <c r="AC482" s="17"/>
      <c r="AD482" s="13"/>
      <c r="AE482" s="19"/>
      <c r="AF482" s="19"/>
      <c r="AG482" s="19"/>
      <c r="AH482" s="13"/>
      <c r="AI482" s="17"/>
      <c r="AJ482" s="13" t="s">
        <v>188</v>
      </c>
      <c r="AK482" s="13" t="s">
        <v>188</v>
      </c>
      <c r="AL482" s="14" t="s">
        <v>194</v>
      </c>
      <c r="AM482" s="13" t="s">
        <v>268</v>
      </c>
      <c r="AN482" s="15"/>
      <c r="AO482" s="13"/>
      <c r="AP482" s="13" t="s">
        <v>269</v>
      </c>
      <c r="AQ482" s="16" t="n">
        <f aca="false">IFERROR(IF(AND(INDEX(Mob_Demob!$D$6:$D$14,MATCH(AM482,Mob_Demob!$A$6:$A$14,0))="",INDEX(Mob_Demob!$G$6:$G$14,MATCH(AM482,Mob_Demob!$A$6:$A$14,0))=""),"",ROUND(MAX(N(INDEX(Mob_Demob!$G$6:$G$14,MATCH(AM482,Mob_Demob!$A$6:$A$14,0))),N(INDEX(Mob_Demob!$D$6:$D$14,MATCH(AM482,Mob_Demob!$A$6:$A$14,0)))*Settings!$B$6)+IF(AP482="Y",N(INDEX(Mob_Demob!$I$6:$I$14,MATCH(AM482,Mob_Demob!$A$6:$A$14,0)))*Settings!$B$19,0)+N(INDEX(Mob_Demob!$L$6:$L$14,MATCH(AM482,Mob_Demob!$A$6:$A$14,0)))*N(INDEX(Mob_Demob!$K$6:$K$14,MATCH(AM482,Mob_Demob!$A$6:$A$14,0)))*Settings!$B$6+N(INDEX(Mob_Demob!$M$6:$M$14,MATCH(AM482,Mob_Demob!$A$6:$A$14,0)))*N(INDEX(Mob_Demob!$N$6:$N$14,MATCH(AM482,Mob_Demob!$A$6:$A$14,0))),0)),"")</f>
        <v>1800</v>
      </c>
      <c r="AR482" s="16" t="n">
        <f aca="false">IF(AQ482="","",ROUND(AQ482*Settings!$B$18,0))</f>
        <v>1800</v>
      </c>
      <c r="AS482" s="13"/>
      <c r="AT482" s="14" t="s">
        <v>2985</v>
      </c>
      <c r="AU482" s="14" t="s">
        <v>1381</v>
      </c>
    </row>
    <row r="483" customFormat="false" ht="64.15" hidden="false" customHeight="false" outlineLevel="0" collapsed="false">
      <c r="A483" s="11" t="s">
        <v>2986</v>
      </c>
      <c r="B483" s="11" t="s">
        <v>2936</v>
      </c>
      <c r="C483" s="11" t="s">
        <v>2965</v>
      </c>
      <c r="D483" s="11" t="s">
        <v>2966</v>
      </c>
      <c r="E483" s="12" t="s">
        <v>2987</v>
      </c>
      <c r="F483" s="13" t="s">
        <v>857</v>
      </c>
      <c r="G483" s="13" t="s">
        <v>2988</v>
      </c>
      <c r="H483" s="13"/>
      <c r="I483" s="14" t="s">
        <v>2989</v>
      </c>
      <c r="J483" s="15"/>
      <c r="K483" s="13"/>
      <c r="L483" s="13"/>
      <c r="M483" s="13"/>
      <c r="N483" s="13" t="s">
        <v>184</v>
      </c>
      <c r="O483" s="13" t="s">
        <v>185</v>
      </c>
      <c r="P483" s="13" t="s">
        <v>186</v>
      </c>
      <c r="Q483" s="16"/>
      <c r="R483" s="16"/>
      <c r="S483" s="16"/>
      <c r="T483" s="16"/>
      <c r="U483" s="16"/>
      <c r="V483" s="13" t="s">
        <v>187</v>
      </c>
      <c r="W483" s="17"/>
      <c r="X483" s="13"/>
      <c r="Y483" s="13"/>
      <c r="Z483" s="13"/>
      <c r="AA483" s="13" t="s">
        <v>188</v>
      </c>
      <c r="AB483" s="13" t="s">
        <v>2990</v>
      </c>
      <c r="AC483" s="17"/>
      <c r="AD483" s="13"/>
      <c r="AE483" s="19"/>
      <c r="AF483" s="19"/>
      <c r="AG483" s="19"/>
      <c r="AH483" s="13"/>
      <c r="AI483" s="17"/>
      <c r="AJ483" s="13" t="s">
        <v>188</v>
      </c>
      <c r="AK483" s="13" t="s">
        <v>188</v>
      </c>
      <c r="AL483" s="14" t="s">
        <v>194</v>
      </c>
      <c r="AM483" s="13" t="s">
        <v>268</v>
      </c>
      <c r="AN483" s="15"/>
      <c r="AO483" s="13"/>
      <c r="AP483" s="13" t="s">
        <v>269</v>
      </c>
      <c r="AQ483" s="16" t="n">
        <f aca="false">IFERROR(IF(AND(INDEX(Mob_Demob!$D$6:$D$14,MATCH(AM483,Mob_Demob!$A$6:$A$14,0))="",INDEX(Mob_Demob!$G$6:$G$14,MATCH(AM483,Mob_Demob!$A$6:$A$14,0))=""),"",ROUND(MAX(N(INDEX(Mob_Demob!$G$6:$G$14,MATCH(AM483,Mob_Demob!$A$6:$A$14,0))),N(INDEX(Mob_Demob!$D$6:$D$14,MATCH(AM483,Mob_Demob!$A$6:$A$14,0)))*Settings!$B$6)+IF(AP483="Y",N(INDEX(Mob_Demob!$I$6:$I$14,MATCH(AM483,Mob_Demob!$A$6:$A$14,0)))*Settings!$B$19,0)+N(INDEX(Mob_Demob!$L$6:$L$14,MATCH(AM483,Mob_Demob!$A$6:$A$14,0)))*N(INDEX(Mob_Demob!$K$6:$K$14,MATCH(AM483,Mob_Demob!$A$6:$A$14,0)))*Settings!$B$6+N(INDEX(Mob_Demob!$M$6:$M$14,MATCH(AM483,Mob_Demob!$A$6:$A$14,0)))*N(INDEX(Mob_Demob!$N$6:$N$14,MATCH(AM483,Mob_Demob!$A$6:$A$14,0))),0)),"")</f>
        <v>1800</v>
      </c>
      <c r="AR483" s="16" t="n">
        <f aca="false">IF(AQ483="","",ROUND(AQ483*Settings!$B$18,0))</f>
        <v>1800</v>
      </c>
      <c r="AS483" s="13"/>
      <c r="AT483" s="14" t="s">
        <v>2991</v>
      </c>
      <c r="AU483" s="14" t="s">
        <v>1381</v>
      </c>
    </row>
    <row r="484" customFormat="false" ht="64.15" hidden="false" customHeight="false" outlineLevel="0" collapsed="false">
      <c r="A484" s="11" t="s">
        <v>2992</v>
      </c>
      <c r="B484" s="11" t="s">
        <v>2936</v>
      </c>
      <c r="C484" s="11" t="s">
        <v>2993</v>
      </c>
      <c r="D484" s="11" t="s">
        <v>2994</v>
      </c>
      <c r="E484" s="12" t="s">
        <v>2995</v>
      </c>
      <c r="F484" s="13" t="s">
        <v>2996</v>
      </c>
      <c r="G484" s="13" t="n">
        <v>23</v>
      </c>
      <c r="H484" s="13" t="s">
        <v>1196</v>
      </c>
      <c r="I484" s="14" t="s">
        <v>2997</v>
      </c>
      <c r="J484" s="15"/>
      <c r="K484" s="13"/>
      <c r="L484" s="13"/>
      <c r="M484" s="13"/>
      <c r="N484" s="13" t="s">
        <v>184</v>
      </c>
      <c r="O484" s="13" t="s">
        <v>1164</v>
      </c>
      <c r="P484" s="13" t="s">
        <v>186</v>
      </c>
      <c r="Q484" s="16"/>
      <c r="R484" s="16"/>
      <c r="S484" s="16"/>
      <c r="T484" s="16"/>
      <c r="U484" s="16"/>
      <c r="V484" s="13" t="s">
        <v>187</v>
      </c>
      <c r="W484" s="17"/>
      <c r="X484" s="13"/>
      <c r="Y484" s="13"/>
      <c r="Z484" s="13"/>
      <c r="AA484" s="13" t="s">
        <v>188</v>
      </c>
      <c r="AB484" s="13" t="s">
        <v>2998</v>
      </c>
      <c r="AC484" s="17"/>
      <c r="AD484" s="13"/>
      <c r="AE484" s="19"/>
      <c r="AF484" s="19"/>
      <c r="AG484" s="19"/>
      <c r="AH484" s="13"/>
      <c r="AI484" s="17"/>
      <c r="AJ484" s="13" t="s">
        <v>188</v>
      </c>
      <c r="AK484" s="13" t="s">
        <v>188</v>
      </c>
      <c r="AL484" s="14" t="s">
        <v>194</v>
      </c>
      <c r="AM484" s="13" t="s">
        <v>195</v>
      </c>
      <c r="AN484" s="15"/>
      <c r="AO484" s="13"/>
      <c r="AP484" s="13" t="s">
        <v>196</v>
      </c>
      <c r="AQ484" s="16" t="n">
        <f aca="false">IFERROR(IF(AND(INDEX(Mob_Demob!$D$6:$D$14,MATCH(AM484,Mob_Demob!$A$6:$A$14,0))="",INDEX(Mob_Demob!$G$6:$G$14,MATCH(AM484,Mob_Demob!$A$6:$A$14,0))=""),"",ROUND(MAX(N(INDEX(Mob_Demob!$G$6:$G$14,MATCH(AM484,Mob_Demob!$A$6:$A$14,0))),N(INDEX(Mob_Demob!$D$6:$D$14,MATCH(AM484,Mob_Demob!$A$6:$A$14,0)))*Settings!$B$6)+IF(AP484="Y",N(INDEX(Mob_Demob!$I$6:$I$14,MATCH(AM484,Mob_Demob!$A$6:$A$14,0)))*Settings!$B$19,0)+N(INDEX(Mob_Demob!$L$6:$L$14,MATCH(AM484,Mob_Demob!$A$6:$A$14,0)))*N(INDEX(Mob_Demob!$K$6:$K$14,MATCH(AM484,Mob_Demob!$A$6:$A$14,0)))*Settings!$B$6+N(INDEX(Mob_Demob!$M$6:$M$14,MATCH(AM484,Mob_Demob!$A$6:$A$14,0)))*N(INDEX(Mob_Demob!$N$6:$N$14,MATCH(AM484,Mob_Demob!$A$6:$A$14,0))),0)),"")</f>
        <v>500</v>
      </c>
      <c r="AR484" s="16" t="n">
        <f aca="false">IF(AQ484="","",ROUND(AQ484*Settings!$B$18,0))</f>
        <v>500</v>
      </c>
      <c r="AS484" s="13"/>
      <c r="AT484" s="14" t="s">
        <v>2999</v>
      </c>
      <c r="AU484" s="14" t="s">
        <v>1381</v>
      </c>
    </row>
    <row r="485" customFormat="false" ht="64.15" hidden="false" customHeight="false" outlineLevel="0" collapsed="false">
      <c r="A485" s="11" t="s">
        <v>3000</v>
      </c>
      <c r="B485" s="11" t="s">
        <v>2936</v>
      </c>
      <c r="C485" s="11" t="s">
        <v>2993</v>
      </c>
      <c r="D485" s="11" t="s">
        <v>2994</v>
      </c>
      <c r="E485" s="12" t="s">
        <v>3001</v>
      </c>
      <c r="F485" s="13" t="s">
        <v>2996</v>
      </c>
      <c r="G485" s="13" t="n">
        <v>26</v>
      </c>
      <c r="H485" s="13" t="s">
        <v>1196</v>
      </c>
      <c r="I485" s="14" t="s">
        <v>3002</v>
      </c>
      <c r="J485" s="15"/>
      <c r="K485" s="13"/>
      <c r="L485" s="13"/>
      <c r="M485" s="13"/>
      <c r="N485" s="13" t="s">
        <v>184</v>
      </c>
      <c r="O485" s="13" t="s">
        <v>1164</v>
      </c>
      <c r="P485" s="13" t="s">
        <v>186</v>
      </c>
      <c r="Q485" s="16"/>
      <c r="R485" s="16"/>
      <c r="S485" s="16"/>
      <c r="T485" s="16"/>
      <c r="U485" s="16"/>
      <c r="V485" s="13" t="s">
        <v>187</v>
      </c>
      <c r="W485" s="17"/>
      <c r="X485" s="13"/>
      <c r="Y485" s="13"/>
      <c r="Z485" s="13"/>
      <c r="AA485" s="13" t="s">
        <v>188</v>
      </c>
      <c r="AB485" s="13" t="s">
        <v>3003</v>
      </c>
      <c r="AC485" s="17"/>
      <c r="AD485" s="13"/>
      <c r="AE485" s="19"/>
      <c r="AF485" s="19"/>
      <c r="AG485" s="19"/>
      <c r="AH485" s="13"/>
      <c r="AI485" s="17"/>
      <c r="AJ485" s="13" t="s">
        <v>188</v>
      </c>
      <c r="AK485" s="13" t="s">
        <v>188</v>
      </c>
      <c r="AL485" s="14" t="s">
        <v>194</v>
      </c>
      <c r="AM485" s="13" t="s">
        <v>195</v>
      </c>
      <c r="AN485" s="15"/>
      <c r="AO485" s="13"/>
      <c r="AP485" s="13" t="s">
        <v>196</v>
      </c>
      <c r="AQ485" s="16" t="n">
        <f aca="false">IFERROR(IF(AND(INDEX(Mob_Demob!$D$6:$D$14,MATCH(AM485,Mob_Demob!$A$6:$A$14,0))="",INDEX(Mob_Demob!$G$6:$G$14,MATCH(AM485,Mob_Demob!$A$6:$A$14,0))=""),"",ROUND(MAX(N(INDEX(Mob_Demob!$G$6:$G$14,MATCH(AM485,Mob_Demob!$A$6:$A$14,0))),N(INDEX(Mob_Demob!$D$6:$D$14,MATCH(AM485,Mob_Demob!$A$6:$A$14,0)))*Settings!$B$6)+IF(AP485="Y",N(INDEX(Mob_Demob!$I$6:$I$14,MATCH(AM485,Mob_Demob!$A$6:$A$14,0)))*Settings!$B$19,0)+N(INDEX(Mob_Demob!$L$6:$L$14,MATCH(AM485,Mob_Demob!$A$6:$A$14,0)))*N(INDEX(Mob_Demob!$K$6:$K$14,MATCH(AM485,Mob_Demob!$A$6:$A$14,0)))*Settings!$B$6+N(INDEX(Mob_Demob!$M$6:$M$14,MATCH(AM485,Mob_Demob!$A$6:$A$14,0)))*N(INDEX(Mob_Demob!$N$6:$N$14,MATCH(AM485,Mob_Demob!$A$6:$A$14,0))),0)),"")</f>
        <v>500</v>
      </c>
      <c r="AR485" s="16" t="n">
        <f aca="false">IF(AQ485="","",ROUND(AQ485*Settings!$B$18,0))</f>
        <v>500</v>
      </c>
      <c r="AS485" s="13"/>
      <c r="AT485" s="14" t="s">
        <v>3004</v>
      </c>
      <c r="AU485" s="14" t="s">
        <v>1381</v>
      </c>
    </row>
    <row r="486" customFormat="false" ht="64.15" hidden="false" customHeight="false" outlineLevel="0" collapsed="false">
      <c r="A486" s="11" t="s">
        <v>3005</v>
      </c>
      <c r="B486" s="11" t="s">
        <v>2936</v>
      </c>
      <c r="C486" s="11" t="s">
        <v>3006</v>
      </c>
      <c r="D486" s="11" t="s">
        <v>3007</v>
      </c>
      <c r="E486" s="12" t="s">
        <v>3008</v>
      </c>
      <c r="F486" s="13" t="s">
        <v>3009</v>
      </c>
      <c r="G486" s="13" t="s">
        <v>3010</v>
      </c>
      <c r="H486" s="13" t="s">
        <v>1196</v>
      </c>
      <c r="I486" s="14"/>
      <c r="J486" s="15"/>
      <c r="K486" s="13"/>
      <c r="L486" s="13"/>
      <c r="M486" s="13"/>
      <c r="N486" s="13" t="s">
        <v>851</v>
      </c>
      <c r="O486" s="13" t="s">
        <v>504</v>
      </c>
      <c r="P486" s="13" t="s">
        <v>186</v>
      </c>
      <c r="Q486" s="16"/>
      <c r="R486" s="16"/>
      <c r="S486" s="16"/>
      <c r="T486" s="16"/>
      <c r="U486" s="16"/>
      <c r="V486" s="13" t="s">
        <v>187</v>
      </c>
      <c r="W486" s="17"/>
      <c r="X486" s="13"/>
      <c r="Y486" s="13"/>
      <c r="Z486" s="13"/>
      <c r="AA486" s="13" t="s">
        <v>188</v>
      </c>
      <c r="AB486" s="13" t="s">
        <v>3011</v>
      </c>
      <c r="AC486" s="17"/>
      <c r="AD486" s="13"/>
      <c r="AE486" s="19" t="n">
        <v>0</v>
      </c>
      <c r="AF486" s="19" t="n">
        <v>0</v>
      </c>
      <c r="AG486" s="19" t="n">
        <v>0</v>
      </c>
      <c r="AH486" s="13" t="s">
        <v>506</v>
      </c>
      <c r="AI486" s="17"/>
      <c r="AJ486" s="13" t="s">
        <v>188</v>
      </c>
      <c r="AK486" s="13" t="s">
        <v>188</v>
      </c>
      <c r="AL486" s="14" t="s">
        <v>194</v>
      </c>
      <c r="AM486" s="13" t="s">
        <v>507</v>
      </c>
      <c r="AN486" s="15"/>
      <c r="AO486" s="13"/>
      <c r="AP486" s="13" t="s">
        <v>196</v>
      </c>
      <c r="AQ486" s="16" t="n">
        <f aca="false">IFERROR(IF(AND(INDEX(Mob_Demob!$D$6:$D$14,MATCH(AM486,Mob_Demob!$A$6:$A$14,0))="",INDEX(Mob_Demob!$G$6:$G$14,MATCH(AM486,Mob_Demob!$A$6:$A$14,0))=""),"",ROUND(MAX(N(INDEX(Mob_Demob!$G$6:$G$14,MATCH(AM486,Mob_Demob!$A$6:$A$14,0))),N(INDEX(Mob_Demob!$D$6:$D$14,MATCH(AM486,Mob_Demob!$A$6:$A$14,0)))*Settings!$B$6)+IF(AP486="Y",N(INDEX(Mob_Demob!$I$6:$I$14,MATCH(AM486,Mob_Demob!$A$6:$A$14,0)))*Settings!$B$19,0)+N(INDEX(Mob_Demob!$L$6:$L$14,MATCH(AM486,Mob_Demob!$A$6:$A$14,0)))*N(INDEX(Mob_Demob!$K$6:$K$14,MATCH(AM486,Mob_Demob!$A$6:$A$14,0)))*Settings!$B$6+N(INDEX(Mob_Demob!$M$6:$M$14,MATCH(AM486,Mob_Demob!$A$6:$A$14,0)))*N(INDEX(Mob_Demob!$N$6:$N$14,MATCH(AM486,Mob_Demob!$A$6:$A$14,0))),0)),"")</f>
        <v>400</v>
      </c>
      <c r="AR486" s="16" t="n">
        <f aca="false">IF(AQ486="","",ROUND(AQ486*Settings!$B$18,0))</f>
        <v>400</v>
      </c>
      <c r="AS486" s="13"/>
      <c r="AT486" s="14" t="s">
        <v>3012</v>
      </c>
      <c r="AU486" s="14" t="s">
        <v>509</v>
      </c>
    </row>
    <row r="487" customFormat="false" ht="64.15" hidden="false" customHeight="false" outlineLevel="0" collapsed="false">
      <c r="A487" s="11" t="s">
        <v>3013</v>
      </c>
      <c r="B487" s="11" t="s">
        <v>2936</v>
      </c>
      <c r="C487" s="11" t="s">
        <v>3006</v>
      </c>
      <c r="D487" s="11" t="s">
        <v>3007</v>
      </c>
      <c r="E487" s="12" t="s">
        <v>3014</v>
      </c>
      <c r="F487" s="13" t="s">
        <v>3009</v>
      </c>
      <c r="G487" s="13" t="s">
        <v>3015</v>
      </c>
      <c r="H487" s="13" t="s">
        <v>462</v>
      </c>
      <c r="I487" s="14"/>
      <c r="J487" s="15"/>
      <c r="K487" s="13"/>
      <c r="L487" s="13"/>
      <c r="M487" s="13"/>
      <c r="N487" s="13" t="s">
        <v>851</v>
      </c>
      <c r="O487" s="13" t="s">
        <v>504</v>
      </c>
      <c r="P487" s="13" t="s">
        <v>186</v>
      </c>
      <c r="Q487" s="16"/>
      <c r="R487" s="16"/>
      <c r="S487" s="16"/>
      <c r="T487" s="16"/>
      <c r="U487" s="16"/>
      <c r="V487" s="13" t="s">
        <v>187</v>
      </c>
      <c r="W487" s="17"/>
      <c r="X487" s="13"/>
      <c r="Y487" s="13"/>
      <c r="Z487" s="13"/>
      <c r="AA487" s="13" t="s">
        <v>188</v>
      </c>
      <c r="AB487" s="13" t="s">
        <v>3016</v>
      </c>
      <c r="AC487" s="17"/>
      <c r="AD487" s="13"/>
      <c r="AE487" s="19" t="n">
        <v>0</v>
      </c>
      <c r="AF487" s="19" t="n">
        <v>0</v>
      </c>
      <c r="AG487" s="19" t="n">
        <v>0</v>
      </c>
      <c r="AH487" s="13" t="s">
        <v>506</v>
      </c>
      <c r="AI487" s="17"/>
      <c r="AJ487" s="13" t="s">
        <v>188</v>
      </c>
      <c r="AK487" s="13" t="s">
        <v>188</v>
      </c>
      <c r="AL487" s="14" t="s">
        <v>194</v>
      </c>
      <c r="AM487" s="13" t="s">
        <v>507</v>
      </c>
      <c r="AN487" s="15"/>
      <c r="AO487" s="13"/>
      <c r="AP487" s="13" t="s">
        <v>196</v>
      </c>
      <c r="AQ487" s="16" t="n">
        <f aca="false">IFERROR(IF(AND(INDEX(Mob_Demob!$D$6:$D$14,MATCH(AM487,Mob_Demob!$A$6:$A$14,0))="",INDEX(Mob_Demob!$G$6:$G$14,MATCH(AM487,Mob_Demob!$A$6:$A$14,0))=""),"",ROUND(MAX(N(INDEX(Mob_Demob!$G$6:$G$14,MATCH(AM487,Mob_Demob!$A$6:$A$14,0))),N(INDEX(Mob_Demob!$D$6:$D$14,MATCH(AM487,Mob_Demob!$A$6:$A$14,0)))*Settings!$B$6)+IF(AP487="Y",N(INDEX(Mob_Demob!$I$6:$I$14,MATCH(AM487,Mob_Demob!$A$6:$A$14,0)))*Settings!$B$19,0)+N(INDEX(Mob_Demob!$L$6:$L$14,MATCH(AM487,Mob_Demob!$A$6:$A$14,0)))*N(INDEX(Mob_Demob!$K$6:$K$14,MATCH(AM487,Mob_Demob!$A$6:$A$14,0)))*Settings!$B$6+N(INDEX(Mob_Demob!$M$6:$M$14,MATCH(AM487,Mob_Demob!$A$6:$A$14,0)))*N(INDEX(Mob_Demob!$N$6:$N$14,MATCH(AM487,Mob_Demob!$A$6:$A$14,0))),0)),"")</f>
        <v>400</v>
      </c>
      <c r="AR487" s="16" t="n">
        <f aca="false">IF(AQ487="","",ROUND(AQ487*Settings!$B$18,0))</f>
        <v>400</v>
      </c>
      <c r="AS487" s="13"/>
      <c r="AT487" s="14" t="s">
        <v>3017</v>
      </c>
      <c r="AU487" s="14" t="s">
        <v>509</v>
      </c>
    </row>
    <row r="488" customFormat="false" ht="64.15" hidden="false" customHeight="false" outlineLevel="0" collapsed="false">
      <c r="A488" s="11" t="s">
        <v>3018</v>
      </c>
      <c r="B488" s="11" t="s">
        <v>2936</v>
      </c>
      <c r="C488" s="11" t="s">
        <v>3006</v>
      </c>
      <c r="D488" s="11" t="s">
        <v>3007</v>
      </c>
      <c r="E488" s="12" t="s">
        <v>3019</v>
      </c>
      <c r="F488" s="13" t="s">
        <v>3009</v>
      </c>
      <c r="G488" s="13" t="s">
        <v>3020</v>
      </c>
      <c r="H488" s="13" t="s">
        <v>1196</v>
      </c>
      <c r="I488" s="14"/>
      <c r="J488" s="15"/>
      <c r="K488" s="13"/>
      <c r="L488" s="13"/>
      <c r="M488" s="13"/>
      <c r="N488" s="13" t="s">
        <v>851</v>
      </c>
      <c r="O488" s="13" t="s">
        <v>504</v>
      </c>
      <c r="P488" s="13" t="s">
        <v>186</v>
      </c>
      <c r="Q488" s="16"/>
      <c r="R488" s="16"/>
      <c r="S488" s="16"/>
      <c r="T488" s="16"/>
      <c r="U488" s="16"/>
      <c r="V488" s="13" t="s">
        <v>187</v>
      </c>
      <c r="W488" s="17"/>
      <c r="X488" s="13"/>
      <c r="Y488" s="13"/>
      <c r="Z488" s="13"/>
      <c r="AA488" s="13" t="s">
        <v>188</v>
      </c>
      <c r="AB488" s="13" t="s">
        <v>3021</v>
      </c>
      <c r="AC488" s="17"/>
      <c r="AD488" s="13"/>
      <c r="AE488" s="19" t="n">
        <v>0</v>
      </c>
      <c r="AF488" s="19" t="n">
        <v>0</v>
      </c>
      <c r="AG488" s="19" t="n">
        <v>0</v>
      </c>
      <c r="AH488" s="13" t="s">
        <v>506</v>
      </c>
      <c r="AI488" s="17"/>
      <c r="AJ488" s="13" t="s">
        <v>188</v>
      </c>
      <c r="AK488" s="13" t="s">
        <v>188</v>
      </c>
      <c r="AL488" s="14" t="s">
        <v>194</v>
      </c>
      <c r="AM488" s="13" t="s">
        <v>507</v>
      </c>
      <c r="AN488" s="15"/>
      <c r="AO488" s="13"/>
      <c r="AP488" s="13" t="s">
        <v>196</v>
      </c>
      <c r="AQ488" s="16" t="n">
        <f aca="false">IFERROR(IF(AND(INDEX(Mob_Demob!$D$6:$D$14,MATCH(AM488,Mob_Demob!$A$6:$A$14,0))="",INDEX(Mob_Demob!$G$6:$G$14,MATCH(AM488,Mob_Demob!$A$6:$A$14,0))=""),"",ROUND(MAX(N(INDEX(Mob_Demob!$G$6:$G$14,MATCH(AM488,Mob_Demob!$A$6:$A$14,0))),N(INDEX(Mob_Demob!$D$6:$D$14,MATCH(AM488,Mob_Demob!$A$6:$A$14,0)))*Settings!$B$6)+IF(AP488="Y",N(INDEX(Mob_Demob!$I$6:$I$14,MATCH(AM488,Mob_Demob!$A$6:$A$14,0)))*Settings!$B$19,0)+N(INDEX(Mob_Demob!$L$6:$L$14,MATCH(AM488,Mob_Demob!$A$6:$A$14,0)))*N(INDEX(Mob_Demob!$K$6:$K$14,MATCH(AM488,Mob_Demob!$A$6:$A$14,0)))*Settings!$B$6+N(INDEX(Mob_Demob!$M$6:$M$14,MATCH(AM488,Mob_Demob!$A$6:$A$14,0)))*N(INDEX(Mob_Demob!$N$6:$N$14,MATCH(AM488,Mob_Demob!$A$6:$A$14,0))),0)),"")</f>
        <v>400</v>
      </c>
      <c r="AR488" s="16" t="n">
        <f aca="false">IF(AQ488="","",ROUND(AQ488*Settings!$B$18,0))</f>
        <v>400</v>
      </c>
      <c r="AS488" s="13"/>
      <c r="AT488" s="14" t="s">
        <v>3022</v>
      </c>
      <c r="AU488" s="14" t="s">
        <v>509</v>
      </c>
    </row>
    <row r="489" customFormat="false" ht="64.15" hidden="false" customHeight="false" outlineLevel="0" collapsed="false">
      <c r="A489" s="11" t="s">
        <v>3023</v>
      </c>
      <c r="B489" s="11" t="s">
        <v>2936</v>
      </c>
      <c r="C489" s="11" t="s">
        <v>3024</v>
      </c>
      <c r="D489" s="11" t="s">
        <v>3025</v>
      </c>
      <c r="E489" s="12" t="s">
        <v>3026</v>
      </c>
      <c r="F489" s="13" t="s">
        <v>180</v>
      </c>
      <c r="G489" s="13" t="n">
        <v>104</v>
      </c>
      <c r="H489" s="13" t="s">
        <v>181</v>
      </c>
      <c r="I489" s="14" t="s">
        <v>3027</v>
      </c>
      <c r="J489" s="15"/>
      <c r="K489" s="13" t="n">
        <v>104</v>
      </c>
      <c r="L489" s="13"/>
      <c r="M489" s="13"/>
      <c r="N489" s="13" t="s">
        <v>184</v>
      </c>
      <c r="O489" s="13" t="s">
        <v>185</v>
      </c>
      <c r="P489" s="13" t="s">
        <v>186</v>
      </c>
      <c r="Q489" s="16"/>
      <c r="R489" s="16"/>
      <c r="S489" s="16"/>
      <c r="T489" s="16"/>
      <c r="U489" s="16"/>
      <c r="V489" s="13" t="s">
        <v>187</v>
      </c>
      <c r="W489" s="17"/>
      <c r="X489" s="13"/>
      <c r="Y489" s="13"/>
      <c r="Z489" s="13"/>
      <c r="AA489" s="13" t="s">
        <v>188</v>
      </c>
      <c r="AB489" s="13"/>
      <c r="AC489" s="17"/>
      <c r="AD489" s="13"/>
      <c r="AE489" s="19" t="n">
        <f aca="false">ROUND(K489*Settings!$B$11*Settings!$B$13,2)</f>
        <v>1.77</v>
      </c>
      <c r="AF489" s="19" t="n">
        <f aca="false">ROUND(K489*Settings!$B$11*Settings!$B$14,2)</f>
        <v>2.33</v>
      </c>
      <c r="AG489" s="19" t="n">
        <f aca="false">ROUND(K489*Settings!$B$11*Settings!$B$15,2)</f>
        <v>3.03</v>
      </c>
      <c r="AH489" s="13" t="s">
        <v>191</v>
      </c>
      <c r="AI489" s="17"/>
      <c r="AJ489" s="13" t="s">
        <v>188</v>
      </c>
      <c r="AK489" s="13" t="s">
        <v>188</v>
      </c>
      <c r="AL489" s="14" t="s">
        <v>194</v>
      </c>
      <c r="AM489" s="13" t="s">
        <v>216</v>
      </c>
      <c r="AN489" s="15"/>
      <c r="AO489" s="13"/>
      <c r="AP489" s="13" t="s">
        <v>241</v>
      </c>
      <c r="AQ489" s="16" t="n">
        <f aca="false">IFERROR(IF(AND(INDEX(Mob_Demob!$D$6:$D$14,MATCH(AM489,Mob_Demob!$A$6:$A$14,0))="",INDEX(Mob_Demob!$G$6:$G$14,MATCH(AM489,Mob_Demob!$A$6:$A$14,0))=""),"",ROUND(MAX(N(INDEX(Mob_Demob!$G$6:$G$14,MATCH(AM489,Mob_Demob!$A$6:$A$14,0))),N(INDEX(Mob_Demob!$D$6:$D$14,MATCH(AM489,Mob_Demob!$A$6:$A$14,0)))*Settings!$B$6)+IF(AP489="Y",N(INDEX(Mob_Demob!$I$6:$I$14,MATCH(AM489,Mob_Demob!$A$6:$A$14,0)))*Settings!$B$19,0)+N(INDEX(Mob_Demob!$L$6:$L$14,MATCH(AM489,Mob_Demob!$A$6:$A$14,0)))*N(INDEX(Mob_Demob!$K$6:$K$14,MATCH(AM489,Mob_Demob!$A$6:$A$14,0)))*Settings!$B$6+N(INDEX(Mob_Demob!$M$6:$M$14,MATCH(AM489,Mob_Demob!$A$6:$A$14,0)))*N(INDEX(Mob_Demob!$N$6:$N$14,MATCH(AM489,Mob_Demob!$A$6:$A$14,0))),0)),"")</f>
        <v>550</v>
      </c>
      <c r="AR489" s="16" t="n">
        <f aca="false">IF(AQ489="","",ROUND(AQ489*Settings!$B$18,0))</f>
        <v>550</v>
      </c>
      <c r="AS489" s="13"/>
      <c r="AT489" s="14" t="s">
        <v>328</v>
      </c>
      <c r="AU489" s="14" t="s">
        <v>251</v>
      </c>
    </row>
    <row r="490" customFormat="false" ht="64.15" hidden="false" customHeight="false" outlineLevel="0" collapsed="false">
      <c r="A490" s="11" t="s">
        <v>3028</v>
      </c>
      <c r="B490" s="11" t="s">
        <v>2936</v>
      </c>
      <c r="C490" s="11" t="s">
        <v>3029</v>
      </c>
      <c r="D490" s="11" t="s">
        <v>3030</v>
      </c>
      <c r="E490" s="12" t="s">
        <v>3031</v>
      </c>
      <c r="F490" s="13" t="s">
        <v>1461</v>
      </c>
      <c r="G490" s="13" t="s">
        <v>3032</v>
      </c>
      <c r="H490" s="13"/>
      <c r="I490" s="14" t="s">
        <v>3031</v>
      </c>
      <c r="J490" s="15"/>
      <c r="K490" s="13"/>
      <c r="L490" s="13"/>
      <c r="M490" s="13"/>
      <c r="N490" s="13" t="s">
        <v>184</v>
      </c>
      <c r="O490" s="13" t="s">
        <v>185</v>
      </c>
      <c r="P490" s="13" t="s">
        <v>186</v>
      </c>
      <c r="Q490" s="16"/>
      <c r="R490" s="16"/>
      <c r="S490" s="16"/>
      <c r="T490" s="16"/>
      <c r="U490" s="16"/>
      <c r="V490" s="13" t="s">
        <v>187</v>
      </c>
      <c r="W490" s="17"/>
      <c r="X490" s="13"/>
      <c r="Y490" s="13"/>
      <c r="Z490" s="13"/>
      <c r="AA490" s="13" t="s">
        <v>188</v>
      </c>
      <c r="AB490" s="13" t="s">
        <v>3032</v>
      </c>
      <c r="AC490" s="17"/>
      <c r="AD490" s="13"/>
      <c r="AE490" s="19"/>
      <c r="AF490" s="19"/>
      <c r="AG490" s="19"/>
      <c r="AH490" s="13"/>
      <c r="AI490" s="17"/>
      <c r="AJ490" s="13" t="s">
        <v>188</v>
      </c>
      <c r="AK490" s="13" t="s">
        <v>188</v>
      </c>
      <c r="AL490" s="14" t="s">
        <v>194</v>
      </c>
      <c r="AM490" s="13" t="s">
        <v>216</v>
      </c>
      <c r="AN490" s="15"/>
      <c r="AO490" s="13"/>
      <c r="AP490" s="13" t="s">
        <v>241</v>
      </c>
      <c r="AQ490" s="16" t="n">
        <f aca="false">IFERROR(IF(AND(INDEX(Mob_Demob!$D$6:$D$14,MATCH(AM490,Mob_Demob!$A$6:$A$14,0))="",INDEX(Mob_Demob!$G$6:$G$14,MATCH(AM490,Mob_Demob!$A$6:$A$14,0))=""),"",ROUND(MAX(N(INDEX(Mob_Demob!$G$6:$G$14,MATCH(AM490,Mob_Demob!$A$6:$A$14,0))),N(INDEX(Mob_Demob!$D$6:$D$14,MATCH(AM490,Mob_Demob!$A$6:$A$14,0)))*Settings!$B$6)+IF(AP490="Y",N(INDEX(Mob_Demob!$I$6:$I$14,MATCH(AM490,Mob_Demob!$A$6:$A$14,0)))*Settings!$B$19,0)+N(INDEX(Mob_Demob!$L$6:$L$14,MATCH(AM490,Mob_Demob!$A$6:$A$14,0)))*N(INDEX(Mob_Demob!$K$6:$K$14,MATCH(AM490,Mob_Demob!$A$6:$A$14,0)))*Settings!$B$6+N(INDEX(Mob_Demob!$M$6:$M$14,MATCH(AM490,Mob_Demob!$A$6:$A$14,0)))*N(INDEX(Mob_Demob!$N$6:$N$14,MATCH(AM490,Mob_Demob!$A$6:$A$14,0))),0)),"")</f>
        <v>550</v>
      </c>
      <c r="AR490" s="16" t="n">
        <f aca="false">IF(AQ490="","",ROUND(AQ490*Settings!$B$18,0))</f>
        <v>550</v>
      </c>
      <c r="AS490" s="13"/>
      <c r="AT490" s="14" t="s">
        <v>3033</v>
      </c>
      <c r="AU490" s="14" t="s">
        <v>1381</v>
      </c>
    </row>
    <row r="491" customFormat="false" ht="64.15" hidden="false" customHeight="false" outlineLevel="0" collapsed="false">
      <c r="A491" s="11" t="s">
        <v>3034</v>
      </c>
      <c r="B491" s="11" t="s">
        <v>2936</v>
      </c>
      <c r="C491" s="11" t="s">
        <v>3035</v>
      </c>
      <c r="D491" s="11" t="s">
        <v>3030</v>
      </c>
      <c r="E491" s="12" t="s">
        <v>3036</v>
      </c>
      <c r="F491" s="13" t="s">
        <v>1461</v>
      </c>
      <c r="G491" s="13" t="s">
        <v>3037</v>
      </c>
      <c r="H491" s="13"/>
      <c r="I491" s="14" t="s">
        <v>3036</v>
      </c>
      <c r="J491" s="15"/>
      <c r="K491" s="13"/>
      <c r="L491" s="13"/>
      <c r="M491" s="13"/>
      <c r="N491" s="13" t="s">
        <v>184</v>
      </c>
      <c r="O491" s="13" t="s">
        <v>185</v>
      </c>
      <c r="P491" s="13" t="s">
        <v>186</v>
      </c>
      <c r="Q491" s="16"/>
      <c r="R491" s="16"/>
      <c r="S491" s="16"/>
      <c r="T491" s="16"/>
      <c r="U491" s="16"/>
      <c r="V491" s="13" t="s">
        <v>187</v>
      </c>
      <c r="W491" s="17"/>
      <c r="X491" s="13"/>
      <c r="Y491" s="13"/>
      <c r="Z491" s="13"/>
      <c r="AA491" s="13" t="s">
        <v>188</v>
      </c>
      <c r="AB491" s="13" t="s">
        <v>3037</v>
      </c>
      <c r="AC491" s="17"/>
      <c r="AD491" s="13"/>
      <c r="AE491" s="19"/>
      <c r="AF491" s="19"/>
      <c r="AG491" s="19"/>
      <c r="AH491" s="13"/>
      <c r="AI491" s="17"/>
      <c r="AJ491" s="13" t="s">
        <v>188</v>
      </c>
      <c r="AK491" s="13" t="s">
        <v>188</v>
      </c>
      <c r="AL491" s="14" t="s">
        <v>194</v>
      </c>
      <c r="AM491" s="13" t="s">
        <v>216</v>
      </c>
      <c r="AN491" s="15"/>
      <c r="AO491" s="13"/>
      <c r="AP491" s="13" t="s">
        <v>241</v>
      </c>
      <c r="AQ491" s="16" t="n">
        <f aca="false">IFERROR(IF(AND(INDEX(Mob_Demob!$D$6:$D$14,MATCH(AM491,Mob_Demob!$A$6:$A$14,0))="",INDEX(Mob_Demob!$G$6:$G$14,MATCH(AM491,Mob_Demob!$A$6:$A$14,0))=""),"",ROUND(MAX(N(INDEX(Mob_Demob!$G$6:$G$14,MATCH(AM491,Mob_Demob!$A$6:$A$14,0))),N(INDEX(Mob_Demob!$D$6:$D$14,MATCH(AM491,Mob_Demob!$A$6:$A$14,0)))*Settings!$B$6)+IF(AP491="Y",N(INDEX(Mob_Demob!$I$6:$I$14,MATCH(AM491,Mob_Demob!$A$6:$A$14,0)))*Settings!$B$19,0)+N(INDEX(Mob_Demob!$L$6:$L$14,MATCH(AM491,Mob_Demob!$A$6:$A$14,0)))*N(INDEX(Mob_Demob!$K$6:$K$14,MATCH(AM491,Mob_Demob!$A$6:$A$14,0)))*Settings!$B$6+N(INDEX(Mob_Demob!$M$6:$M$14,MATCH(AM491,Mob_Demob!$A$6:$A$14,0)))*N(INDEX(Mob_Demob!$N$6:$N$14,MATCH(AM491,Mob_Demob!$A$6:$A$14,0))),0)),"")</f>
        <v>550</v>
      </c>
      <c r="AR491" s="16" t="n">
        <f aca="false">IF(AQ491="","",ROUND(AQ491*Settings!$B$18,0))</f>
        <v>550</v>
      </c>
      <c r="AS491" s="13"/>
      <c r="AT491" s="14" t="s">
        <v>3038</v>
      </c>
      <c r="AU491" s="14" t="s">
        <v>1381</v>
      </c>
    </row>
    <row r="492" customFormat="false" ht="64.15" hidden="false" customHeight="false" outlineLevel="0" collapsed="false">
      <c r="A492" s="11" t="s">
        <v>3039</v>
      </c>
      <c r="B492" s="11" t="s">
        <v>2936</v>
      </c>
      <c r="C492" s="11" t="s">
        <v>3040</v>
      </c>
      <c r="D492" s="11" t="s">
        <v>3030</v>
      </c>
      <c r="E492" s="12" t="s">
        <v>3041</v>
      </c>
      <c r="F492" s="13" t="s">
        <v>1461</v>
      </c>
      <c r="G492" s="13" t="s">
        <v>3042</v>
      </c>
      <c r="H492" s="13"/>
      <c r="I492" s="14" t="s">
        <v>3041</v>
      </c>
      <c r="J492" s="15"/>
      <c r="K492" s="13"/>
      <c r="L492" s="13"/>
      <c r="M492" s="13"/>
      <c r="N492" s="13" t="s">
        <v>184</v>
      </c>
      <c r="O492" s="13" t="s">
        <v>185</v>
      </c>
      <c r="P492" s="13" t="s">
        <v>186</v>
      </c>
      <c r="Q492" s="16"/>
      <c r="R492" s="16"/>
      <c r="S492" s="16"/>
      <c r="T492" s="16"/>
      <c r="U492" s="16"/>
      <c r="V492" s="13" t="s">
        <v>187</v>
      </c>
      <c r="W492" s="17"/>
      <c r="X492" s="13"/>
      <c r="Y492" s="13"/>
      <c r="Z492" s="13"/>
      <c r="AA492" s="13" t="s">
        <v>188</v>
      </c>
      <c r="AB492" s="13" t="s">
        <v>3042</v>
      </c>
      <c r="AC492" s="17"/>
      <c r="AD492" s="13"/>
      <c r="AE492" s="19"/>
      <c r="AF492" s="19"/>
      <c r="AG492" s="19"/>
      <c r="AH492" s="13"/>
      <c r="AI492" s="17"/>
      <c r="AJ492" s="13" t="s">
        <v>188</v>
      </c>
      <c r="AK492" s="13" t="s">
        <v>188</v>
      </c>
      <c r="AL492" s="14" t="s">
        <v>194</v>
      </c>
      <c r="AM492" s="13" t="s">
        <v>216</v>
      </c>
      <c r="AN492" s="15"/>
      <c r="AO492" s="13"/>
      <c r="AP492" s="13" t="s">
        <v>241</v>
      </c>
      <c r="AQ492" s="16" t="n">
        <f aca="false">IFERROR(IF(AND(INDEX(Mob_Demob!$D$6:$D$14,MATCH(AM492,Mob_Demob!$A$6:$A$14,0))="",INDEX(Mob_Demob!$G$6:$G$14,MATCH(AM492,Mob_Demob!$A$6:$A$14,0))=""),"",ROUND(MAX(N(INDEX(Mob_Demob!$G$6:$G$14,MATCH(AM492,Mob_Demob!$A$6:$A$14,0))),N(INDEX(Mob_Demob!$D$6:$D$14,MATCH(AM492,Mob_Demob!$A$6:$A$14,0)))*Settings!$B$6)+IF(AP492="Y",N(INDEX(Mob_Demob!$I$6:$I$14,MATCH(AM492,Mob_Demob!$A$6:$A$14,0)))*Settings!$B$19,0)+N(INDEX(Mob_Demob!$L$6:$L$14,MATCH(AM492,Mob_Demob!$A$6:$A$14,0)))*N(INDEX(Mob_Demob!$K$6:$K$14,MATCH(AM492,Mob_Demob!$A$6:$A$14,0)))*Settings!$B$6+N(INDEX(Mob_Demob!$M$6:$M$14,MATCH(AM492,Mob_Demob!$A$6:$A$14,0)))*N(INDEX(Mob_Demob!$N$6:$N$14,MATCH(AM492,Mob_Demob!$A$6:$A$14,0))),0)),"")</f>
        <v>550</v>
      </c>
      <c r="AR492" s="16" t="n">
        <f aca="false">IF(AQ492="","",ROUND(AQ492*Settings!$B$18,0))</f>
        <v>550</v>
      </c>
      <c r="AS492" s="13"/>
      <c r="AT492" s="14" t="s">
        <v>3043</v>
      </c>
      <c r="AU492" s="14" t="s">
        <v>1381</v>
      </c>
    </row>
    <row r="493" customFormat="false" ht="64.15" hidden="false" customHeight="false" outlineLevel="0" collapsed="false">
      <c r="A493" s="11" t="s">
        <v>3044</v>
      </c>
      <c r="B493" s="11" t="s">
        <v>2936</v>
      </c>
      <c r="C493" s="11" t="s">
        <v>3040</v>
      </c>
      <c r="D493" s="11" t="s">
        <v>3030</v>
      </c>
      <c r="E493" s="12" t="s">
        <v>3045</v>
      </c>
      <c r="F493" s="13" t="s">
        <v>1461</v>
      </c>
      <c r="G493" s="13" t="s">
        <v>3046</v>
      </c>
      <c r="H493" s="13"/>
      <c r="I493" s="14" t="s">
        <v>3045</v>
      </c>
      <c r="J493" s="15"/>
      <c r="K493" s="13"/>
      <c r="L493" s="13"/>
      <c r="M493" s="13"/>
      <c r="N493" s="13" t="s">
        <v>184</v>
      </c>
      <c r="O493" s="13" t="s">
        <v>185</v>
      </c>
      <c r="P493" s="13" t="s">
        <v>186</v>
      </c>
      <c r="Q493" s="16"/>
      <c r="R493" s="16"/>
      <c r="S493" s="16"/>
      <c r="T493" s="16"/>
      <c r="U493" s="16"/>
      <c r="V493" s="13" t="s">
        <v>187</v>
      </c>
      <c r="W493" s="17"/>
      <c r="X493" s="13"/>
      <c r="Y493" s="13"/>
      <c r="Z493" s="13"/>
      <c r="AA493" s="13" t="s">
        <v>188</v>
      </c>
      <c r="AB493" s="13" t="s">
        <v>3046</v>
      </c>
      <c r="AC493" s="17"/>
      <c r="AD493" s="13"/>
      <c r="AE493" s="19"/>
      <c r="AF493" s="19"/>
      <c r="AG493" s="19"/>
      <c r="AH493" s="13"/>
      <c r="AI493" s="17"/>
      <c r="AJ493" s="13" t="s">
        <v>188</v>
      </c>
      <c r="AK493" s="13" t="s">
        <v>188</v>
      </c>
      <c r="AL493" s="14" t="s">
        <v>194</v>
      </c>
      <c r="AM493" s="13" t="s">
        <v>216</v>
      </c>
      <c r="AN493" s="15"/>
      <c r="AO493" s="13"/>
      <c r="AP493" s="13" t="s">
        <v>241</v>
      </c>
      <c r="AQ493" s="16" t="n">
        <f aca="false">IFERROR(IF(AND(INDEX(Mob_Demob!$D$6:$D$14,MATCH(AM493,Mob_Demob!$A$6:$A$14,0))="",INDEX(Mob_Demob!$G$6:$G$14,MATCH(AM493,Mob_Demob!$A$6:$A$14,0))=""),"",ROUND(MAX(N(INDEX(Mob_Demob!$G$6:$G$14,MATCH(AM493,Mob_Demob!$A$6:$A$14,0))),N(INDEX(Mob_Demob!$D$6:$D$14,MATCH(AM493,Mob_Demob!$A$6:$A$14,0)))*Settings!$B$6)+IF(AP493="Y",N(INDEX(Mob_Demob!$I$6:$I$14,MATCH(AM493,Mob_Demob!$A$6:$A$14,0)))*Settings!$B$19,0)+N(INDEX(Mob_Demob!$L$6:$L$14,MATCH(AM493,Mob_Demob!$A$6:$A$14,0)))*N(INDEX(Mob_Demob!$K$6:$K$14,MATCH(AM493,Mob_Demob!$A$6:$A$14,0)))*Settings!$B$6+N(INDEX(Mob_Demob!$M$6:$M$14,MATCH(AM493,Mob_Demob!$A$6:$A$14,0)))*N(INDEX(Mob_Demob!$N$6:$N$14,MATCH(AM493,Mob_Demob!$A$6:$A$14,0))),0)),"")</f>
        <v>550</v>
      </c>
      <c r="AR493" s="16" t="n">
        <f aca="false">IF(AQ493="","",ROUND(AQ493*Settings!$B$18,0))</f>
        <v>550</v>
      </c>
      <c r="AS493" s="13"/>
      <c r="AT493" s="14" t="s">
        <v>3047</v>
      </c>
      <c r="AU493" s="14" t="s">
        <v>1381</v>
      </c>
    </row>
    <row r="494" customFormat="false" ht="64.15" hidden="false" customHeight="false" outlineLevel="0" collapsed="false">
      <c r="A494" s="11" t="s">
        <v>3048</v>
      </c>
      <c r="B494" s="11" t="s">
        <v>2936</v>
      </c>
      <c r="C494" s="11" t="s">
        <v>3049</v>
      </c>
      <c r="D494" s="11" t="s">
        <v>3030</v>
      </c>
      <c r="E494" s="12" t="s">
        <v>3049</v>
      </c>
      <c r="F494" s="13" t="s">
        <v>1461</v>
      </c>
      <c r="G494" s="13" t="s">
        <v>3050</v>
      </c>
      <c r="H494" s="13"/>
      <c r="I494" s="14" t="s">
        <v>3049</v>
      </c>
      <c r="J494" s="15"/>
      <c r="K494" s="13"/>
      <c r="L494" s="13"/>
      <c r="M494" s="13"/>
      <c r="N494" s="13" t="s">
        <v>184</v>
      </c>
      <c r="O494" s="13" t="s">
        <v>185</v>
      </c>
      <c r="P494" s="13" t="s">
        <v>186</v>
      </c>
      <c r="Q494" s="16"/>
      <c r="R494" s="16"/>
      <c r="S494" s="16"/>
      <c r="T494" s="16"/>
      <c r="U494" s="16"/>
      <c r="V494" s="13" t="s">
        <v>187</v>
      </c>
      <c r="W494" s="17"/>
      <c r="X494" s="13"/>
      <c r="Y494" s="13"/>
      <c r="Z494" s="13"/>
      <c r="AA494" s="13" t="s">
        <v>188</v>
      </c>
      <c r="AB494" s="13" t="s">
        <v>3050</v>
      </c>
      <c r="AC494" s="17"/>
      <c r="AD494" s="13"/>
      <c r="AE494" s="19"/>
      <c r="AF494" s="19"/>
      <c r="AG494" s="19"/>
      <c r="AH494" s="13"/>
      <c r="AI494" s="17"/>
      <c r="AJ494" s="13" t="s">
        <v>188</v>
      </c>
      <c r="AK494" s="13" t="s">
        <v>188</v>
      </c>
      <c r="AL494" s="14" t="s">
        <v>194</v>
      </c>
      <c r="AM494" s="13" t="s">
        <v>216</v>
      </c>
      <c r="AN494" s="15"/>
      <c r="AO494" s="13"/>
      <c r="AP494" s="13" t="s">
        <v>241</v>
      </c>
      <c r="AQ494" s="16" t="n">
        <f aca="false">IFERROR(IF(AND(INDEX(Mob_Demob!$D$6:$D$14,MATCH(AM494,Mob_Demob!$A$6:$A$14,0))="",INDEX(Mob_Demob!$G$6:$G$14,MATCH(AM494,Mob_Demob!$A$6:$A$14,0))=""),"",ROUND(MAX(N(INDEX(Mob_Demob!$G$6:$G$14,MATCH(AM494,Mob_Demob!$A$6:$A$14,0))),N(INDEX(Mob_Demob!$D$6:$D$14,MATCH(AM494,Mob_Demob!$A$6:$A$14,0)))*Settings!$B$6)+IF(AP494="Y",N(INDEX(Mob_Demob!$I$6:$I$14,MATCH(AM494,Mob_Demob!$A$6:$A$14,0)))*Settings!$B$19,0)+N(INDEX(Mob_Demob!$L$6:$L$14,MATCH(AM494,Mob_Demob!$A$6:$A$14,0)))*N(INDEX(Mob_Demob!$K$6:$K$14,MATCH(AM494,Mob_Demob!$A$6:$A$14,0)))*Settings!$B$6+N(INDEX(Mob_Demob!$M$6:$M$14,MATCH(AM494,Mob_Demob!$A$6:$A$14,0)))*N(INDEX(Mob_Demob!$N$6:$N$14,MATCH(AM494,Mob_Demob!$A$6:$A$14,0))),0)),"")</f>
        <v>550</v>
      </c>
      <c r="AR494" s="16" t="n">
        <f aca="false">IF(AQ494="","",ROUND(AQ494*Settings!$B$18,0))</f>
        <v>550</v>
      </c>
      <c r="AS494" s="13"/>
      <c r="AT494" s="14" t="s">
        <v>3051</v>
      </c>
      <c r="AU494" s="14" t="s">
        <v>1381</v>
      </c>
    </row>
    <row r="495" customFormat="false" ht="53.7" hidden="false" customHeight="false" outlineLevel="0" collapsed="false">
      <c r="A495" s="21" t="s">
        <v>3052</v>
      </c>
      <c r="B495" s="21" t="s">
        <v>3053</v>
      </c>
      <c r="C495" s="21" t="s">
        <v>3054</v>
      </c>
      <c r="D495" s="21" t="s">
        <v>3055</v>
      </c>
      <c r="E495" s="22" t="s">
        <v>3056</v>
      </c>
      <c r="F495" s="13" t="s">
        <v>3057</v>
      </c>
      <c r="G495" s="13" t="n">
        <v>41</v>
      </c>
      <c r="H495" s="13" t="s">
        <v>3058</v>
      </c>
      <c r="I495" s="14"/>
      <c r="J495" s="15"/>
      <c r="K495" s="13"/>
      <c r="L495" s="13" t="s">
        <v>3056</v>
      </c>
      <c r="M495" s="13"/>
      <c r="N495" s="13" t="s">
        <v>1737</v>
      </c>
      <c r="O495" s="13" t="s">
        <v>1844</v>
      </c>
      <c r="P495" s="13" t="s">
        <v>186</v>
      </c>
      <c r="Q495" s="16"/>
      <c r="R495" s="16"/>
      <c r="S495" s="16"/>
      <c r="T495" s="16"/>
      <c r="U495" s="16"/>
      <c r="V495" s="13" t="s">
        <v>187</v>
      </c>
      <c r="W495" s="17"/>
      <c r="X495" s="13"/>
      <c r="Y495" s="13"/>
      <c r="Z495" s="13"/>
      <c r="AA495" s="13" t="s">
        <v>188</v>
      </c>
      <c r="AB495" s="13" t="s">
        <v>3059</v>
      </c>
      <c r="AC495" s="18" t="n">
        <v>1.8</v>
      </c>
      <c r="AD495" s="13" t="s">
        <v>190</v>
      </c>
      <c r="AE495" s="19" t="n">
        <v>0</v>
      </c>
      <c r="AF495" s="19" t="n">
        <v>0</v>
      </c>
      <c r="AG495" s="19" t="n">
        <v>0</v>
      </c>
      <c r="AH495" s="13" t="s">
        <v>1739</v>
      </c>
      <c r="AI495" s="17" t="n">
        <f aca="false">IF(OR(AC495="",AF495="",Settings!$B$5=""),"",ROUND(AC495-AF495*Settings!$B$5,2))</f>
        <v>1.8</v>
      </c>
      <c r="AJ495" s="13" t="s">
        <v>192</v>
      </c>
      <c r="AK495" s="13" t="s">
        <v>193</v>
      </c>
      <c r="AL495" s="14" t="s">
        <v>3060</v>
      </c>
      <c r="AM495" s="13" t="s">
        <v>1147</v>
      </c>
      <c r="AN495" s="15"/>
      <c r="AO495" s="13"/>
      <c r="AP495" s="13" t="s">
        <v>196</v>
      </c>
      <c r="AQ495" s="16" t="n">
        <f aca="false">IFERROR(IF(AND(INDEX(Mob_Demob!$D$6:$D$14,MATCH(AM495,Mob_Demob!$A$6:$A$14,0))="",INDEX(Mob_Demob!$G$6:$G$14,MATCH(AM495,Mob_Demob!$A$6:$A$14,0))=""),"",ROUND(MAX(N(INDEX(Mob_Demob!$G$6:$G$14,MATCH(AM495,Mob_Demob!$A$6:$A$14,0))),N(INDEX(Mob_Demob!$D$6:$D$14,MATCH(AM495,Mob_Demob!$A$6:$A$14,0)))*Settings!$B$6)+IF(AP495="Y",N(INDEX(Mob_Demob!$I$6:$I$14,MATCH(AM495,Mob_Demob!$A$6:$A$14,0)))*Settings!$B$19,0)+N(INDEX(Mob_Demob!$L$6:$L$14,MATCH(AM495,Mob_Demob!$A$6:$A$14,0)))*N(INDEX(Mob_Demob!$K$6:$K$14,MATCH(AM495,Mob_Demob!$A$6:$A$14,0)))*Settings!$B$6+N(INDEX(Mob_Demob!$M$6:$M$14,MATCH(AM495,Mob_Demob!$A$6:$A$14,0)))*N(INDEX(Mob_Demob!$N$6:$N$14,MATCH(AM495,Mob_Demob!$A$6:$A$14,0))),0)),"")</f>
        <v>200</v>
      </c>
      <c r="AR495" s="16" t="n">
        <f aca="false">IF(AQ495="","",ROUND(AQ495*Settings!$B$18,0))</f>
        <v>200</v>
      </c>
      <c r="AS495" s="13" t="s">
        <v>3061</v>
      </c>
      <c r="AT495" s="14" t="s">
        <v>3062</v>
      </c>
      <c r="AU495" s="14" t="s">
        <v>199</v>
      </c>
    </row>
    <row r="496" customFormat="false" ht="53.7" hidden="false" customHeight="false" outlineLevel="0" collapsed="false">
      <c r="A496" s="21" t="s">
        <v>3063</v>
      </c>
      <c r="B496" s="21" t="s">
        <v>3053</v>
      </c>
      <c r="C496" s="21" t="s">
        <v>3054</v>
      </c>
      <c r="D496" s="21" t="s">
        <v>3064</v>
      </c>
      <c r="E496" s="22" t="s">
        <v>3065</v>
      </c>
      <c r="F496" s="13" t="s">
        <v>3057</v>
      </c>
      <c r="G496" s="13" t="n">
        <v>103</v>
      </c>
      <c r="H496" s="13" t="s">
        <v>3058</v>
      </c>
      <c r="I496" s="14"/>
      <c r="J496" s="15"/>
      <c r="K496" s="13"/>
      <c r="L496" s="13" t="s">
        <v>3065</v>
      </c>
      <c r="M496" s="13"/>
      <c r="N496" s="13" t="s">
        <v>184</v>
      </c>
      <c r="O496" s="13" t="s">
        <v>1844</v>
      </c>
      <c r="P496" s="13" t="s">
        <v>186</v>
      </c>
      <c r="Q496" s="16"/>
      <c r="R496" s="16"/>
      <c r="S496" s="16"/>
      <c r="T496" s="16"/>
      <c r="U496" s="16"/>
      <c r="V496" s="13" t="s">
        <v>187</v>
      </c>
      <c r="W496" s="17"/>
      <c r="X496" s="13"/>
      <c r="Y496" s="13"/>
      <c r="Z496" s="13"/>
      <c r="AA496" s="13" t="s">
        <v>188</v>
      </c>
      <c r="AB496" s="13" t="s">
        <v>3066</v>
      </c>
      <c r="AC496" s="18" t="n">
        <v>20.23</v>
      </c>
      <c r="AD496" s="13" t="s">
        <v>190</v>
      </c>
      <c r="AE496" s="19"/>
      <c r="AF496" s="19"/>
      <c r="AG496" s="19"/>
      <c r="AH496" s="13"/>
      <c r="AI496" s="17" t="str">
        <f aca="false">IF(OR(AC496="",AF496="",Settings!$B$5=""),"",ROUND(AC496-AF496*Settings!$B$5,2))</f>
        <v/>
      </c>
      <c r="AJ496" s="13" t="s">
        <v>192</v>
      </c>
      <c r="AK496" s="13" t="s">
        <v>193</v>
      </c>
      <c r="AL496" s="14" t="s">
        <v>3060</v>
      </c>
      <c r="AM496" s="13" t="s">
        <v>1147</v>
      </c>
      <c r="AN496" s="15"/>
      <c r="AO496" s="13"/>
      <c r="AP496" s="13" t="s">
        <v>196</v>
      </c>
      <c r="AQ496" s="16" t="n">
        <f aca="false">IFERROR(IF(AND(INDEX(Mob_Demob!$D$6:$D$14,MATCH(AM496,Mob_Demob!$A$6:$A$14,0))="",INDEX(Mob_Demob!$G$6:$G$14,MATCH(AM496,Mob_Demob!$A$6:$A$14,0))=""),"",ROUND(MAX(N(INDEX(Mob_Demob!$G$6:$G$14,MATCH(AM496,Mob_Demob!$A$6:$A$14,0))),N(INDEX(Mob_Demob!$D$6:$D$14,MATCH(AM496,Mob_Demob!$A$6:$A$14,0)))*Settings!$B$6)+IF(AP496="Y",N(INDEX(Mob_Demob!$I$6:$I$14,MATCH(AM496,Mob_Demob!$A$6:$A$14,0)))*Settings!$B$19,0)+N(INDEX(Mob_Demob!$L$6:$L$14,MATCH(AM496,Mob_Demob!$A$6:$A$14,0)))*N(INDEX(Mob_Demob!$K$6:$K$14,MATCH(AM496,Mob_Demob!$A$6:$A$14,0)))*Settings!$B$6+N(INDEX(Mob_Demob!$M$6:$M$14,MATCH(AM496,Mob_Demob!$A$6:$A$14,0)))*N(INDEX(Mob_Demob!$N$6:$N$14,MATCH(AM496,Mob_Demob!$A$6:$A$14,0))),0)),"")</f>
        <v>200</v>
      </c>
      <c r="AR496" s="16" t="n">
        <f aca="false">IF(AQ496="","",ROUND(AQ496*Settings!$B$18,0))</f>
        <v>200</v>
      </c>
      <c r="AS496" s="13" t="s">
        <v>3061</v>
      </c>
      <c r="AT496" s="14" t="s">
        <v>3067</v>
      </c>
      <c r="AU496" s="14" t="s">
        <v>838</v>
      </c>
    </row>
    <row r="497" customFormat="false" ht="53.7" hidden="false" customHeight="false" outlineLevel="0" collapsed="false">
      <c r="A497" s="21" t="s">
        <v>3068</v>
      </c>
      <c r="B497" s="21" t="s">
        <v>3053</v>
      </c>
      <c r="C497" s="21" t="s">
        <v>3054</v>
      </c>
      <c r="D497" s="21" t="s">
        <v>3064</v>
      </c>
      <c r="E497" s="22" t="s">
        <v>3069</v>
      </c>
      <c r="F497" s="13" t="s">
        <v>3057</v>
      </c>
      <c r="G497" s="13" t="n">
        <v>130</v>
      </c>
      <c r="H497" s="13" t="s">
        <v>3058</v>
      </c>
      <c r="I497" s="14"/>
      <c r="J497" s="15"/>
      <c r="K497" s="13"/>
      <c r="L497" s="13" t="s">
        <v>3069</v>
      </c>
      <c r="M497" s="13"/>
      <c r="N497" s="13" t="s">
        <v>184</v>
      </c>
      <c r="O497" s="13" t="s">
        <v>1844</v>
      </c>
      <c r="P497" s="13" t="s">
        <v>186</v>
      </c>
      <c r="Q497" s="16"/>
      <c r="R497" s="16"/>
      <c r="S497" s="16"/>
      <c r="T497" s="16"/>
      <c r="U497" s="16"/>
      <c r="V497" s="13" t="s">
        <v>187</v>
      </c>
      <c r="W497" s="17"/>
      <c r="X497" s="13"/>
      <c r="Y497" s="13"/>
      <c r="Z497" s="13"/>
      <c r="AA497" s="13" t="s">
        <v>188</v>
      </c>
      <c r="AB497" s="13" t="s">
        <v>3070</v>
      </c>
      <c r="AC497" s="18" t="n">
        <v>27.71</v>
      </c>
      <c r="AD497" s="13" t="s">
        <v>190</v>
      </c>
      <c r="AE497" s="19"/>
      <c r="AF497" s="19"/>
      <c r="AG497" s="19"/>
      <c r="AH497" s="13"/>
      <c r="AI497" s="17" t="str">
        <f aca="false">IF(OR(AC497="",AF497="",Settings!$B$5=""),"",ROUND(AC497-AF497*Settings!$B$5,2))</f>
        <v/>
      </c>
      <c r="AJ497" s="13" t="s">
        <v>192</v>
      </c>
      <c r="AK497" s="13" t="s">
        <v>193</v>
      </c>
      <c r="AL497" s="14" t="s">
        <v>3060</v>
      </c>
      <c r="AM497" s="13" t="s">
        <v>1147</v>
      </c>
      <c r="AN497" s="15"/>
      <c r="AO497" s="13"/>
      <c r="AP497" s="13" t="s">
        <v>196</v>
      </c>
      <c r="AQ497" s="16" t="n">
        <f aca="false">IFERROR(IF(AND(INDEX(Mob_Demob!$D$6:$D$14,MATCH(AM497,Mob_Demob!$A$6:$A$14,0))="",INDEX(Mob_Demob!$G$6:$G$14,MATCH(AM497,Mob_Demob!$A$6:$A$14,0))=""),"",ROUND(MAX(N(INDEX(Mob_Demob!$G$6:$G$14,MATCH(AM497,Mob_Demob!$A$6:$A$14,0))),N(INDEX(Mob_Demob!$D$6:$D$14,MATCH(AM497,Mob_Demob!$A$6:$A$14,0)))*Settings!$B$6)+IF(AP497="Y",N(INDEX(Mob_Demob!$I$6:$I$14,MATCH(AM497,Mob_Demob!$A$6:$A$14,0)))*Settings!$B$19,0)+N(INDEX(Mob_Demob!$L$6:$L$14,MATCH(AM497,Mob_Demob!$A$6:$A$14,0)))*N(INDEX(Mob_Demob!$K$6:$K$14,MATCH(AM497,Mob_Demob!$A$6:$A$14,0)))*Settings!$B$6+N(INDEX(Mob_Demob!$M$6:$M$14,MATCH(AM497,Mob_Demob!$A$6:$A$14,0)))*N(INDEX(Mob_Demob!$N$6:$N$14,MATCH(AM497,Mob_Demob!$A$6:$A$14,0))),0)),"")</f>
        <v>200</v>
      </c>
      <c r="AR497" s="16" t="n">
        <f aca="false">IF(AQ497="","",ROUND(AQ497*Settings!$B$18,0))</f>
        <v>200</v>
      </c>
      <c r="AS497" s="13" t="s">
        <v>3061</v>
      </c>
      <c r="AT497" s="14" t="s">
        <v>3071</v>
      </c>
      <c r="AU497" s="14" t="s">
        <v>3072</v>
      </c>
    </row>
    <row r="498" customFormat="false" ht="74.6" hidden="false" customHeight="false" outlineLevel="0" collapsed="false">
      <c r="A498" s="21" t="s">
        <v>3073</v>
      </c>
      <c r="B498" s="21" t="s">
        <v>3053</v>
      </c>
      <c r="C498" s="21" t="s">
        <v>3054</v>
      </c>
      <c r="D498" s="21" t="s">
        <v>3064</v>
      </c>
      <c r="E498" s="22" t="s">
        <v>3074</v>
      </c>
      <c r="F498" s="13" t="s">
        <v>3057</v>
      </c>
      <c r="G498" s="13" t="n">
        <v>185</v>
      </c>
      <c r="H498" s="13" t="s">
        <v>3058</v>
      </c>
      <c r="I498" s="14"/>
      <c r="J498" s="15"/>
      <c r="K498" s="13"/>
      <c r="L498" s="13" t="s">
        <v>3074</v>
      </c>
      <c r="M498" s="13"/>
      <c r="N498" s="13" t="s">
        <v>184</v>
      </c>
      <c r="O498" s="13" t="s">
        <v>1844</v>
      </c>
      <c r="P498" s="13" t="s">
        <v>186</v>
      </c>
      <c r="Q498" s="20" t="n">
        <v>133</v>
      </c>
      <c r="R498" s="20" t="n">
        <v>423</v>
      </c>
      <c r="S498" s="20" t="n">
        <v>1145</v>
      </c>
      <c r="T498" s="20" t="n">
        <v>816</v>
      </c>
      <c r="U498" s="20" t="n">
        <v>2255</v>
      </c>
      <c r="V498" s="13" t="s">
        <v>187</v>
      </c>
      <c r="W498" s="17"/>
      <c r="X498" s="13"/>
      <c r="Y498" s="13" t="s">
        <v>3075</v>
      </c>
      <c r="Z498" s="13" t="s">
        <v>212</v>
      </c>
      <c r="AA498" s="13" t="s">
        <v>213</v>
      </c>
      <c r="AB498" s="13" t="s">
        <v>3076</v>
      </c>
      <c r="AC498" s="18" t="n">
        <v>26.29</v>
      </c>
      <c r="AD498" s="13" t="s">
        <v>190</v>
      </c>
      <c r="AE498" s="19" t="n">
        <f aca="false">ROUND(2.8*Settings!$B$31,2)</f>
        <v>1.4</v>
      </c>
      <c r="AF498" s="19" t="n">
        <f aca="false">ROUND(2.8*Settings!$B$32,2)</f>
        <v>1.68</v>
      </c>
      <c r="AG498" s="19" t="n">
        <f aca="false">ROUND(2.8*Settings!$B$33,2)</f>
        <v>2.8</v>
      </c>
      <c r="AH498" s="13" t="s">
        <v>3077</v>
      </c>
      <c r="AI498" s="17" t="n">
        <f aca="false">IF(OR(AC498="",AF498="",Settings!$B$5=""),"",ROUND(AC498-AF498*Settings!$B$5,2))</f>
        <v>20.14</v>
      </c>
      <c r="AJ498" s="13" t="s">
        <v>192</v>
      </c>
      <c r="AK498" s="13" t="s">
        <v>193</v>
      </c>
      <c r="AL498" s="14" t="s">
        <v>3060</v>
      </c>
      <c r="AM498" s="13" t="s">
        <v>1147</v>
      </c>
      <c r="AN498" s="15"/>
      <c r="AO498" s="13"/>
      <c r="AP498" s="13" t="s">
        <v>196</v>
      </c>
      <c r="AQ498" s="16" t="n">
        <f aca="false">IFERROR(IF(AND(INDEX(Mob_Demob!$D$6:$D$14,MATCH(AM498,Mob_Demob!$A$6:$A$14,0))="",INDEX(Mob_Demob!$G$6:$G$14,MATCH(AM498,Mob_Demob!$A$6:$A$14,0))=""),"",ROUND(MAX(N(INDEX(Mob_Demob!$G$6:$G$14,MATCH(AM498,Mob_Demob!$A$6:$A$14,0))),N(INDEX(Mob_Demob!$D$6:$D$14,MATCH(AM498,Mob_Demob!$A$6:$A$14,0)))*Settings!$B$6)+IF(AP498="Y",N(INDEX(Mob_Demob!$I$6:$I$14,MATCH(AM498,Mob_Demob!$A$6:$A$14,0)))*Settings!$B$19,0)+N(INDEX(Mob_Demob!$L$6:$L$14,MATCH(AM498,Mob_Demob!$A$6:$A$14,0)))*N(INDEX(Mob_Demob!$K$6:$K$14,MATCH(AM498,Mob_Demob!$A$6:$A$14,0)))*Settings!$B$6+N(INDEX(Mob_Demob!$M$6:$M$14,MATCH(AM498,Mob_Demob!$A$6:$A$14,0)))*N(INDEX(Mob_Demob!$N$6:$N$14,MATCH(AM498,Mob_Demob!$A$6:$A$14,0))),0)),"")</f>
        <v>200</v>
      </c>
      <c r="AR498" s="16" t="n">
        <f aca="false">IF(AQ498="","",ROUND(AQ498*Settings!$B$18,0))</f>
        <v>200</v>
      </c>
      <c r="AS498" s="13" t="s">
        <v>3061</v>
      </c>
      <c r="AT498" s="14" t="s">
        <v>3078</v>
      </c>
      <c r="AU498" s="14"/>
    </row>
    <row r="499" customFormat="false" ht="53.7" hidden="false" customHeight="false" outlineLevel="0" collapsed="false">
      <c r="A499" s="21" t="s">
        <v>3079</v>
      </c>
      <c r="B499" s="21" t="s">
        <v>3053</v>
      </c>
      <c r="C499" s="21" t="s">
        <v>3054</v>
      </c>
      <c r="D499" s="21" t="s">
        <v>3064</v>
      </c>
      <c r="E499" s="22" t="s">
        <v>3080</v>
      </c>
      <c r="F499" s="13" t="s">
        <v>3057</v>
      </c>
      <c r="G499" s="13" t="n">
        <v>400</v>
      </c>
      <c r="H499" s="13" t="s">
        <v>3058</v>
      </c>
      <c r="I499" s="14"/>
      <c r="J499" s="15"/>
      <c r="K499" s="13"/>
      <c r="L499" s="13" t="s">
        <v>3080</v>
      </c>
      <c r="M499" s="13"/>
      <c r="N499" s="13" t="s">
        <v>184</v>
      </c>
      <c r="O499" s="13" t="s">
        <v>1844</v>
      </c>
      <c r="P499" s="13" t="s">
        <v>186</v>
      </c>
      <c r="Q499" s="20" t="n">
        <v>227</v>
      </c>
      <c r="R499" s="20" t="n">
        <v>721</v>
      </c>
      <c r="S499" s="20" t="n">
        <v>2046</v>
      </c>
      <c r="T499" s="20" t="n">
        <v>1450</v>
      </c>
      <c r="U499" s="20" t="n">
        <v>3378</v>
      </c>
      <c r="V499" s="13" t="s">
        <v>187</v>
      </c>
      <c r="W499" s="17"/>
      <c r="X499" s="13"/>
      <c r="Y499" s="13" t="s">
        <v>3075</v>
      </c>
      <c r="Z499" s="13" t="s">
        <v>212</v>
      </c>
      <c r="AA499" s="13" t="s">
        <v>213</v>
      </c>
      <c r="AB499" s="13" t="s">
        <v>3081</v>
      </c>
      <c r="AC499" s="18" t="n">
        <v>58.41</v>
      </c>
      <c r="AD499" s="13" t="s">
        <v>190</v>
      </c>
      <c r="AE499" s="19" t="n">
        <f aca="false">ROUND(5.9*Settings!$B$31,2)</f>
        <v>2.95</v>
      </c>
      <c r="AF499" s="19" t="n">
        <f aca="false">ROUND(5.9*Settings!$B$32,2)</f>
        <v>3.54</v>
      </c>
      <c r="AG499" s="19" t="n">
        <f aca="false">ROUND(5.9*Settings!$B$33,2)</f>
        <v>5.9</v>
      </c>
      <c r="AH499" s="13" t="s">
        <v>3082</v>
      </c>
      <c r="AI499" s="17" t="n">
        <f aca="false">IF(OR(AC499="",AF499="",Settings!$B$5=""),"",ROUND(AC499-AF499*Settings!$B$5,2))</f>
        <v>45.45</v>
      </c>
      <c r="AJ499" s="13" t="s">
        <v>192</v>
      </c>
      <c r="AK499" s="13" t="s">
        <v>193</v>
      </c>
      <c r="AL499" s="14" t="s">
        <v>3060</v>
      </c>
      <c r="AM499" s="13" t="s">
        <v>1147</v>
      </c>
      <c r="AN499" s="15"/>
      <c r="AO499" s="13"/>
      <c r="AP499" s="13" t="s">
        <v>196</v>
      </c>
      <c r="AQ499" s="16" t="n">
        <f aca="false">IFERROR(IF(AND(INDEX(Mob_Demob!$D$6:$D$14,MATCH(AM499,Mob_Demob!$A$6:$A$14,0))="",INDEX(Mob_Demob!$G$6:$G$14,MATCH(AM499,Mob_Demob!$A$6:$A$14,0))=""),"",ROUND(MAX(N(INDEX(Mob_Demob!$G$6:$G$14,MATCH(AM499,Mob_Demob!$A$6:$A$14,0))),N(INDEX(Mob_Demob!$D$6:$D$14,MATCH(AM499,Mob_Demob!$A$6:$A$14,0)))*Settings!$B$6)+IF(AP499="Y",N(INDEX(Mob_Demob!$I$6:$I$14,MATCH(AM499,Mob_Demob!$A$6:$A$14,0)))*Settings!$B$19,0)+N(INDEX(Mob_Demob!$L$6:$L$14,MATCH(AM499,Mob_Demob!$A$6:$A$14,0)))*N(INDEX(Mob_Demob!$K$6:$K$14,MATCH(AM499,Mob_Demob!$A$6:$A$14,0)))*Settings!$B$6+N(INDEX(Mob_Demob!$M$6:$M$14,MATCH(AM499,Mob_Demob!$A$6:$A$14,0)))*N(INDEX(Mob_Demob!$N$6:$N$14,MATCH(AM499,Mob_Demob!$A$6:$A$14,0))),0)),"")</f>
        <v>200</v>
      </c>
      <c r="AR499" s="16" t="n">
        <f aca="false">IF(AQ499="","",ROUND(AQ499*Settings!$B$18,0))</f>
        <v>200</v>
      </c>
      <c r="AS499" s="13" t="s">
        <v>3061</v>
      </c>
      <c r="AT499" s="14" t="s">
        <v>3083</v>
      </c>
      <c r="AU499" s="14"/>
    </row>
    <row r="500" customFormat="false" ht="64.15" hidden="false" customHeight="false" outlineLevel="0" collapsed="false">
      <c r="A500" s="21" t="s">
        <v>3084</v>
      </c>
      <c r="B500" s="21" t="s">
        <v>3053</v>
      </c>
      <c r="C500" s="21" t="s">
        <v>3054</v>
      </c>
      <c r="D500" s="21" t="s">
        <v>3064</v>
      </c>
      <c r="E500" s="22" t="s">
        <v>3085</v>
      </c>
      <c r="F500" s="13" t="s">
        <v>3057</v>
      </c>
      <c r="G500" s="13" t="n">
        <v>575</v>
      </c>
      <c r="H500" s="13" t="s">
        <v>3058</v>
      </c>
      <c r="I500" s="14"/>
      <c r="J500" s="15"/>
      <c r="K500" s="13"/>
      <c r="L500" s="13" t="s">
        <v>3085</v>
      </c>
      <c r="M500" s="13"/>
      <c r="N500" s="13" t="s">
        <v>184</v>
      </c>
      <c r="O500" s="13" t="s">
        <v>1844</v>
      </c>
      <c r="P500" s="13" t="s">
        <v>186</v>
      </c>
      <c r="Q500" s="16"/>
      <c r="R500" s="16"/>
      <c r="S500" s="16"/>
      <c r="T500" s="16"/>
      <c r="U500" s="16"/>
      <c r="V500" s="13" t="s">
        <v>187</v>
      </c>
      <c r="W500" s="17"/>
      <c r="X500" s="13"/>
      <c r="Y500" s="13"/>
      <c r="Z500" s="13"/>
      <c r="AA500" s="13" t="s">
        <v>188</v>
      </c>
      <c r="AB500" s="13" t="s">
        <v>3086</v>
      </c>
      <c r="AC500" s="18" t="n">
        <v>105.25</v>
      </c>
      <c r="AD500" s="13" t="s">
        <v>190</v>
      </c>
      <c r="AE500" s="19" t="n">
        <f aca="false">IF(OR(AE499="",AE501=""),"",ROUND(AE499+(AE501-AE499)*(G500-G499)/(G501-G499),2))</f>
        <v>5.38</v>
      </c>
      <c r="AF500" s="19" t="n">
        <f aca="false">IF(OR(AF499="",AF501=""),"",ROUND(AF499+(AF501-AF499)*(G500-G499)/(G501-G499),2))</f>
        <v>6.45</v>
      </c>
      <c r="AG500" s="19" t="n">
        <f aca="false">IF(OR(AG499="",AG501=""),"",ROUND(AG499+(AG501-AG499)*(G500-G499)/(G501-G499),2))</f>
        <v>10.75</v>
      </c>
      <c r="AH500" s="13" t="s">
        <v>3087</v>
      </c>
      <c r="AI500" s="17" t="n">
        <f aca="false">IF(OR(AC500="",AF500="",Settings!$B$5=""),"",ROUND(AC500-AF500*Settings!$B$5,2))</f>
        <v>81.64</v>
      </c>
      <c r="AJ500" s="13" t="s">
        <v>192</v>
      </c>
      <c r="AK500" s="13" t="s">
        <v>193</v>
      </c>
      <c r="AL500" s="14" t="s">
        <v>3060</v>
      </c>
      <c r="AM500" s="13" t="s">
        <v>1147</v>
      </c>
      <c r="AN500" s="15"/>
      <c r="AO500" s="13"/>
      <c r="AP500" s="13" t="s">
        <v>196</v>
      </c>
      <c r="AQ500" s="16" t="n">
        <f aca="false">IFERROR(IF(AND(INDEX(Mob_Demob!$D$6:$D$14,MATCH(AM500,Mob_Demob!$A$6:$A$14,0))="",INDEX(Mob_Demob!$G$6:$G$14,MATCH(AM500,Mob_Demob!$A$6:$A$14,0))=""),"",ROUND(MAX(N(INDEX(Mob_Demob!$G$6:$G$14,MATCH(AM500,Mob_Demob!$A$6:$A$14,0))),N(INDEX(Mob_Demob!$D$6:$D$14,MATCH(AM500,Mob_Demob!$A$6:$A$14,0)))*Settings!$B$6)+IF(AP500="Y",N(INDEX(Mob_Demob!$I$6:$I$14,MATCH(AM500,Mob_Demob!$A$6:$A$14,0)))*Settings!$B$19,0)+N(INDEX(Mob_Demob!$L$6:$L$14,MATCH(AM500,Mob_Demob!$A$6:$A$14,0)))*N(INDEX(Mob_Demob!$K$6:$K$14,MATCH(AM500,Mob_Demob!$A$6:$A$14,0)))*Settings!$B$6+N(INDEX(Mob_Demob!$M$6:$M$14,MATCH(AM500,Mob_Demob!$A$6:$A$14,0)))*N(INDEX(Mob_Demob!$N$6:$N$14,MATCH(AM500,Mob_Demob!$A$6:$A$14,0))),0)),"")</f>
        <v>200</v>
      </c>
      <c r="AR500" s="16" t="n">
        <f aca="false">IF(AQ500="","",ROUND(AQ500*Settings!$B$18,0))</f>
        <v>200</v>
      </c>
      <c r="AS500" s="13" t="s">
        <v>3061</v>
      </c>
      <c r="AT500" s="14" t="s">
        <v>3088</v>
      </c>
      <c r="AU500" s="14" t="s">
        <v>199</v>
      </c>
    </row>
    <row r="501" customFormat="false" ht="53.7" hidden="false" customHeight="false" outlineLevel="0" collapsed="false">
      <c r="A501" s="21" t="s">
        <v>3089</v>
      </c>
      <c r="B501" s="21" t="s">
        <v>3053</v>
      </c>
      <c r="C501" s="21" t="s">
        <v>3054</v>
      </c>
      <c r="D501" s="21" t="s">
        <v>3064</v>
      </c>
      <c r="E501" s="22" t="s">
        <v>3090</v>
      </c>
      <c r="F501" s="13" t="s">
        <v>3057</v>
      </c>
      <c r="G501" s="13" t="n">
        <v>750</v>
      </c>
      <c r="H501" s="13" t="s">
        <v>3058</v>
      </c>
      <c r="I501" s="14"/>
      <c r="J501" s="15"/>
      <c r="K501" s="13"/>
      <c r="L501" s="13" t="s">
        <v>3090</v>
      </c>
      <c r="M501" s="13"/>
      <c r="N501" s="13" t="s">
        <v>184</v>
      </c>
      <c r="O501" s="13" t="s">
        <v>1844</v>
      </c>
      <c r="P501" s="13" t="s">
        <v>186</v>
      </c>
      <c r="Q501" s="20" t="n">
        <v>297</v>
      </c>
      <c r="R501" s="20" t="n">
        <v>1016</v>
      </c>
      <c r="S501" s="20" t="n">
        <v>2688</v>
      </c>
      <c r="T501" s="20" t="n">
        <v>2219</v>
      </c>
      <c r="U501" s="20" t="n">
        <v>3157</v>
      </c>
      <c r="V501" s="13" t="s">
        <v>187</v>
      </c>
      <c r="W501" s="17"/>
      <c r="X501" s="13"/>
      <c r="Y501" s="13" t="s">
        <v>3091</v>
      </c>
      <c r="Z501" s="13" t="s">
        <v>3092</v>
      </c>
      <c r="AA501" s="13" t="s">
        <v>192</v>
      </c>
      <c r="AB501" s="13"/>
      <c r="AC501" s="17"/>
      <c r="AD501" s="13"/>
      <c r="AE501" s="19" t="n">
        <f aca="false">ROUND(15.6*Settings!$B$31,2)</f>
        <v>7.8</v>
      </c>
      <c r="AF501" s="19" t="n">
        <f aca="false">ROUND(15.6*Settings!$B$32,2)</f>
        <v>9.36</v>
      </c>
      <c r="AG501" s="19" t="n">
        <f aca="false">ROUND(15.6*Settings!$B$33,2)</f>
        <v>15.6</v>
      </c>
      <c r="AH501" s="13" t="s">
        <v>3093</v>
      </c>
      <c r="AI501" s="17"/>
      <c r="AJ501" s="13" t="s">
        <v>188</v>
      </c>
      <c r="AK501" s="13" t="s">
        <v>188</v>
      </c>
      <c r="AL501" s="14" t="s">
        <v>3060</v>
      </c>
      <c r="AM501" s="13" t="s">
        <v>1147</v>
      </c>
      <c r="AN501" s="15"/>
      <c r="AO501" s="13"/>
      <c r="AP501" s="13" t="s">
        <v>196</v>
      </c>
      <c r="AQ501" s="16" t="n">
        <f aca="false">IFERROR(IF(AND(INDEX(Mob_Demob!$D$6:$D$14,MATCH(AM501,Mob_Demob!$A$6:$A$14,0))="",INDEX(Mob_Demob!$G$6:$G$14,MATCH(AM501,Mob_Demob!$A$6:$A$14,0))=""),"",ROUND(MAX(N(INDEX(Mob_Demob!$G$6:$G$14,MATCH(AM501,Mob_Demob!$A$6:$A$14,0))),N(INDEX(Mob_Demob!$D$6:$D$14,MATCH(AM501,Mob_Demob!$A$6:$A$14,0)))*Settings!$B$6)+IF(AP501="Y",N(INDEX(Mob_Demob!$I$6:$I$14,MATCH(AM501,Mob_Demob!$A$6:$A$14,0)))*Settings!$B$19,0)+N(INDEX(Mob_Demob!$L$6:$L$14,MATCH(AM501,Mob_Demob!$A$6:$A$14,0)))*N(INDEX(Mob_Demob!$K$6:$K$14,MATCH(AM501,Mob_Demob!$A$6:$A$14,0)))*Settings!$B$6+N(INDEX(Mob_Demob!$M$6:$M$14,MATCH(AM501,Mob_Demob!$A$6:$A$14,0)))*N(INDEX(Mob_Demob!$N$6:$N$14,MATCH(AM501,Mob_Demob!$A$6:$A$14,0))),0)),"")</f>
        <v>200</v>
      </c>
      <c r="AR501" s="16" t="n">
        <f aca="false">IF(AQ501="","",ROUND(AQ501*Settings!$B$18,0))</f>
        <v>200</v>
      </c>
      <c r="AS501" s="13" t="s">
        <v>3061</v>
      </c>
      <c r="AT501" s="14" t="s">
        <v>3094</v>
      </c>
      <c r="AU501" s="14" t="s">
        <v>341</v>
      </c>
    </row>
    <row r="502" customFormat="false" ht="53.7" hidden="false" customHeight="false" outlineLevel="0" collapsed="false">
      <c r="A502" s="21" t="s">
        <v>3095</v>
      </c>
      <c r="B502" s="21" t="s">
        <v>3053</v>
      </c>
      <c r="C502" s="21" t="s">
        <v>3054</v>
      </c>
      <c r="D502" s="21" t="s">
        <v>3064</v>
      </c>
      <c r="E502" s="22" t="s">
        <v>3096</v>
      </c>
      <c r="F502" s="13" t="s">
        <v>3057</v>
      </c>
      <c r="G502" s="13" t="n">
        <v>880</v>
      </c>
      <c r="H502" s="13" t="s">
        <v>3058</v>
      </c>
      <c r="I502" s="14"/>
      <c r="J502" s="15"/>
      <c r="K502" s="13"/>
      <c r="L502" s="13" t="s">
        <v>3096</v>
      </c>
      <c r="M502" s="13"/>
      <c r="N502" s="13" t="s">
        <v>184</v>
      </c>
      <c r="O502" s="13" t="s">
        <v>1844</v>
      </c>
      <c r="P502" s="13" t="s">
        <v>186</v>
      </c>
      <c r="Q502" s="20" t="n">
        <v>723</v>
      </c>
      <c r="R502" s="20" t="n">
        <v>2169</v>
      </c>
      <c r="S502" s="20" t="n">
        <v>6505</v>
      </c>
      <c r="T502" s="20" t="n">
        <v>6300</v>
      </c>
      <c r="U502" s="20" t="n">
        <v>6710</v>
      </c>
      <c r="V502" s="13" t="s">
        <v>187</v>
      </c>
      <c r="W502" s="17"/>
      <c r="X502" s="13"/>
      <c r="Y502" s="13" t="s">
        <v>1146</v>
      </c>
      <c r="Z502" s="13" t="s">
        <v>212</v>
      </c>
      <c r="AA502" s="13" t="s">
        <v>213</v>
      </c>
      <c r="AB502" s="13"/>
      <c r="AC502" s="17"/>
      <c r="AD502" s="13"/>
      <c r="AE502" s="19" t="n">
        <f aca="false">ROUND(24*Settings!$B$31,2)</f>
        <v>12</v>
      </c>
      <c r="AF502" s="19" t="n">
        <f aca="false">ROUND(24*Settings!$B$32,2)</f>
        <v>14.4</v>
      </c>
      <c r="AG502" s="19" t="n">
        <f aca="false">ROUND(24*Settings!$B$33,2)</f>
        <v>24</v>
      </c>
      <c r="AH502" s="13" t="s">
        <v>3097</v>
      </c>
      <c r="AI502" s="17"/>
      <c r="AJ502" s="13" t="s">
        <v>188</v>
      </c>
      <c r="AK502" s="13" t="s">
        <v>188</v>
      </c>
      <c r="AL502" s="14" t="s">
        <v>3060</v>
      </c>
      <c r="AM502" s="13" t="s">
        <v>1147</v>
      </c>
      <c r="AN502" s="15"/>
      <c r="AO502" s="13"/>
      <c r="AP502" s="13" t="s">
        <v>196</v>
      </c>
      <c r="AQ502" s="16" t="n">
        <f aca="false">IFERROR(IF(AND(INDEX(Mob_Demob!$D$6:$D$14,MATCH(AM502,Mob_Demob!$A$6:$A$14,0))="",INDEX(Mob_Demob!$G$6:$G$14,MATCH(AM502,Mob_Demob!$A$6:$A$14,0))=""),"",ROUND(MAX(N(INDEX(Mob_Demob!$G$6:$G$14,MATCH(AM502,Mob_Demob!$A$6:$A$14,0))),N(INDEX(Mob_Demob!$D$6:$D$14,MATCH(AM502,Mob_Demob!$A$6:$A$14,0)))*Settings!$B$6)+IF(AP502="Y",N(INDEX(Mob_Demob!$I$6:$I$14,MATCH(AM502,Mob_Demob!$A$6:$A$14,0)))*Settings!$B$19,0)+N(INDEX(Mob_Demob!$L$6:$L$14,MATCH(AM502,Mob_Demob!$A$6:$A$14,0)))*N(INDEX(Mob_Demob!$K$6:$K$14,MATCH(AM502,Mob_Demob!$A$6:$A$14,0)))*Settings!$B$6+N(INDEX(Mob_Demob!$M$6:$M$14,MATCH(AM502,Mob_Demob!$A$6:$A$14,0)))*N(INDEX(Mob_Demob!$N$6:$N$14,MATCH(AM502,Mob_Demob!$A$6:$A$14,0))),0)),"")</f>
        <v>200</v>
      </c>
      <c r="AR502" s="16" t="n">
        <f aca="false">IF(AQ502="","",ROUND(AQ502*Settings!$B$18,0))</f>
        <v>200</v>
      </c>
      <c r="AS502" s="13" t="s">
        <v>3061</v>
      </c>
      <c r="AT502" s="14" t="s">
        <v>3098</v>
      </c>
      <c r="AU502" s="14" t="s">
        <v>341</v>
      </c>
    </row>
    <row r="503" customFormat="false" ht="53.7" hidden="false" customHeight="false" outlineLevel="0" collapsed="false">
      <c r="A503" s="21" t="s">
        <v>3099</v>
      </c>
      <c r="B503" s="21" t="s">
        <v>3053</v>
      </c>
      <c r="C503" s="21" t="s">
        <v>3054</v>
      </c>
      <c r="D503" s="21" t="s">
        <v>3064</v>
      </c>
      <c r="E503" s="22" t="s">
        <v>3100</v>
      </c>
      <c r="F503" s="13" t="s">
        <v>3057</v>
      </c>
      <c r="G503" s="13" t="n">
        <v>1000</v>
      </c>
      <c r="H503" s="13" t="s">
        <v>3058</v>
      </c>
      <c r="I503" s="14"/>
      <c r="J503" s="15"/>
      <c r="K503" s="13"/>
      <c r="L503" s="13" t="s">
        <v>3100</v>
      </c>
      <c r="M503" s="13"/>
      <c r="N503" s="13" t="s">
        <v>184</v>
      </c>
      <c r="O503" s="13" t="s">
        <v>1844</v>
      </c>
      <c r="P503" s="13" t="s">
        <v>186</v>
      </c>
      <c r="Q503" s="20" t="n">
        <v>1184</v>
      </c>
      <c r="R503" s="20" t="n">
        <v>3552</v>
      </c>
      <c r="S503" s="20" t="n">
        <v>10655</v>
      </c>
      <c r="T503" s="16"/>
      <c r="U503" s="16"/>
      <c r="V503" s="13" t="s">
        <v>187</v>
      </c>
      <c r="W503" s="17"/>
      <c r="X503" s="13"/>
      <c r="Y503" s="13" t="s">
        <v>259</v>
      </c>
      <c r="Z503" s="13" t="s">
        <v>260</v>
      </c>
      <c r="AA503" s="13" t="s">
        <v>192</v>
      </c>
      <c r="AB503" s="13" t="s">
        <v>3101</v>
      </c>
      <c r="AC503" s="18" t="n">
        <v>187.83</v>
      </c>
      <c r="AD503" s="13" t="s">
        <v>190</v>
      </c>
      <c r="AE503" s="19" t="n">
        <f aca="false">ROUND(24.4*Settings!$B$31,2)</f>
        <v>12.2</v>
      </c>
      <c r="AF503" s="19" t="n">
        <f aca="false">ROUND(24.4*Settings!$B$32,2)</f>
        <v>14.64</v>
      </c>
      <c r="AG503" s="19" t="n">
        <f aca="false">ROUND(24.4*Settings!$B$33,2)</f>
        <v>24.4</v>
      </c>
      <c r="AH503" s="13" t="s">
        <v>3102</v>
      </c>
      <c r="AI503" s="17" t="n">
        <f aca="false">IF(OR(AC503="",AF503="",Settings!$B$5=""),"",ROUND(AC503-AF503*Settings!$B$5,2))</f>
        <v>134.25</v>
      </c>
      <c r="AJ503" s="13" t="s">
        <v>192</v>
      </c>
      <c r="AK503" s="13" t="s">
        <v>193</v>
      </c>
      <c r="AL503" s="14" t="s">
        <v>3060</v>
      </c>
      <c r="AM503" s="13" t="s">
        <v>507</v>
      </c>
      <c r="AN503" s="15"/>
      <c r="AO503" s="13"/>
      <c r="AP503" s="13" t="s">
        <v>196</v>
      </c>
      <c r="AQ503" s="16" t="n">
        <f aca="false">IFERROR(IF(AND(INDEX(Mob_Demob!$D$6:$D$14,MATCH(AM503,Mob_Demob!$A$6:$A$14,0))="",INDEX(Mob_Demob!$G$6:$G$14,MATCH(AM503,Mob_Demob!$A$6:$A$14,0))=""),"",ROUND(MAX(N(INDEX(Mob_Demob!$G$6:$G$14,MATCH(AM503,Mob_Demob!$A$6:$A$14,0))),N(INDEX(Mob_Demob!$D$6:$D$14,MATCH(AM503,Mob_Demob!$A$6:$A$14,0)))*Settings!$B$6)+IF(AP503="Y",N(INDEX(Mob_Demob!$I$6:$I$14,MATCH(AM503,Mob_Demob!$A$6:$A$14,0)))*Settings!$B$19,0)+N(INDEX(Mob_Demob!$L$6:$L$14,MATCH(AM503,Mob_Demob!$A$6:$A$14,0)))*N(INDEX(Mob_Demob!$K$6:$K$14,MATCH(AM503,Mob_Demob!$A$6:$A$14,0)))*Settings!$B$6+N(INDEX(Mob_Demob!$M$6:$M$14,MATCH(AM503,Mob_Demob!$A$6:$A$14,0)))*N(INDEX(Mob_Demob!$N$6:$N$14,MATCH(AM503,Mob_Demob!$A$6:$A$14,0))),0)),"")</f>
        <v>400</v>
      </c>
      <c r="AR503" s="16" t="n">
        <f aca="false">IF(AQ503="","",ROUND(AQ503*Settings!$B$18,0))</f>
        <v>400</v>
      </c>
      <c r="AS503" s="13" t="s">
        <v>3061</v>
      </c>
      <c r="AT503" s="14" t="s">
        <v>3103</v>
      </c>
      <c r="AU503" s="14"/>
    </row>
    <row r="504" customFormat="false" ht="53.7" hidden="false" customHeight="false" outlineLevel="0" collapsed="false">
      <c r="A504" s="21" t="s">
        <v>3104</v>
      </c>
      <c r="B504" s="21" t="s">
        <v>3053</v>
      </c>
      <c r="C504" s="21" t="s">
        <v>3054</v>
      </c>
      <c r="D504" s="21" t="s">
        <v>3064</v>
      </c>
      <c r="E504" s="22" t="s">
        <v>3105</v>
      </c>
      <c r="F504" s="13" t="s">
        <v>3057</v>
      </c>
      <c r="G504" s="13" t="n">
        <v>1426</v>
      </c>
      <c r="H504" s="13" t="s">
        <v>3058</v>
      </c>
      <c r="I504" s="14"/>
      <c r="J504" s="15"/>
      <c r="K504" s="13"/>
      <c r="L504" s="13" t="s">
        <v>3105</v>
      </c>
      <c r="M504" s="13"/>
      <c r="N504" s="13" t="s">
        <v>184</v>
      </c>
      <c r="O504" s="13" t="s">
        <v>1844</v>
      </c>
      <c r="P504" s="13" t="s">
        <v>186</v>
      </c>
      <c r="Q504" s="20" t="n">
        <v>1421</v>
      </c>
      <c r="R504" s="20" t="n">
        <v>4262</v>
      </c>
      <c r="S504" s="20" t="n">
        <v>12786</v>
      </c>
      <c r="T504" s="16"/>
      <c r="U504" s="16"/>
      <c r="V504" s="13" t="s">
        <v>187</v>
      </c>
      <c r="W504" s="17"/>
      <c r="X504" s="13"/>
      <c r="Y504" s="13" t="s">
        <v>259</v>
      </c>
      <c r="Z504" s="13" t="s">
        <v>260</v>
      </c>
      <c r="AA504" s="13" t="s">
        <v>192</v>
      </c>
      <c r="AB504" s="13"/>
      <c r="AC504" s="17"/>
      <c r="AD504" s="13"/>
      <c r="AE504" s="19" t="n">
        <f aca="false">IF(OR(AE503="",AE505=""),"",ROUND(AE503+(AE505-AE503)*(G504-G503)/(G505-G503),2))</f>
        <v>12.06</v>
      </c>
      <c r="AF504" s="19" t="n">
        <f aca="false">IF(OR(AF503="",AF505=""),"",ROUND(AF503+(AF505-AF503)*(G504-G503)/(G505-G503),2))</f>
        <v>14.47</v>
      </c>
      <c r="AG504" s="19" t="n">
        <f aca="false">IF(OR(AG503="",AG505=""),"",ROUND(AG503+(AG505-AG503)*(G504-G503)/(G505-G503),2))</f>
        <v>24.12</v>
      </c>
      <c r="AH504" s="13" t="s">
        <v>3106</v>
      </c>
      <c r="AI504" s="17"/>
      <c r="AJ504" s="13" t="s">
        <v>188</v>
      </c>
      <c r="AK504" s="13" t="s">
        <v>188</v>
      </c>
      <c r="AL504" s="14" t="s">
        <v>3060</v>
      </c>
      <c r="AM504" s="13" t="s">
        <v>507</v>
      </c>
      <c r="AN504" s="15"/>
      <c r="AO504" s="13"/>
      <c r="AP504" s="13" t="s">
        <v>196</v>
      </c>
      <c r="AQ504" s="16" t="n">
        <f aca="false">IFERROR(IF(AND(INDEX(Mob_Demob!$D$6:$D$14,MATCH(AM504,Mob_Demob!$A$6:$A$14,0))="",INDEX(Mob_Demob!$G$6:$G$14,MATCH(AM504,Mob_Demob!$A$6:$A$14,0))=""),"",ROUND(MAX(N(INDEX(Mob_Demob!$G$6:$G$14,MATCH(AM504,Mob_Demob!$A$6:$A$14,0))),N(INDEX(Mob_Demob!$D$6:$D$14,MATCH(AM504,Mob_Demob!$A$6:$A$14,0)))*Settings!$B$6)+IF(AP504="Y",N(INDEX(Mob_Demob!$I$6:$I$14,MATCH(AM504,Mob_Demob!$A$6:$A$14,0)))*Settings!$B$19,0)+N(INDEX(Mob_Demob!$L$6:$L$14,MATCH(AM504,Mob_Demob!$A$6:$A$14,0)))*N(INDEX(Mob_Demob!$K$6:$K$14,MATCH(AM504,Mob_Demob!$A$6:$A$14,0)))*Settings!$B$6+N(INDEX(Mob_Demob!$M$6:$M$14,MATCH(AM504,Mob_Demob!$A$6:$A$14,0)))*N(INDEX(Mob_Demob!$N$6:$N$14,MATCH(AM504,Mob_Demob!$A$6:$A$14,0))),0)),"")</f>
        <v>400</v>
      </c>
      <c r="AR504" s="16" t="n">
        <f aca="false">IF(AQ504="","",ROUND(AQ504*Settings!$B$18,0))</f>
        <v>400</v>
      </c>
      <c r="AS504" s="13" t="s">
        <v>3061</v>
      </c>
      <c r="AT504" s="14" t="s">
        <v>3107</v>
      </c>
      <c r="AU504" s="14" t="s">
        <v>3108</v>
      </c>
    </row>
    <row r="505" customFormat="false" ht="53.7" hidden="false" customHeight="false" outlineLevel="0" collapsed="false">
      <c r="A505" s="21" t="s">
        <v>3109</v>
      </c>
      <c r="B505" s="21" t="s">
        <v>3053</v>
      </c>
      <c r="C505" s="21" t="s">
        <v>3054</v>
      </c>
      <c r="D505" s="21" t="s">
        <v>3064</v>
      </c>
      <c r="E505" s="22" t="s">
        <v>3110</v>
      </c>
      <c r="F505" s="13" t="s">
        <v>3057</v>
      </c>
      <c r="G505" s="13" t="n">
        <v>1600</v>
      </c>
      <c r="H505" s="13" t="s">
        <v>3058</v>
      </c>
      <c r="I505" s="14"/>
      <c r="J505" s="15"/>
      <c r="K505" s="13"/>
      <c r="L505" s="13" t="s">
        <v>3110</v>
      </c>
      <c r="M505" s="13"/>
      <c r="N505" s="13" t="s">
        <v>184</v>
      </c>
      <c r="O505" s="13" t="s">
        <v>1844</v>
      </c>
      <c r="P505" s="13" t="s">
        <v>186</v>
      </c>
      <c r="Q505" s="20" t="n">
        <v>386</v>
      </c>
      <c r="R505" s="20" t="n">
        <v>1319</v>
      </c>
      <c r="S505" s="20" t="n">
        <v>3491</v>
      </c>
      <c r="T505" s="20" t="n">
        <v>2992</v>
      </c>
      <c r="U505" s="20" t="n">
        <v>3990</v>
      </c>
      <c r="V505" s="13" t="s">
        <v>187</v>
      </c>
      <c r="W505" s="17"/>
      <c r="X505" s="13"/>
      <c r="Y505" s="13" t="s">
        <v>3091</v>
      </c>
      <c r="Z505" s="13" t="s">
        <v>3092</v>
      </c>
      <c r="AA505" s="13" t="s">
        <v>192</v>
      </c>
      <c r="AB505" s="13" t="s">
        <v>3111</v>
      </c>
      <c r="AC505" s="18" t="n">
        <v>200.97</v>
      </c>
      <c r="AD505" s="13" t="s">
        <v>190</v>
      </c>
      <c r="AE505" s="19" t="n">
        <f aca="false">ROUND(24*Settings!$B$31,2)</f>
        <v>12</v>
      </c>
      <c r="AF505" s="19" t="n">
        <f aca="false">ROUND(24*Settings!$B$32,2)</f>
        <v>14.4</v>
      </c>
      <c r="AG505" s="19" t="n">
        <f aca="false">ROUND(24*Settings!$B$33,2)</f>
        <v>24</v>
      </c>
      <c r="AH505" s="13" t="s">
        <v>3112</v>
      </c>
      <c r="AI505" s="17" t="n">
        <f aca="false">IF(OR(AC505="",AF505="",Settings!$B$5=""),"",ROUND(AC505-AF505*Settings!$B$5,2))</f>
        <v>148.27</v>
      </c>
      <c r="AJ505" s="13" t="s">
        <v>192</v>
      </c>
      <c r="AK505" s="13" t="s">
        <v>193</v>
      </c>
      <c r="AL505" s="14" t="s">
        <v>3060</v>
      </c>
      <c r="AM505" s="13" t="s">
        <v>507</v>
      </c>
      <c r="AN505" s="15"/>
      <c r="AO505" s="13"/>
      <c r="AP505" s="13" t="s">
        <v>196</v>
      </c>
      <c r="AQ505" s="16" t="n">
        <f aca="false">IFERROR(IF(AND(INDEX(Mob_Demob!$D$6:$D$14,MATCH(AM505,Mob_Demob!$A$6:$A$14,0))="",INDEX(Mob_Demob!$G$6:$G$14,MATCH(AM505,Mob_Demob!$A$6:$A$14,0))=""),"",ROUND(MAX(N(INDEX(Mob_Demob!$G$6:$G$14,MATCH(AM505,Mob_Demob!$A$6:$A$14,0))),N(INDEX(Mob_Demob!$D$6:$D$14,MATCH(AM505,Mob_Demob!$A$6:$A$14,0)))*Settings!$B$6)+IF(AP505="Y",N(INDEX(Mob_Demob!$I$6:$I$14,MATCH(AM505,Mob_Demob!$A$6:$A$14,0)))*Settings!$B$19,0)+N(INDEX(Mob_Demob!$L$6:$L$14,MATCH(AM505,Mob_Demob!$A$6:$A$14,0)))*N(INDEX(Mob_Demob!$K$6:$K$14,MATCH(AM505,Mob_Demob!$A$6:$A$14,0)))*Settings!$B$6+N(INDEX(Mob_Demob!$M$6:$M$14,MATCH(AM505,Mob_Demob!$A$6:$A$14,0)))*N(INDEX(Mob_Demob!$N$6:$N$14,MATCH(AM505,Mob_Demob!$A$6:$A$14,0))),0)),"")</f>
        <v>400</v>
      </c>
      <c r="AR505" s="16" t="n">
        <f aca="false">IF(AQ505="","",ROUND(AQ505*Settings!$B$18,0))</f>
        <v>400</v>
      </c>
      <c r="AS505" s="13" t="s">
        <v>3061</v>
      </c>
      <c r="AT505" s="14" t="s">
        <v>3113</v>
      </c>
      <c r="AU505" s="14"/>
    </row>
    <row r="506" customFormat="false" ht="53.7" hidden="false" customHeight="false" outlineLevel="0" collapsed="false">
      <c r="A506" s="21" t="s">
        <v>3114</v>
      </c>
      <c r="B506" s="21" t="s">
        <v>3053</v>
      </c>
      <c r="C506" s="21" t="s">
        <v>3115</v>
      </c>
      <c r="D506" s="21" t="s">
        <v>3064</v>
      </c>
      <c r="E506" s="22" t="s">
        <v>3116</v>
      </c>
      <c r="F506" s="13" t="s">
        <v>3117</v>
      </c>
      <c r="G506" s="13" t="n">
        <v>5.5</v>
      </c>
      <c r="H506" s="13" t="s">
        <v>3118</v>
      </c>
      <c r="I506" s="14"/>
      <c r="J506" s="15"/>
      <c r="K506" s="13"/>
      <c r="L506" s="13" t="s">
        <v>3116</v>
      </c>
      <c r="M506" s="13"/>
      <c r="N506" s="13" t="s">
        <v>1163</v>
      </c>
      <c r="O506" s="13" t="s">
        <v>1844</v>
      </c>
      <c r="P506" s="13" t="s">
        <v>186</v>
      </c>
      <c r="Q506" s="16"/>
      <c r="R506" s="16"/>
      <c r="S506" s="16"/>
      <c r="T506" s="16"/>
      <c r="U506" s="16"/>
      <c r="V506" s="13" t="s">
        <v>187</v>
      </c>
      <c r="W506" s="17"/>
      <c r="X506" s="13"/>
      <c r="Y506" s="13"/>
      <c r="Z506" s="13"/>
      <c r="AA506" s="13" t="s">
        <v>188</v>
      </c>
      <c r="AB506" s="13" t="s">
        <v>3119</v>
      </c>
      <c r="AC506" s="18" t="n">
        <v>4.1</v>
      </c>
      <c r="AD506" s="13" t="s">
        <v>190</v>
      </c>
      <c r="AE506" s="19"/>
      <c r="AF506" s="19"/>
      <c r="AG506" s="19"/>
      <c r="AH506" s="13"/>
      <c r="AI506" s="17" t="str">
        <f aca="false">IF(OR(AC506="",AF506="",Settings!$B$10=""),"",ROUND(AC506-AF506*Settings!$B$10,2))</f>
        <v/>
      </c>
      <c r="AJ506" s="13" t="s">
        <v>192</v>
      </c>
      <c r="AK506" s="13" t="s">
        <v>193</v>
      </c>
      <c r="AL506" s="14" t="s">
        <v>3120</v>
      </c>
      <c r="AM506" s="13" t="s">
        <v>1147</v>
      </c>
      <c r="AN506" s="15"/>
      <c r="AO506" s="13"/>
      <c r="AP506" s="13" t="s">
        <v>196</v>
      </c>
      <c r="AQ506" s="16" t="n">
        <f aca="false">IFERROR(IF(AND(INDEX(Mob_Demob!$D$6:$D$14,MATCH(AM506,Mob_Demob!$A$6:$A$14,0))="",INDEX(Mob_Demob!$G$6:$G$14,MATCH(AM506,Mob_Demob!$A$6:$A$14,0))=""),"",ROUND(MAX(N(INDEX(Mob_Demob!$G$6:$G$14,MATCH(AM506,Mob_Demob!$A$6:$A$14,0))),N(INDEX(Mob_Demob!$D$6:$D$14,MATCH(AM506,Mob_Demob!$A$6:$A$14,0)))*Settings!$B$6)+IF(AP506="Y",N(INDEX(Mob_Demob!$I$6:$I$14,MATCH(AM506,Mob_Demob!$A$6:$A$14,0)))*Settings!$B$19,0)+N(INDEX(Mob_Demob!$L$6:$L$14,MATCH(AM506,Mob_Demob!$A$6:$A$14,0)))*N(INDEX(Mob_Demob!$K$6:$K$14,MATCH(AM506,Mob_Demob!$A$6:$A$14,0)))*Settings!$B$6+N(INDEX(Mob_Demob!$M$6:$M$14,MATCH(AM506,Mob_Demob!$A$6:$A$14,0)))*N(INDEX(Mob_Demob!$N$6:$N$14,MATCH(AM506,Mob_Demob!$A$6:$A$14,0))),0)),"")</f>
        <v>200</v>
      </c>
      <c r="AR506" s="16" t="n">
        <f aca="false">IF(AQ506="","",ROUND(AQ506*Settings!$B$18,0))</f>
        <v>200</v>
      </c>
      <c r="AS506" s="13" t="s">
        <v>3121</v>
      </c>
      <c r="AT506" s="14" t="s">
        <v>3122</v>
      </c>
      <c r="AU506" s="14" t="s">
        <v>838</v>
      </c>
    </row>
    <row r="507" customFormat="false" ht="53.7" hidden="false" customHeight="false" outlineLevel="0" collapsed="false">
      <c r="A507" s="21" t="s">
        <v>3123</v>
      </c>
      <c r="B507" s="21" t="s">
        <v>3053</v>
      </c>
      <c r="C507" s="21" t="s">
        <v>3115</v>
      </c>
      <c r="D507" s="21" t="s">
        <v>3064</v>
      </c>
      <c r="E507" s="22" t="s">
        <v>3124</v>
      </c>
      <c r="F507" s="13" t="s">
        <v>3117</v>
      </c>
      <c r="G507" s="13" t="n">
        <v>17</v>
      </c>
      <c r="H507" s="13" t="s">
        <v>3118</v>
      </c>
      <c r="I507" s="14"/>
      <c r="J507" s="15"/>
      <c r="K507" s="13"/>
      <c r="L507" s="13" t="s">
        <v>3124</v>
      </c>
      <c r="M507" s="13"/>
      <c r="N507" s="13" t="s">
        <v>184</v>
      </c>
      <c r="O507" s="13" t="s">
        <v>1844</v>
      </c>
      <c r="P507" s="13" t="s">
        <v>186</v>
      </c>
      <c r="Q507" s="16"/>
      <c r="R507" s="16"/>
      <c r="S507" s="16"/>
      <c r="T507" s="16"/>
      <c r="U507" s="16"/>
      <c r="V507" s="13" t="s">
        <v>187</v>
      </c>
      <c r="W507" s="17"/>
      <c r="X507" s="13"/>
      <c r="Y507" s="13"/>
      <c r="Z507" s="13"/>
      <c r="AA507" s="13" t="s">
        <v>188</v>
      </c>
      <c r="AB507" s="13" t="s">
        <v>3125</v>
      </c>
      <c r="AC507" s="18" t="n">
        <v>8.81</v>
      </c>
      <c r="AD507" s="13" t="s">
        <v>190</v>
      </c>
      <c r="AE507" s="19"/>
      <c r="AF507" s="19"/>
      <c r="AG507" s="19"/>
      <c r="AH507" s="13"/>
      <c r="AI507" s="17" t="str">
        <f aca="false">IF(OR(AC507="",AF507="",Settings!$B$5=""),"",ROUND(AC507-AF507*Settings!$B$5,2))</f>
        <v/>
      </c>
      <c r="AJ507" s="13" t="s">
        <v>192</v>
      </c>
      <c r="AK507" s="13" t="s">
        <v>193</v>
      </c>
      <c r="AL507" s="14" t="s">
        <v>3120</v>
      </c>
      <c r="AM507" s="13" t="s">
        <v>1147</v>
      </c>
      <c r="AN507" s="15"/>
      <c r="AO507" s="13"/>
      <c r="AP507" s="13" t="s">
        <v>196</v>
      </c>
      <c r="AQ507" s="16" t="n">
        <f aca="false">IFERROR(IF(AND(INDEX(Mob_Demob!$D$6:$D$14,MATCH(AM507,Mob_Demob!$A$6:$A$14,0))="",INDEX(Mob_Demob!$G$6:$G$14,MATCH(AM507,Mob_Demob!$A$6:$A$14,0))=""),"",ROUND(MAX(N(INDEX(Mob_Demob!$G$6:$G$14,MATCH(AM507,Mob_Demob!$A$6:$A$14,0))),N(INDEX(Mob_Demob!$D$6:$D$14,MATCH(AM507,Mob_Demob!$A$6:$A$14,0)))*Settings!$B$6)+IF(AP507="Y",N(INDEX(Mob_Demob!$I$6:$I$14,MATCH(AM507,Mob_Demob!$A$6:$A$14,0)))*Settings!$B$19,0)+N(INDEX(Mob_Demob!$L$6:$L$14,MATCH(AM507,Mob_Demob!$A$6:$A$14,0)))*N(INDEX(Mob_Demob!$K$6:$K$14,MATCH(AM507,Mob_Demob!$A$6:$A$14,0)))*Settings!$B$6+N(INDEX(Mob_Demob!$M$6:$M$14,MATCH(AM507,Mob_Demob!$A$6:$A$14,0)))*N(INDEX(Mob_Demob!$N$6:$N$14,MATCH(AM507,Mob_Demob!$A$6:$A$14,0))),0)),"")</f>
        <v>200</v>
      </c>
      <c r="AR507" s="16" t="n">
        <f aca="false">IF(AQ507="","",ROUND(AQ507*Settings!$B$18,0))</f>
        <v>200</v>
      </c>
      <c r="AS507" s="13" t="s">
        <v>3121</v>
      </c>
      <c r="AT507" s="14" t="s">
        <v>3126</v>
      </c>
      <c r="AU507" s="14" t="s">
        <v>3127</v>
      </c>
    </row>
    <row r="508" customFormat="false" ht="53.7" hidden="false" customHeight="false" outlineLevel="0" collapsed="false">
      <c r="A508" s="21" t="s">
        <v>3128</v>
      </c>
      <c r="B508" s="21" t="s">
        <v>3053</v>
      </c>
      <c r="C508" s="21" t="s">
        <v>3115</v>
      </c>
      <c r="D508" s="21" t="s">
        <v>3064</v>
      </c>
      <c r="E508" s="22" t="s">
        <v>3129</v>
      </c>
      <c r="F508" s="13" t="s">
        <v>3117</v>
      </c>
      <c r="G508" s="13" t="n">
        <v>25</v>
      </c>
      <c r="H508" s="13" t="s">
        <v>3118</v>
      </c>
      <c r="I508" s="14"/>
      <c r="J508" s="15"/>
      <c r="K508" s="13"/>
      <c r="L508" s="13" t="s">
        <v>3129</v>
      </c>
      <c r="M508" s="13"/>
      <c r="N508" s="13" t="s">
        <v>184</v>
      </c>
      <c r="O508" s="13" t="s">
        <v>1844</v>
      </c>
      <c r="P508" s="13" t="s">
        <v>186</v>
      </c>
      <c r="Q508" s="20" t="n">
        <v>185</v>
      </c>
      <c r="R508" s="20" t="n">
        <v>554</v>
      </c>
      <c r="S508" s="20" t="n">
        <v>1634</v>
      </c>
      <c r="T508" s="20" t="n">
        <v>1075</v>
      </c>
      <c r="U508" s="20" t="n">
        <v>1665</v>
      </c>
      <c r="V508" s="13" t="s">
        <v>187</v>
      </c>
      <c r="W508" s="17"/>
      <c r="X508" s="13"/>
      <c r="Y508" s="13" t="s">
        <v>1178</v>
      </c>
      <c r="Z508" s="13" t="s">
        <v>212</v>
      </c>
      <c r="AA508" s="13" t="s">
        <v>213</v>
      </c>
      <c r="AB508" s="13" t="s">
        <v>3130</v>
      </c>
      <c r="AC508" s="18" t="n">
        <v>31.23</v>
      </c>
      <c r="AD508" s="13" t="s">
        <v>190</v>
      </c>
      <c r="AE508" s="19" t="n">
        <v>0.7</v>
      </c>
      <c r="AF508" s="19" t="n">
        <v>1</v>
      </c>
      <c r="AG508" s="19" t="n">
        <v>1.4</v>
      </c>
      <c r="AH508" s="13" t="s">
        <v>3131</v>
      </c>
      <c r="AI508" s="17" t="n">
        <f aca="false">IF(OR(AC508="",AF508="",Settings!$B$5=""),"",ROUND(AC508-AF508*Settings!$B$5,2))</f>
        <v>27.57</v>
      </c>
      <c r="AJ508" s="13" t="s">
        <v>192</v>
      </c>
      <c r="AK508" s="13" t="s">
        <v>193</v>
      </c>
      <c r="AL508" s="14" t="s">
        <v>3120</v>
      </c>
      <c r="AM508" s="13" t="s">
        <v>1147</v>
      </c>
      <c r="AN508" s="15"/>
      <c r="AO508" s="13"/>
      <c r="AP508" s="13" t="s">
        <v>196</v>
      </c>
      <c r="AQ508" s="16" t="n">
        <f aca="false">IFERROR(IF(AND(INDEX(Mob_Demob!$D$6:$D$14,MATCH(AM508,Mob_Demob!$A$6:$A$14,0))="",INDEX(Mob_Demob!$G$6:$G$14,MATCH(AM508,Mob_Demob!$A$6:$A$14,0))=""),"",ROUND(MAX(N(INDEX(Mob_Demob!$G$6:$G$14,MATCH(AM508,Mob_Demob!$A$6:$A$14,0))),N(INDEX(Mob_Demob!$D$6:$D$14,MATCH(AM508,Mob_Demob!$A$6:$A$14,0)))*Settings!$B$6)+IF(AP508="Y",N(INDEX(Mob_Demob!$I$6:$I$14,MATCH(AM508,Mob_Demob!$A$6:$A$14,0)))*Settings!$B$19,0)+N(INDEX(Mob_Demob!$L$6:$L$14,MATCH(AM508,Mob_Demob!$A$6:$A$14,0)))*N(INDEX(Mob_Demob!$K$6:$K$14,MATCH(AM508,Mob_Demob!$A$6:$A$14,0)))*Settings!$B$6+N(INDEX(Mob_Demob!$M$6:$M$14,MATCH(AM508,Mob_Demob!$A$6:$A$14,0)))*N(INDEX(Mob_Demob!$N$6:$N$14,MATCH(AM508,Mob_Demob!$A$6:$A$14,0))),0)),"")</f>
        <v>200</v>
      </c>
      <c r="AR508" s="16" t="n">
        <f aca="false">IF(AQ508="","",ROUND(AQ508*Settings!$B$18,0))</f>
        <v>200</v>
      </c>
      <c r="AS508" s="13" t="s">
        <v>3121</v>
      </c>
      <c r="AT508" s="14" t="s">
        <v>3132</v>
      </c>
      <c r="AU508" s="14" t="s">
        <v>3133</v>
      </c>
    </row>
    <row r="509" customFormat="false" ht="53.7" hidden="false" customHeight="false" outlineLevel="0" collapsed="false">
      <c r="A509" s="21" t="s">
        <v>3134</v>
      </c>
      <c r="B509" s="21" t="s">
        <v>3053</v>
      </c>
      <c r="C509" s="21" t="s">
        <v>3115</v>
      </c>
      <c r="D509" s="21" t="s">
        <v>3064</v>
      </c>
      <c r="E509" s="22" t="s">
        <v>3135</v>
      </c>
      <c r="F509" s="13" t="s">
        <v>3117</v>
      </c>
      <c r="G509" s="13" t="n">
        <v>40</v>
      </c>
      <c r="H509" s="13" t="s">
        <v>3118</v>
      </c>
      <c r="I509" s="14"/>
      <c r="J509" s="15"/>
      <c r="K509" s="13"/>
      <c r="L509" s="13" t="s">
        <v>3135</v>
      </c>
      <c r="M509" s="13"/>
      <c r="N509" s="13" t="s">
        <v>184</v>
      </c>
      <c r="O509" s="13" t="s">
        <v>1844</v>
      </c>
      <c r="P509" s="13" t="s">
        <v>186</v>
      </c>
      <c r="Q509" s="16"/>
      <c r="R509" s="16"/>
      <c r="S509" s="16"/>
      <c r="T509" s="16"/>
      <c r="U509" s="16"/>
      <c r="V509" s="13" t="s">
        <v>187</v>
      </c>
      <c r="W509" s="17"/>
      <c r="X509" s="13"/>
      <c r="Y509" s="13"/>
      <c r="Z509" s="13"/>
      <c r="AA509" s="13" t="s">
        <v>188</v>
      </c>
      <c r="AB509" s="13" t="s">
        <v>3136</v>
      </c>
      <c r="AC509" s="18" t="n">
        <v>30.53</v>
      </c>
      <c r="AD509" s="13" t="s">
        <v>190</v>
      </c>
      <c r="AE509" s="19" t="n">
        <v>1.2</v>
      </c>
      <c r="AF509" s="19" t="n">
        <v>1.8</v>
      </c>
      <c r="AG509" s="19" t="n">
        <v>2.15</v>
      </c>
      <c r="AH509" s="13" t="s">
        <v>3137</v>
      </c>
      <c r="AI509" s="17" t="n">
        <f aca="false">IF(OR(AC509="",AF509="",Settings!$B$5=""),"",ROUND(AC509-AF509*Settings!$B$5,2))</f>
        <v>23.94</v>
      </c>
      <c r="AJ509" s="13" t="s">
        <v>192</v>
      </c>
      <c r="AK509" s="13" t="s">
        <v>193</v>
      </c>
      <c r="AL509" s="14" t="s">
        <v>3120</v>
      </c>
      <c r="AM509" s="13" t="s">
        <v>1147</v>
      </c>
      <c r="AN509" s="15"/>
      <c r="AO509" s="13"/>
      <c r="AP509" s="13" t="s">
        <v>196</v>
      </c>
      <c r="AQ509" s="16" t="n">
        <f aca="false">IFERROR(IF(AND(INDEX(Mob_Demob!$D$6:$D$14,MATCH(AM509,Mob_Demob!$A$6:$A$14,0))="",INDEX(Mob_Demob!$G$6:$G$14,MATCH(AM509,Mob_Demob!$A$6:$A$14,0))=""),"",ROUND(MAX(N(INDEX(Mob_Demob!$G$6:$G$14,MATCH(AM509,Mob_Demob!$A$6:$A$14,0))),N(INDEX(Mob_Demob!$D$6:$D$14,MATCH(AM509,Mob_Demob!$A$6:$A$14,0)))*Settings!$B$6)+IF(AP509="Y",N(INDEX(Mob_Demob!$I$6:$I$14,MATCH(AM509,Mob_Demob!$A$6:$A$14,0)))*Settings!$B$19,0)+N(INDEX(Mob_Demob!$L$6:$L$14,MATCH(AM509,Mob_Demob!$A$6:$A$14,0)))*N(INDEX(Mob_Demob!$K$6:$K$14,MATCH(AM509,Mob_Demob!$A$6:$A$14,0)))*Settings!$B$6+N(INDEX(Mob_Demob!$M$6:$M$14,MATCH(AM509,Mob_Demob!$A$6:$A$14,0)))*N(INDEX(Mob_Demob!$N$6:$N$14,MATCH(AM509,Mob_Demob!$A$6:$A$14,0))),0)),"")</f>
        <v>200</v>
      </c>
      <c r="AR509" s="16" t="n">
        <f aca="false">IF(AQ509="","",ROUND(AQ509*Settings!$B$18,0))</f>
        <v>200</v>
      </c>
      <c r="AS509" s="13" t="s">
        <v>3121</v>
      </c>
      <c r="AT509" s="14" t="s">
        <v>3126</v>
      </c>
      <c r="AU509" s="14" t="s">
        <v>3138</v>
      </c>
    </row>
    <row r="510" customFormat="false" ht="64.15" hidden="false" customHeight="false" outlineLevel="0" collapsed="false">
      <c r="A510" s="21" t="s">
        <v>3139</v>
      </c>
      <c r="B510" s="21" t="s">
        <v>3053</v>
      </c>
      <c r="C510" s="21" t="s">
        <v>3115</v>
      </c>
      <c r="D510" s="21" t="s">
        <v>3064</v>
      </c>
      <c r="E510" s="22" t="s">
        <v>3140</v>
      </c>
      <c r="F510" s="13" t="s">
        <v>3117</v>
      </c>
      <c r="G510" s="13" t="n">
        <v>45</v>
      </c>
      <c r="H510" s="13" t="s">
        <v>3118</v>
      </c>
      <c r="I510" s="14"/>
      <c r="J510" s="15"/>
      <c r="K510" s="13"/>
      <c r="L510" s="13" t="s">
        <v>3140</v>
      </c>
      <c r="M510" s="13"/>
      <c r="N510" s="13" t="s">
        <v>184</v>
      </c>
      <c r="O510" s="13" t="s">
        <v>1844</v>
      </c>
      <c r="P510" s="13" t="s">
        <v>186</v>
      </c>
      <c r="Q510" s="20" t="n">
        <v>259</v>
      </c>
      <c r="R510" s="20" t="n">
        <v>752</v>
      </c>
      <c r="S510" s="20" t="n">
        <v>2179</v>
      </c>
      <c r="T510" s="20" t="n">
        <v>1865</v>
      </c>
      <c r="U510" s="20" t="n">
        <v>2610</v>
      </c>
      <c r="V510" s="13" t="s">
        <v>187</v>
      </c>
      <c r="W510" s="17"/>
      <c r="X510" s="13"/>
      <c r="Y510" s="13" t="s">
        <v>1178</v>
      </c>
      <c r="Z510" s="13" t="s">
        <v>212</v>
      </c>
      <c r="AA510" s="13" t="s">
        <v>213</v>
      </c>
      <c r="AB510" s="13" t="s">
        <v>3141</v>
      </c>
      <c r="AC510" s="18" t="n">
        <v>12.52</v>
      </c>
      <c r="AD510" s="13" t="s">
        <v>190</v>
      </c>
      <c r="AE510" s="19" t="str">
        <f aca="false">IF(OR(AE509="",AE511=""),"",ROUND(AE509+(AE511-AE509)*(G510-G509)/(G511-G509),2))</f>
        <v/>
      </c>
      <c r="AF510" s="19" t="n">
        <f aca="false">IF(OR(AF509="",AF511=""),"",ROUND(AF509+(AF511-AF509)*(G510-G509)/(G511-G509),2))</f>
        <v>1.97</v>
      </c>
      <c r="AG510" s="19" t="n">
        <f aca="false">IF(OR(AG509="",AG511=""),"",ROUND(AG509+(AG511-AG509)*(G510-G509)/(G511-G509),2))</f>
        <v>2.45</v>
      </c>
      <c r="AH510" s="13" t="s">
        <v>3142</v>
      </c>
      <c r="AI510" s="17" t="n">
        <f aca="false">IF(OR(AC510="",AF510="",Settings!$B$5=""),"",ROUND(AC510-AF510*Settings!$B$5,2))</f>
        <v>5.31</v>
      </c>
      <c r="AJ510" s="13" t="s">
        <v>192</v>
      </c>
      <c r="AK510" s="13" t="s">
        <v>193</v>
      </c>
      <c r="AL510" s="14" t="s">
        <v>3120</v>
      </c>
      <c r="AM510" s="13" t="s">
        <v>1147</v>
      </c>
      <c r="AN510" s="15"/>
      <c r="AO510" s="13"/>
      <c r="AP510" s="13" t="s">
        <v>196</v>
      </c>
      <c r="AQ510" s="16" t="n">
        <f aca="false">IFERROR(IF(AND(INDEX(Mob_Demob!$D$6:$D$14,MATCH(AM510,Mob_Demob!$A$6:$A$14,0))="",INDEX(Mob_Demob!$G$6:$G$14,MATCH(AM510,Mob_Demob!$A$6:$A$14,0))=""),"",ROUND(MAX(N(INDEX(Mob_Demob!$G$6:$G$14,MATCH(AM510,Mob_Demob!$A$6:$A$14,0))),N(INDEX(Mob_Demob!$D$6:$D$14,MATCH(AM510,Mob_Demob!$A$6:$A$14,0)))*Settings!$B$6)+IF(AP510="Y",N(INDEX(Mob_Demob!$I$6:$I$14,MATCH(AM510,Mob_Demob!$A$6:$A$14,0)))*Settings!$B$19,0)+N(INDEX(Mob_Demob!$L$6:$L$14,MATCH(AM510,Mob_Demob!$A$6:$A$14,0)))*N(INDEX(Mob_Demob!$K$6:$K$14,MATCH(AM510,Mob_Demob!$A$6:$A$14,0)))*Settings!$B$6+N(INDEX(Mob_Demob!$M$6:$M$14,MATCH(AM510,Mob_Demob!$A$6:$A$14,0)))*N(INDEX(Mob_Demob!$N$6:$N$14,MATCH(AM510,Mob_Demob!$A$6:$A$14,0))),0)),"")</f>
        <v>200</v>
      </c>
      <c r="AR510" s="16" t="n">
        <f aca="false">IF(AQ510="","",ROUND(AQ510*Settings!$B$18,0))</f>
        <v>200</v>
      </c>
      <c r="AS510" s="13" t="s">
        <v>3121</v>
      </c>
      <c r="AT510" s="14" t="s">
        <v>3143</v>
      </c>
      <c r="AU510" s="14" t="s">
        <v>3133</v>
      </c>
    </row>
    <row r="511" customFormat="false" ht="53.7" hidden="false" customHeight="false" outlineLevel="0" collapsed="false">
      <c r="A511" s="21" t="s">
        <v>3144</v>
      </c>
      <c r="B511" s="21" t="s">
        <v>3053</v>
      </c>
      <c r="C511" s="21" t="s">
        <v>3115</v>
      </c>
      <c r="D511" s="21" t="s">
        <v>3064</v>
      </c>
      <c r="E511" s="22" t="s">
        <v>3145</v>
      </c>
      <c r="F511" s="13" t="s">
        <v>3117</v>
      </c>
      <c r="G511" s="13" t="n">
        <v>80</v>
      </c>
      <c r="H511" s="13" t="s">
        <v>3118</v>
      </c>
      <c r="I511" s="14"/>
      <c r="J511" s="15"/>
      <c r="K511" s="13"/>
      <c r="L511" s="13" t="s">
        <v>3145</v>
      </c>
      <c r="M511" s="13"/>
      <c r="N511" s="13" t="s">
        <v>184</v>
      </c>
      <c r="O511" s="13" t="s">
        <v>1844</v>
      </c>
      <c r="P511" s="13" t="s">
        <v>186</v>
      </c>
      <c r="Q511" s="20" t="n">
        <v>395</v>
      </c>
      <c r="R511" s="20" t="n">
        <v>1185</v>
      </c>
      <c r="S511" s="20" t="n">
        <v>3555</v>
      </c>
      <c r="T511" s="16"/>
      <c r="U511" s="16"/>
      <c r="V511" s="13" t="s">
        <v>187</v>
      </c>
      <c r="W511" s="17"/>
      <c r="X511" s="13"/>
      <c r="Y511" s="13" t="s">
        <v>722</v>
      </c>
      <c r="Z511" s="13" t="s">
        <v>723</v>
      </c>
      <c r="AA511" s="13" t="s">
        <v>192</v>
      </c>
      <c r="AB511" s="13"/>
      <c r="AC511" s="17"/>
      <c r="AD511" s="13"/>
      <c r="AE511" s="19"/>
      <c r="AF511" s="19" t="n">
        <v>3.17</v>
      </c>
      <c r="AG511" s="19" t="n">
        <v>4.51</v>
      </c>
      <c r="AH511" s="13" t="s">
        <v>3146</v>
      </c>
      <c r="AI511" s="17"/>
      <c r="AJ511" s="13" t="s">
        <v>188</v>
      </c>
      <c r="AK511" s="13" t="s">
        <v>188</v>
      </c>
      <c r="AL511" s="14" t="s">
        <v>3120</v>
      </c>
      <c r="AM511" s="13" t="s">
        <v>1147</v>
      </c>
      <c r="AN511" s="15"/>
      <c r="AO511" s="13"/>
      <c r="AP511" s="13" t="s">
        <v>196</v>
      </c>
      <c r="AQ511" s="16" t="n">
        <f aca="false">IFERROR(IF(AND(INDEX(Mob_Demob!$D$6:$D$14,MATCH(AM511,Mob_Demob!$A$6:$A$14,0))="",INDEX(Mob_Demob!$G$6:$G$14,MATCH(AM511,Mob_Demob!$A$6:$A$14,0))=""),"",ROUND(MAX(N(INDEX(Mob_Demob!$G$6:$G$14,MATCH(AM511,Mob_Demob!$A$6:$A$14,0))),N(INDEX(Mob_Demob!$D$6:$D$14,MATCH(AM511,Mob_Demob!$A$6:$A$14,0)))*Settings!$B$6)+IF(AP511="Y",N(INDEX(Mob_Demob!$I$6:$I$14,MATCH(AM511,Mob_Demob!$A$6:$A$14,0)))*Settings!$B$19,0)+N(INDEX(Mob_Demob!$L$6:$L$14,MATCH(AM511,Mob_Demob!$A$6:$A$14,0)))*N(INDEX(Mob_Demob!$K$6:$K$14,MATCH(AM511,Mob_Demob!$A$6:$A$14,0)))*Settings!$B$6+N(INDEX(Mob_Demob!$M$6:$M$14,MATCH(AM511,Mob_Demob!$A$6:$A$14,0)))*N(INDEX(Mob_Demob!$N$6:$N$14,MATCH(AM511,Mob_Demob!$A$6:$A$14,0))),0)),"")</f>
        <v>200</v>
      </c>
      <c r="AR511" s="16" t="n">
        <f aca="false">IF(AQ511="","",ROUND(AQ511*Settings!$B$18,0))</f>
        <v>200</v>
      </c>
      <c r="AS511" s="13" t="s">
        <v>3121</v>
      </c>
      <c r="AT511" s="14" t="s">
        <v>3147</v>
      </c>
      <c r="AU511" s="14" t="s">
        <v>341</v>
      </c>
    </row>
    <row r="512" customFormat="false" ht="53.7" hidden="false" customHeight="false" outlineLevel="0" collapsed="false">
      <c r="A512" s="21" t="s">
        <v>3148</v>
      </c>
      <c r="B512" s="21" t="s">
        <v>3053</v>
      </c>
      <c r="C512" s="21" t="s">
        <v>3115</v>
      </c>
      <c r="D512" s="21" t="s">
        <v>3064</v>
      </c>
      <c r="E512" s="22" t="s">
        <v>3149</v>
      </c>
      <c r="F512" s="13" t="s">
        <v>3117</v>
      </c>
      <c r="G512" s="13" t="n">
        <v>100</v>
      </c>
      <c r="H512" s="13" t="s">
        <v>3118</v>
      </c>
      <c r="I512" s="14"/>
      <c r="J512" s="15"/>
      <c r="K512" s="13"/>
      <c r="L512" s="13" t="s">
        <v>3149</v>
      </c>
      <c r="M512" s="13"/>
      <c r="N512" s="13" t="s">
        <v>184</v>
      </c>
      <c r="O512" s="13" t="s">
        <v>1844</v>
      </c>
      <c r="P512" s="13" t="s">
        <v>186</v>
      </c>
      <c r="Q512" s="20" t="n">
        <v>506</v>
      </c>
      <c r="R512" s="20" t="n">
        <v>1518</v>
      </c>
      <c r="S512" s="20" t="n">
        <v>4554</v>
      </c>
      <c r="T512" s="16"/>
      <c r="U512" s="16"/>
      <c r="V512" s="13" t="s">
        <v>187</v>
      </c>
      <c r="W512" s="17"/>
      <c r="X512" s="13"/>
      <c r="Y512" s="13" t="s">
        <v>259</v>
      </c>
      <c r="Z512" s="13" t="s">
        <v>260</v>
      </c>
      <c r="AA512" s="13" t="s">
        <v>192</v>
      </c>
      <c r="AB512" s="13" t="s">
        <v>3150</v>
      </c>
      <c r="AC512" s="18" t="n">
        <v>60.69</v>
      </c>
      <c r="AD512" s="13" t="s">
        <v>190</v>
      </c>
      <c r="AE512" s="19" t="str">
        <f aca="false">IF(OR(AE511="",AE513=""),"",ROUND(AE511+(AE513-AE511)*(G512-G511)/(G513-G511),2))</f>
        <v/>
      </c>
      <c r="AF512" s="19" t="n">
        <f aca="false">IF(OR(AF511="",AF513=""),"",ROUND(AF511+(AF513-AF511)*(G512-G511)/(G513-G511),2))</f>
        <v>4.08</v>
      </c>
      <c r="AG512" s="19" t="n">
        <f aca="false">IF(OR(AG511="",AG513=""),"",ROUND(AG511+(AG513-AG511)*(G512-G511)/(G513-G511),2))</f>
        <v>5.62</v>
      </c>
      <c r="AH512" s="13" t="s">
        <v>3151</v>
      </c>
      <c r="AI512" s="17" t="n">
        <f aca="false">IF(OR(AC512="",AF512="",Settings!$B$5=""),"",ROUND(AC512-AF512*Settings!$B$5,2))</f>
        <v>45.76</v>
      </c>
      <c r="AJ512" s="13" t="s">
        <v>192</v>
      </c>
      <c r="AK512" s="13" t="s">
        <v>193</v>
      </c>
      <c r="AL512" s="14" t="s">
        <v>3120</v>
      </c>
      <c r="AM512" s="13" t="s">
        <v>1147</v>
      </c>
      <c r="AN512" s="15"/>
      <c r="AO512" s="13"/>
      <c r="AP512" s="13" t="s">
        <v>196</v>
      </c>
      <c r="AQ512" s="16" t="n">
        <f aca="false">IFERROR(IF(AND(INDEX(Mob_Demob!$D$6:$D$14,MATCH(AM512,Mob_Demob!$A$6:$A$14,0))="",INDEX(Mob_Demob!$G$6:$G$14,MATCH(AM512,Mob_Demob!$A$6:$A$14,0))=""),"",ROUND(MAX(N(INDEX(Mob_Demob!$G$6:$G$14,MATCH(AM512,Mob_Demob!$A$6:$A$14,0))),N(INDEX(Mob_Demob!$D$6:$D$14,MATCH(AM512,Mob_Demob!$A$6:$A$14,0)))*Settings!$B$6)+IF(AP512="Y",N(INDEX(Mob_Demob!$I$6:$I$14,MATCH(AM512,Mob_Demob!$A$6:$A$14,0)))*Settings!$B$19,0)+N(INDEX(Mob_Demob!$L$6:$L$14,MATCH(AM512,Mob_Demob!$A$6:$A$14,0)))*N(INDEX(Mob_Demob!$K$6:$K$14,MATCH(AM512,Mob_Demob!$A$6:$A$14,0)))*Settings!$B$6+N(INDEX(Mob_Demob!$M$6:$M$14,MATCH(AM512,Mob_Demob!$A$6:$A$14,0)))*N(INDEX(Mob_Demob!$N$6:$N$14,MATCH(AM512,Mob_Demob!$A$6:$A$14,0))),0)),"")</f>
        <v>200</v>
      </c>
      <c r="AR512" s="16" t="n">
        <f aca="false">IF(AQ512="","",ROUND(AQ512*Settings!$B$18,0))</f>
        <v>200</v>
      </c>
      <c r="AS512" s="13" t="s">
        <v>3121</v>
      </c>
      <c r="AT512" s="14" t="s">
        <v>3152</v>
      </c>
      <c r="AU512" s="14"/>
    </row>
    <row r="513" customFormat="false" ht="53.7" hidden="false" customHeight="false" outlineLevel="0" collapsed="false">
      <c r="A513" s="21" t="s">
        <v>3153</v>
      </c>
      <c r="B513" s="21" t="s">
        <v>3053</v>
      </c>
      <c r="C513" s="21" t="s">
        <v>3115</v>
      </c>
      <c r="D513" s="21" t="s">
        <v>3064</v>
      </c>
      <c r="E513" s="22" t="s">
        <v>3154</v>
      </c>
      <c r="F513" s="13" t="s">
        <v>3117</v>
      </c>
      <c r="G513" s="13" t="n">
        <v>125</v>
      </c>
      <c r="H513" s="13" t="s">
        <v>3118</v>
      </c>
      <c r="I513" s="14"/>
      <c r="J513" s="15"/>
      <c r="K513" s="13"/>
      <c r="L513" s="13" t="s">
        <v>3154</v>
      </c>
      <c r="M513" s="13"/>
      <c r="N513" s="13" t="s">
        <v>184</v>
      </c>
      <c r="O513" s="13" t="s">
        <v>1844</v>
      </c>
      <c r="P513" s="13" t="s">
        <v>186</v>
      </c>
      <c r="Q513" s="20" t="n">
        <v>569</v>
      </c>
      <c r="R513" s="20" t="n">
        <v>1649</v>
      </c>
      <c r="S513" s="20" t="n">
        <v>4782</v>
      </c>
      <c r="T513" s="16"/>
      <c r="U513" s="16"/>
      <c r="V513" s="13" t="s">
        <v>187</v>
      </c>
      <c r="W513" s="17"/>
      <c r="X513" s="13"/>
      <c r="Y513" s="13" t="s">
        <v>259</v>
      </c>
      <c r="Z513" s="13" t="s">
        <v>260</v>
      </c>
      <c r="AA513" s="13" t="s">
        <v>192</v>
      </c>
      <c r="AB513" s="13"/>
      <c r="AC513" s="17"/>
      <c r="AD513" s="13"/>
      <c r="AE513" s="19" t="n">
        <v>3.6</v>
      </c>
      <c r="AF513" s="19" t="n">
        <v>5.225</v>
      </c>
      <c r="AG513" s="19" t="n">
        <v>7</v>
      </c>
      <c r="AH513" s="13" t="s">
        <v>3155</v>
      </c>
      <c r="AI513" s="17"/>
      <c r="AJ513" s="13" t="s">
        <v>188</v>
      </c>
      <c r="AK513" s="13" t="s">
        <v>188</v>
      </c>
      <c r="AL513" s="14" t="s">
        <v>3120</v>
      </c>
      <c r="AM513" s="13" t="s">
        <v>1147</v>
      </c>
      <c r="AN513" s="15"/>
      <c r="AO513" s="13"/>
      <c r="AP513" s="13" t="s">
        <v>196</v>
      </c>
      <c r="AQ513" s="16" t="n">
        <f aca="false">IFERROR(IF(AND(INDEX(Mob_Demob!$D$6:$D$14,MATCH(AM513,Mob_Demob!$A$6:$A$14,0))="",INDEX(Mob_Demob!$G$6:$G$14,MATCH(AM513,Mob_Demob!$A$6:$A$14,0))=""),"",ROUND(MAX(N(INDEX(Mob_Demob!$G$6:$G$14,MATCH(AM513,Mob_Demob!$A$6:$A$14,0))),N(INDEX(Mob_Demob!$D$6:$D$14,MATCH(AM513,Mob_Demob!$A$6:$A$14,0)))*Settings!$B$6)+IF(AP513="Y",N(INDEX(Mob_Demob!$I$6:$I$14,MATCH(AM513,Mob_Demob!$A$6:$A$14,0)))*Settings!$B$19,0)+N(INDEX(Mob_Demob!$L$6:$L$14,MATCH(AM513,Mob_Demob!$A$6:$A$14,0)))*N(INDEX(Mob_Demob!$K$6:$K$14,MATCH(AM513,Mob_Demob!$A$6:$A$14,0)))*Settings!$B$6+N(INDEX(Mob_Demob!$M$6:$M$14,MATCH(AM513,Mob_Demob!$A$6:$A$14,0)))*N(INDEX(Mob_Demob!$N$6:$N$14,MATCH(AM513,Mob_Demob!$A$6:$A$14,0))),0)),"")</f>
        <v>200</v>
      </c>
      <c r="AR513" s="16" t="n">
        <f aca="false">IF(AQ513="","",ROUND(AQ513*Settings!$B$18,0))</f>
        <v>200</v>
      </c>
      <c r="AS513" s="13" t="s">
        <v>3121</v>
      </c>
      <c r="AT513" s="14" t="s">
        <v>3156</v>
      </c>
      <c r="AU513" s="14" t="s">
        <v>341</v>
      </c>
    </row>
    <row r="514" customFormat="false" ht="53.7" hidden="false" customHeight="false" outlineLevel="0" collapsed="false">
      <c r="A514" s="21" t="s">
        <v>3157</v>
      </c>
      <c r="B514" s="21" t="s">
        <v>3053</v>
      </c>
      <c r="C514" s="21" t="s">
        <v>3115</v>
      </c>
      <c r="D514" s="21" t="s">
        <v>3064</v>
      </c>
      <c r="E514" s="22" t="s">
        <v>3158</v>
      </c>
      <c r="F514" s="13" t="s">
        <v>3117</v>
      </c>
      <c r="G514" s="13" t="n">
        <v>150</v>
      </c>
      <c r="H514" s="13" t="s">
        <v>3118</v>
      </c>
      <c r="I514" s="14"/>
      <c r="J514" s="15"/>
      <c r="K514" s="13"/>
      <c r="L514" s="13" t="s">
        <v>3158</v>
      </c>
      <c r="M514" s="13"/>
      <c r="N514" s="13" t="s">
        <v>184</v>
      </c>
      <c r="O514" s="13" t="s">
        <v>1844</v>
      </c>
      <c r="P514" s="13" t="s">
        <v>186</v>
      </c>
      <c r="Q514" s="16" t="n">
        <f aca="false">ROUND(Q513+(Q515-Q513)*(G514-G513)/(G515-G513),0)</f>
        <v>629</v>
      </c>
      <c r="R514" s="16" t="n">
        <f aca="false">ROUND(R513+(R515-R513)*(G514-G513)/(G515-G513),0)</f>
        <v>1849</v>
      </c>
      <c r="S514" s="16" t="n">
        <f aca="false">ROUND(S513+(S515-S513)*(G514-G513)/(G515-G513),0)</f>
        <v>5436</v>
      </c>
      <c r="T514" s="16"/>
      <c r="U514" s="16"/>
      <c r="V514" s="13" t="s">
        <v>187</v>
      </c>
      <c r="W514" s="17"/>
      <c r="X514" s="13"/>
      <c r="Y514" s="13" t="s">
        <v>259</v>
      </c>
      <c r="Z514" s="13" t="s">
        <v>260</v>
      </c>
      <c r="AA514" s="13" t="s">
        <v>193</v>
      </c>
      <c r="AB514" s="13" t="s">
        <v>3159</v>
      </c>
      <c r="AC514" s="18" t="n">
        <v>84.66</v>
      </c>
      <c r="AD514" s="13" t="s">
        <v>190</v>
      </c>
      <c r="AE514" s="19" t="n">
        <v>4.6</v>
      </c>
      <c r="AF514" s="19" t="n">
        <v>6.4</v>
      </c>
      <c r="AG514" s="19" t="n">
        <v>8.2</v>
      </c>
      <c r="AH514" s="13" t="s">
        <v>3160</v>
      </c>
      <c r="AI514" s="17" t="n">
        <f aca="false">IF(OR(AC514="",AF514="",Settings!$B$5=""),"",ROUND(AC514-AF514*Settings!$B$5,2))</f>
        <v>61.24</v>
      </c>
      <c r="AJ514" s="13" t="s">
        <v>192</v>
      </c>
      <c r="AK514" s="13" t="s">
        <v>193</v>
      </c>
      <c r="AL514" s="14" t="s">
        <v>3120</v>
      </c>
      <c r="AM514" s="13" t="s">
        <v>507</v>
      </c>
      <c r="AN514" s="15"/>
      <c r="AO514" s="13"/>
      <c r="AP514" s="13" t="s">
        <v>196</v>
      </c>
      <c r="AQ514" s="16" t="n">
        <f aca="false">IFERROR(IF(AND(INDEX(Mob_Demob!$D$6:$D$14,MATCH(AM514,Mob_Demob!$A$6:$A$14,0))="",INDEX(Mob_Demob!$G$6:$G$14,MATCH(AM514,Mob_Demob!$A$6:$A$14,0))=""),"",ROUND(MAX(N(INDEX(Mob_Demob!$G$6:$G$14,MATCH(AM514,Mob_Demob!$A$6:$A$14,0))),N(INDEX(Mob_Demob!$D$6:$D$14,MATCH(AM514,Mob_Demob!$A$6:$A$14,0)))*Settings!$B$6)+IF(AP514="Y",N(INDEX(Mob_Demob!$I$6:$I$14,MATCH(AM514,Mob_Demob!$A$6:$A$14,0)))*Settings!$B$19,0)+N(INDEX(Mob_Demob!$L$6:$L$14,MATCH(AM514,Mob_Demob!$A$6:$A$14,0)))*N(INDEX(Mob_Demob!$K$6:$K$14,MATCH(AM514,Mob_Demob!$A$6:$A$14,0)))*Settings!$B$6+N(INDEX(Mob_Demob!$M$6:$M$14,MATCH(AM514,Mob_Demob!$A$6:$A$14,0)))*N(INDEX(Mob_Demob!$N$6:$N$14,MATCH(AM514,Mob_Demob!$A$6:$A$14,0))),0)),"")</f>
        <v>400</v>
      </c>
      <c r="AR514" s="16" t="n">
        <f aca="false">IF(AQ514="","",ROUND(AQ514*Settings!$B$18,0))</f>
        <v>400</v>
      </c>
      <c r="AS514" s="13" t="s">
        <v>3121</v>
      </c>
      <c r="AT514" s="14" t="s">
        <v>3161</v>
      </c>
      <c r="AU514" s="14"/>
    </row>
    <row r="515" customFormat="false" ht="53.7" hidden="false" customHeight="false" outlineLevel="0" collapsed="false">
      <c r="A515" s="21" t="s">
        <v>3162</v>
      </c>
      <c r="B515" s="21" t="s">
        <v>3053</v>
      </c>
      <c r="C515" s="21" t="s">
        <v>3115</v>
      </c>
      <c r="D515" s="21" t="s">
        <v>3064</v>
      </c>
      <c r="E515" s="22" t="s">
        <v>3163</v>
      </c>
      <c r="F515" s="13" t="s">
        <v>3117</v>
      </c>
      <c r="G515" s="13" t="n">
        <v>200</v>
      </c>
      <c r="H515" s="13" t="s">
        <v>3118</v>
      </c>
      <c r="I515" s="14"/>
      <c r="J515" s="15"/>
      <c r="K515" s="13"/>
      <c r="L515" s="13" t="s">
        <v>3163</v>
      </c>
      <c r="M515" s="13"/>
      <c r="N515" s="13" t="s">
        <v>184</v>
      </c>
      <c r="O515" s="13" t="s">
        <v>1844</v>
      </c>
      <c r="P515" s="13" t="s">
        <v>186</v>
      </c>
      <c r="Q515" s="20" t="n">
        <v>749</v>
      </c>
      <c r="R515" s="20" t="n">
        <v>2248</v>
      </c>
      <c r="S515" s="20" t="n">
        <v>6743</v>
      </c>
      <c r="T515" s="16"/>
      <c r="U515" s="16"/>
      <c r="V515" s="13" t="s">
        <v>187</v>
      </c>
      <c r="W515" s="17"/>
      <c r="X515" s="13"/>
      <c r="Y515" s="13" t="s">
        <v>259</v>
      </c>
      <c r="Z515" s="13" t="s">
        <v>260</v>
      </c>
      <c r="AA515" s="13" t="s">
        <v>192</v>
      </c>
      <c r="AB515" s="13"/>
      <c r="AC515" s="17"/>
      <c r="AD515" s="13"/>
      <c r="AE515" s="19" t="n">
        <v>4.4</v>
      </c>
      <c r="AF515" s="19" t="n">
        <v>7.2</v>
      </c>
      <c r="AG515" s="19" t="n">
        <v>10.4</v>
      </c>
      <c r="AH515" s="13" t="s">
        <v>3164</v>
      </c>
      <c r="AI515" s="17"/>
      <c r="AJ515" s="13" t="s">
        <v>188</v>
      </c>
      <c r="AK515" s="13" t="s">
        <v>188</v>
      </c>
      <c r="AL515" s="14" t="s">
        <v>3120</v>
      </c>
      <c r="AM515" s="13" t="s">
        <v>507</v>
      </c>
      <c r="AN515" s="15"/>
      <c r="AO515" s="13"/>
      <c r="AP515" s="13" t="s">
        <v>196</v>
      </c>
      <c r="AQ515" s="16" t="n">
        <f aca="false">IFERROR(IF(AND(INDEX(Mob_Demob!$D$6:$D$14,MATCH(AM515,Mob_Demob!$A$6:$A$14,0))="",INDEX(Mob_Demob!$G$6:$G$14,MATCH(AM515,Mob_Demob!$A$6:$A$14,0))=""),"",ROUND(MAX(N(INDEX(Mob_Demob!$G$6:$G$14,MATCH(AM515,Mob_Demob!$A$6:$A$14,0))),N(INDEX(Mob_Demob!$D$6:$D$14,MATCH(AM515,Mob_Demob!$A$6:$A$14,0)))*Settings!$B$6)+IF(AP515="Y",N(INDEX(Mob_Demob!$I$6:$I$14,MATCH(AM515,Mob_Demob!$A$6:$A$14,0)))*Settings!$B$19,0)+N(INDEX(Mob_Demob!$L$6:$L$14,MATCH(AM515,Mob_Demob!$A$6:$A$14,0)))*N(INDEX(Mob_Demob!$K$6:$K$14,MATCH(AM515,Mob_Demob!$A$6:$A$14,0)))*Settings!$B$6+N(INDEX(Mob_Demob!$M$6:$M$14,MATCH(AM515,Mob_Demob!$A$6:$A$14,0)))*N(INDEX(Mob_Demob!$N$6:$N$14,MATCH(AM515,Mob_Demob!$A$6:$A$14,0))),0)),"")</f>
        <v>400</v>
      </c>
      <c r="AR515" s="16" t="n">
        <f aca="false">IF(AQ515="","",ROUND(AQ515*Settings!$B$18,0))</f>
        <v>400</v>
      </c>
      <c r="AS515" s="13" t="s">
        <v>3121</v>
      </c>
      <c r="AT515" s="14" t="s">
        <v>3156</v>
      </c>
      <c r="AU515" s="14" t="s">
        <v>341</v>
      </c>
    </row>
    <row r="516" customFormat="false" ht="53.7" hidden="false" customHeight="false" outlineLevel="0" collapsed="false">
      <c r="A516" s="21" t="s">
        <v>3165</v>
      </c>
      <c r="B516" s="21" t="s">
        <v>3053</v>
      </c>
      <c r="C516" s="21" t="s">
        <v>3115</v>
      </c>
      <c r="D516" s="21" t="s">
        <v>3064</v>
      </c>
      <c r="E516" s="22" t="s">
        <v>3166</v>
      </c>
      <c r="F516" s="13" t="s">
        <v>3117</v>
      </c>
      <c r="G516" s="13" t="n">
        <v>225</v>
      </c>
      <c r="H516" s="13" t="s">
        <v>3118</v>
      </c>
      <c r="I516" s="14"/>
      <c r="J516" s="15"/>
      <c r="K516" s="13"/>
      <c r="L516" s="13" t="s">
        <v>3166</v>
      </c>
      <c r="M516" s="13"/>
      <c r="N516" s="13" t="s">
        <v>184</v>
      </c>
      <c r="O516" s="13" t="s">
        <v>1844</v>
      </c>
      <c r="P516" s="13" t="s">
        <v>186</v>
      </c>
      <c r="Q516" s="16"/>
      <c r="R516" s="16"/>
      <c r="S516" s="16"/>
      <c r="T516" s="16"/>
      <c r="U516" s="16"/>
      <c r="V516" s="13" t="s">
        <v>187</v>
      </c>
      <c r="W516" s="17"/>
      <c r="X516" s="13"/>
      <c r="Y516" s="13"/>
      <c r="Z516" s="13"/>
      <c r="AA516" s="13" t="s">
        <v>188</v>
      </c>
      <c r="AB516" s="13" t="s">
        <v>3167</v>
      </c>
      <c r="AC516" s="18" t="n">
        <v>117.25</v>
      </c>
      <c r="AD516" s="13" t="s">
        <v>190</v>
      </c>
      <c r="AE516" s="19" t="n">
        <f aca="false">IF(OR(AE515="",AE517=""),"",ROUND(AE515+(AE517-AE515)*(G516-G515)/(G517-G515),2))</f>
        <v>4.65</v>
      </c>
      <c r="AF516" s="19" t="n">
        <f aca="false">IF(OR(AF515="",AF517=""),"",ROUND(AF515+(AF517-AF515)*(G516-G515)/(G517-G515),2))</f>
        <v>7.8</v>
      </c>
      <c r="AG516" s="19" t="n">
        <f aca="false">IF(OR(AG515="",AG517=""),"",ROUND(AG515+(AG517-AG515)*(G516-G515)/(G517-G515),2))</f>
        <v>11.15</v>
      </c>
      <c r="AH516" s="13" t="s">
        <v>3168</v>
      </c>
      <c r="AI516" s="17" t="n">
        <f aca="false">IF(OR(AC516="",AF516="",Settings!$B$5=""),"",ROUND(AC516-AF516*Settings!$B$5,2))</f>
        <v>88.7</v>
      </c>
      <c r="AJ516" s="13" t="s">
        <v>192</v>
      </c>
      <c r="AK516" s="13" t="s">
        <v>193</v>
      </c>
      <c r="AL516" s="14" t="s">
        <v>3120</v>
      </c>
      <c r="AM516" s="13" t="s">
        <v>507</v>
      </c>
      <c r="AN516" s="15"/>
      <c r="AO516" s="13"/>
      <c r="AP516" s="13" t="s">
        <v>196</v>
      </c>
      <c r="AQ516" s="16" t="n">
        <f aca="false">IFERROR(IF(AND(INDEX(Mob_Demob!$D$6:$D$14,MATCH(AM516,Mob_Demob!$A$6:$A$14,0))="",INDEX(Mob_Demob!$G$6:$G$14,MATCH(AM516,Mob_Demob!$A$6:$A$14,0))=""),"",ROUND(MAX(N(INDEX(Mob_Demob!$G$6:$G$14,MATCH(AM516,Mob_Demob!$A$6:$A$14,0))),N(INDEX(Mob_Demob!$D$6:$D$14,MATCH(AM516,Mob_Demob!$A$6:$A$14,0)))*Settings!$B$6)+IF(AP516="Y",N(INDEX(Mob_Demob!$I$6:$I$14,MATCH(AM516,Mob_Demob!$A$6:$A$14,0)))*Settings!$B$19,0)+N(INDEX(Mob_Demob!$L$6:$L$14,MATCH(AM516,Mob_Demob!$A$6:$A$14,0)))*N(INDEX(Mob_Demob!$K$6:$K$14,MATCH(AM516,Mob_Demob!$A$6:$A$14,0)))*Settings!$B$6+N(INDEX(Mob_Demob!$M$6:$M$14,MATCH(AM516,Mob_Demob!$A$6:$A$14,0)))*N(INDEX(Mob_Demob!$N$6:$N$14,MATCH(AM516,Mob_Demob!$A$6:$A$14,0))),0)),"")</f>
        <v>400</v>
      </c>
      <c r="AR516" s="16" t="n">
        <f aca="false">IF(AQ516="","",ROUND(AQ516*Settings!$B$18,0))</f>
        <v>400</v>
      </c>
      <c r="AS516" s="13" t="s">
        <v>3121</v>
      </c>
      <c r="AT516" s="14" t="s">
        <v>3169</v>
      </c>
      <c r="AU516" s="14" t="s">
        <v>199</v>
      </c>
    </row>
    <row r="517" customFormat="false" ht="53.7" hidden="false" customHeight="false" outlineLevel="0" collapsed="false">
      <c r="A517" s="21" t="s">
        <v>3170</v>
      </c>
      <c r="B517" s="21" t="s">
        <v>3053</v>
      </c>
      <c r="C517" s="21" t="s">
        <v>3115</v>
      </c>
      <c r="D517" s="21" t="s">
        <v>3064</v>
      </c>
      <c r="E517" s="22" t="s">
        <v>3171</v>
      </c>
      <c r="F517" s="13" t="s">
        <v>3117</v>
      </c>
      <c r="G517" s="13" t="n">
        <v>300</v>
      </c>
      <c r="H517" s="13" t="s">
        <v>3118</v>
      </c>
      <c r="I517" s="14"/>
      <c r="J517" s="15"/>
      <c r="K517" s="13"/>
      <c r="L517" s="13" t="s">
        <v>3171</v>
      </c>
      <c r="M517" s="13"/>
      <c r="N517" s="13" t="s">
        <v>184</v>
      </c>
      <c r="O517" s="13" t="s">
        <v>1844</v>
      </c>
      <c r="P517" s="13" t="s">
        <v>186</v>
      </c>
      <c r="Q517" s="20" t="n">
        <v>1050</v>
      </c>
      <c r="R517" s="20" t="n">
        <v>3150</v>
      </c>
      <c r="S517" s="20" t="n">
        <v>9450</v>
      </c>
      <c r="T517" s="16"/>
      <c r="U517" s="16"/>
      <c r="V517" s="13" t="s">
        <v>187</v>
      </c>
      <c r="W517" s="17"/>
      <c r="X517" s="13"/>
      <c r="Y517" s="13" t="s">
        <v>259</v>
      </c>
      <c r="Z517" s="13" t="s">
        <v>260</v>
      </c>
      <c r="AA517" s="13" t="s">
        <v>192</v>
      </c>
      <c r="AB517" s="13" t="s">
        <v>3172</v>
      </c>
      <c r="AC517" s="18" t="n">
        <v>154.14</v>
      </c>
      <c r="AD517" s="13" t="s">
        <v>190</v>
      </c>
      <c r="AE517" s="19" t="n">
        <v>5.4</v>
      </c>
      <c r="AF517" s="19" t="n">
        <v>9.6</v>
      </c>
      <c r="AG517" s="19" t="n">
        <v>13.4</v>
      </c>
      <c r="AH517" s="13" t="s">
        <v>3173</v>
      </c>
      <c r="AI517" s="17" t="n">
        <f aca="false">IF(OR(AC517="",AF517="",Settings!$B$5=""),"",ROUND(AC517-AF517*Settings!$B$5,2))</f>
        <v>119</v>
      </c>
      <c r="AJ517" s="13" t="s">
        <v>192</v>
      </c>
      <c r="AK517" s="13" t="s">
        <v>193</v>
      </c>
      <c r="AL517" s="14" t="s">
        <v>3120</v>
      </c>
      <c r="AM517" s="13" t="s">
        <v>507</v>
      </c>
      <c r="AN517" s="15"/>
      <c r="AO517" s="13"/>
      <c r="AP517" s="13" t="s">
        <v>196</v>
      </c>
      <c r="AQ517" s="16" t="n">
        <f aca="false">IFERROR(IF(AND(INDEX(Mob_Demob!$D$6:$D$14,MATCH(AM517,Mob_Demob!$A$6:$A$14,0))="",INDEX(Mob_Demob!$G$6:$G$14,MATCH(AM517,Mob_Demob!$A$6:$A$14,0))=""),"",ROUND(MAX(N(INDEX(Mob_Demob!$G$6:$G$14,MATCH(AM517,Mob_Demob!$A$6:$A$14,0))),N(INDEX(Mob_Demob!$D$6:$D$14,MATCH(AM517,Mob_Demob!$A$6:$A$14,0)))*Settings!$B$6)+IF(AP517="Y",N(INDEX(Mob_Demob!$I$6:$I$14,MATCH(AM517,Mob_Demob!$A$6:$A$14,0)))*Settings!$B$19,0)+N(INDEX(Mob_Demob!$L$6:$L$14,MATCH(AM517,Mob_Demob!$A$6:$A$14,0)))*N(INDEX(Mob_Demob!$K$6:$K$14,MATCH(AM517,Mob_Demob!$A$6:$A$14,0)))*Settings!$B$6+N(INDEX(Mob_Demob!$M$6:$M$14,MATCH(AM517,Mob_Demob!$A$6:$A$14,0)))*N(INDEX(Mob_Demob!$N$6:$N$14,MATCH(AM517,Mob_Demob!$A$6:$A$14,0))),0)),"")</f>
        <v>400</v>
      </c>
      <c r="AR517" s="16" t="n">
        <f aca="false">IF(AQ517="","",ROUND(AQ517*Settings!$B$18,0))</f>
        <v>400</v>
      </c>
      <c r="AS517" s="13" t="s">
        <v>3121</v>
      </c>
      <c r="AT517" s="14" t="s">
        <v>3174</v>
      </c>
      <c r="AU517" s="14"/>
    </row>
    <row r="518" customFormat="false" ht="53.7" hidden="false" customHeight="false" outlineLevel="0" collapsed="false">
      <c r="A518" s="21" t="s">
        <v>3175</v>
      </c>
      <c r="B518" s="21" t="s">
        <v>3053</v>
      </c>
      <c r="C518" s="21" t="s">
        <v>3115</v>
      </c>
      <c r="D518" s="21" t="s">
        <v>3064</v>
      </c>
      <c r="E518" s="22" t="s">
        <v>3176</v>
      </c>
      <c r="F518" s="13" t="s">
        <v>3117</v>
      </c>
      <c r="G518" s="13" t="n">
        <v>350</v>
      </c>
      <c r="H518" s="13" t="s">
        <v>3118</v>
      </c>
      <c r="I518" s="14"/>
      <c r="J518" s="15"/>
      <c r="K518" s="13"/>
      <c r="L518" s="13" t="s">
        <v>3176</v>
      </c>
      <c r="M518" s="13"/>
      <c r="N518" s="13" t="s">
        <v>184</v>
      </c>
      <c r="O518" s="13" t="s">
        <v>1844</v>
      </c>
      <c r="P518" s="13" t="s">
        <v>186</v>
      </c>
      <c r="Q518" s="16"/>
      <c r="R518" s="16"/>
      <c r="S518" s="16"/>
      <c r="T518" s="16"/>
      <c r="U518" s="16"/>
      <c r="V518" s="13" t="s">
        <v>187</v>
      </c>
      <c r="W518" s="17"/>
      <c r="X518" s="13"/>
      <c r="Y518" s="13"/>
      <c r="Z518" s="13"/>
      <c r="AA518" s="13" t="s">
        <v>188</v>
      </c>
      <c r="AB518" s="13" t="s">
        <v>3177</v>
      </c>
      <c r="AC518" s="18" t="n">
        <v>172.74</v>
      </c>
      <c r="AD518" s="13" t="s">
        <v>190</v>
      </c>
      <c r="AE518" s="19" t="str">
        <f aca="false">IF(OR(AE517="",AE521=""),"",ROUND(AE517+(AE521-AE517)*(G518-G517)/(G521-G517),2))</f>
        <v/>
      </c>
      <c r="AF518" s="19" t="n">
        <f aca="false">IF(OR(AF517="",AF521=""),"",ROUND(AF517+(AF521-AF517)*(G518-G517)/(G521-G517),2))</f>
        <v>11.77</v>
      </c>
      <c r="AG518" s="19" t="n">
        <f aca="false">IF(OR(AG517="",AG521=""),"",ROUND(AG517+(AG521-AG517)*(G518-G517)/(G521-G517),2))</f>
        <v>16.49</v>
      </c>
      <c r="AH518" s="13" t="s">
        <v>3178</v>
      </c>
      <c r="AI518" s="17" t="n">
        <f aca="false">IF(OR(AC518="",AF518="",Settings!$B$5=""),"",ROUND(AC518-AF518*Settings!$B$5,2))</f>
        <v>129.66</v>
      </c>
      <c r="AJ518" s="13" t="s">
        <v>192</v>
      </c>
      <c r="AK518" s="13" t="s">
        <v>193</v>
      </c>
      <c r="AL518" s="14" t="s">
        <v>3120</v>
      </c>
      <c r="AM518" s="13" t="s">
        <v>507</v>
      </c>
      <c r="AN518" s="15"/>
      <c r="AO518" s="13"/>
      <c r="AP518" s="13" t="s">
        <v>196</v>
      </c>
      <c r="AQ518" s="16" t="n">
        <f aca="false">IFERROR(IF(AND(INDEX(Mob_Demob!$D$6:$D$14,MATCH(AM518,Mob_Demob!$A$6:$A$14,0))="",INDEX(Mob_Demob!$G$6:$G$14,MATCH(AM518,Mob_Demob!$A$6:$A$14,0))=""),"",ROUND(MAX(N(INDEX(Mob_Demob!$G$6:$G$14,MATCH(AM518,Mob_Demob!$A$6:$A$14,0))),N(INDEX(Mob_Demob!$D$6:$D$14,MATCH(AM518,Mob_Demob!$A$6:$A$14,0)))*Settings!$B$6)+IF(AP518="Y",N(INDEX(Mob_Demob!$I$6:$I$14,MATCH(AM518,Mob_Demob!$A$6:$A$14,0)))*Settings!$B$19,0)+N(INDEX(Mob_Demob!$L$6:$L$14,MATCH(AM518,Mob_Demob!$A$6:$A$14,0)))*N(INDEX(Mob_Demob!$K$6:$K$14,MATCH(AM518,Mob_Demob!$A$6:$A$14,0)))*Settings!$B$6+N(INDEX(Mob_Demob!$M$6:$M$14,MATCH(AM518,Mob_Demob!$A$6:$A$14,0)))*N(INDEX(Mob_Demob!$N$6:$N$14,MATCH(AM518,Mob_Demob!$A$6:$A$14,0))),0)),"")</f>
        <v>400</v>
      </c>
      <c r="AR518" s="16" t="n">
        <f aca="false">IF(AQ518="","",ROUND(AQ518*Settings!$B$18,0))</f>
        <v>400</v>
      </c>
      <c r="AS518" s="13" t="s">
        <v>3121</v>
      </c>
      <c r="AT518" s="14" t="s">
        <v>3179</v>
      </c>
      <c r="AU518" s="14" t="s">
        <v>199</v>
      </c>
    </row>
    <row r="519" customFormat="false" ht="53.7" hidden="false" customHeight="false" outlineLevel="0" collapsed="false">
      <c r="A519" s="21" t="s">
        <v>3180</v>
      </c>
      <c r="B519" s="21" t="s">
        <v>3053</v>
      </c>
      <c r="C519" s="21" t="s">
        <v>3115</v>
      </c>
      <c r="D519" s="21" t="s">
        <v>3064</v>
      </c>
      <c r="E519" s="22" t="s">
        <v>3181</v>
      </c>
      <c r="F519" s="13" t="s">
        <v>3117</v>
      </c>
      <c r="G519" s="13" t="n">
        <v>400</v>
      </c>
      <c r="H519" s="13" t="s">
        <v>3118</v>
      </c>
      <c r="I519" s="14"/>
      <c r="J519" s="15"/>
      <c r="K519" s="13"/>
      <c r="L519" s="13" t="s">
        <v>3181</v>
      </c>
      <c r="M519" s="13"/>
      <c r="N519" s="13" t="s">
        <v>184</v>
      </c>
      <c r="O519" s="13" t="s">
        <v>1844</v>
      </c>
      <c r="P519" s="13" t="s">
        <v>186</v>
      </c>
      <c r="Q519" s="20" t="n">
        <v>1290</v>
      </c>
      <c r="R519" s="20" t="n">
        <v>3871</v>
      </c>
      <c r="S519" s="20" t="n">
        <v>11613</v>
      </c>
      <c r="T519" s="16"/>
      <c r="U519" s="16"/>
      <c r="V519" s="13" t="s">
        <v>187</v>
      </c>
      <c r="W519" s="17"/>
      <c r="X519" s="13"/>
      <c r="Y519" s="13" t="s">
        <v>259</v>
      </c>
      <c r="Z519" s="13" t="s">
        <v>260</v>
      </c>
      <c r="AA519" s="13" t="s">
        <v>192</v>
      </c>
      <c r="AB519" s="13" t="s">
        <v>3182</v>
      </c>
      <c r="AC519" s="18" t="n">
        <v>175.49</v>
      </c>
      <c r="AD519" s="13" t="s">
        <v>190</v>
      </c>
      <c r="AE519" s="19" t="str">
        <f aca="false">IF(OR(AE517="",AE521=""),"",ROUND(AE517+(AE521-AE517)*(G519-G517)/(G521-G517),2))</f>
        <v/>
      </c>
      <c r="AF519" s="19" t="n">
        <f aca="false">IF(OR(AF517="",AF521=""),"",ROUND(AF517+(AF521-AF517)*(G519-G517)/(G521-G517),2))</f>
        <v>13.95</v>
      </c>
      <c r="AG519" s="19" t="n">
        <f aca="false">IF(OR(AG517="",AG521=""),"",ROUND(AG517+(AG521-AG517)*(G519-G517)/(G521-G517),2))</f>
        <v>19.57</v>
      </c>
      <c r="AH519" s="13" t="s">
        <v>3178</v>
      </c>
      <c r="AI519" s="17" t="n">
        <f aca="false">IF(OR(AC519="",AF519="",Settings!$B$5=""),"",ROUND(AC519-AF519*Settings!$B$5,2))</f>
        <v>124.43</v>
      </c>
      <c r="AJ519" s="13" t="s">
        <v>192</v>
      </c>
      <c r="AK519" s="13" t="s">
        <v>193</v>
      </c>
      <c r="AL519" s="14" t="s">
        <v>3120</v>
      </c>
      <c r="AM519" s="13" t="s">
        <v>507</v>
      </c>
      <c r="AN519" s="15"/>
      <c r="AO519" s="13"/>
      <c r="AP519" s="13" t="s">
        <v>196</v>
      </c>
      <c r="AQ519" s="16" t="n">
        <f aca="false">IFERROR(IF(AND(INDEX(Mob_Demob!$D$6:$D$14,MATCH(AM519,Mob_Demob!$A$6:$A$14,0))="",INDEX(Mob_Demob!$G$6:$G$14,MATCH(AM519,Mob_Demob!$A$6:$A$14,0))=""),"",ROUND(MAX(N(INDEX(Mob_Demob!$G$6:$G$14,MATCH(AM519,Mob_Demob!$A$6:$A$14,0))),N(INDEX(Mob_Demob!$D$6:$D$14,MATCH(AM519,Mob_Demob!$A$6:$A$14,0)))*Settings!$B$6)+IF(AP519="Y",N(INDEX(Mob_Demob!$I$6:$I$14,MATCH(AM519,Mob_Demob!$A$6:$A$14,0)))*Settings!$B$19,0)+N(INDEX(Mob_Demob!$L$6:$L$14,MATCH(AM519,Mob_Demob!$A$6:$A$14,0)))*N(INDEX(Mob_Demob!$K$6:$K$14,MATCH(AM519,Mob_Demob!$A$6:$A$14,0)))*Settings!$B$6+N(INDEX(Mob_Demob!$M$6:$M$14,MATCH(AM519,Mob_Demob!$A$6:$A$14,0)))*N(INDEX(Mob_Demob!$N$6:$N$14,MATCH(AM519,Mob_Demob!$A$6:$A$14,0))),0)),"")</f>
        <v>400</v>
      </c>
      <c r="AR519" s="16" t="n">
        <f aca="false">IF(AQ519="","",ROUND(AQ519*Settings!$B$18,0))</f>
        <v>400</v>
      </c>
      <c r="AS519" s="13" t="s">
        <v>3121</v>
      </c>
      <c r="AT519" s="14" t="s">
        <v>3183</v>
      </c>
      <c r="AU519" s="14"/>
    </row>
    <row r="520" customFormat="false" ht="53.7" hidden="false" customHeight="false" outlineLevel="0" collapsed="false">
      <c r="A520" s="21" t="s">
        <v>3184</v>
      </c>
      <c r="B520" s="21" t="s">
        <v>3053</v>
      </c>
      <c r="C520" s="21" t="s">
        <v>3115</v>
      </c>
      <c r="D520" s="21" t="s">
        <v>3064</v>
      </c>
      <c r="E520" s="22" t="s">
        <v>3185</v>
      </c>
      <c r="F520" s="13" t="s">
        <v>3117</v>
      </c>
      <c r="G520" s="13" t="n">
        <v>455</v>
      </c>
      <c r="H520" s="13" t="s">
        <v>3118</v>
      </c>
      <c r="I520" s="14"/>
      <c r="J520" s="15"/>
      <c r="K520" s="13"/>
      <c r="L520" s="13" t="s">
        <v>3185</v>
      </c>
      <c r="M520" s="13"/>
      <c r="N520" s="13" t="s">
        <v>184</v>
      </c>
      <c r="O520" s="13" t="s">
        <v>1844</v>
      </c>
      <c r="P520" s="13" t="s">
        <v>186</v>
      </c>
      <c r="Q520" s="20" t="n">
        <v>1488</v>
      </c>
      <c r="R520" s="20" t="n">
        <v>4463</v>
      </c>
      <c r="S520" s="20" t="n">
        <v>13389</v>
      </c>
      <c r="T520" s="16"/>
      <c r="U520" s="16"/>
      <c r="V520" s="13" t="s">
        <v>187</v>
      </c>
      <c r="W520" s="17"/>
      <c r="X520" s="13"/>
      <c r="Y520" s="13" t="s">
        <v>259</v>
      </c>
      <c r="Z520" s="13" t="s">
        <v>260</v>
      </c>
      <c r="AA520" s="13" t="s">
        <v>192</v>
      </c>
      <c r="AB520" s="13"/>
      <c r="AC520" s="17"/>
      <c r="AD520" s="13"/>
      <c r="AE520" s="19" t="str">
        <f aca="false">IF(OR(AE517="",AE521=""),"",ROUND(AE517+(AE521-AE517)*(G520-G517)/(G521-G517),2))</f>
        <v/>
      </c>
      <c r="AF520" s="19" t="n">
        <f aca="false">IF(OR(AF517="",AF521=""),"",ROUND(AF517+(AF521-AF517)*(G520-G517)/(G521-G517),2))</f>
        <v>16.33</v>
      </c>
      <c r="AG520" s="19" t="n">
        <f aca="false">IF(OR(AG517="",AG521=""),"",ROUND(AG517+(AG521-AG517)*(G520-G517)/(G521-G517),2))</f>
        <v>22.96</v>
      </c>
      <c r="AH520" s="13" t="s">
        <v>3178</v>
      </c>
      <c r="AI520" s="17"/>
      <c r="AJ520" s="13" t="s">
        <v>188</v>
      </c>
      <c r="AK520" s="13" t="s">
        <v>188</v>
      </c>
      <c r="AL520" s="14" t="s">
        <v>3120</v>
      </c>
      <c r="AM520" s="13" t="s">
        <v>507</v>
      </c>
      <c r="AN520" s="15"/>
      <c r="AO520" s="13"/>
      <c r="AP520" s="13" t="s">
        <v>196</v>
      </c>
      <c r="AQ520" s="16" t="n">
        <f aca="false">IFERROR(IF(AND(INDEX(Mob_Demob!$D$6:$D$14,MATCH(AM520,Mob_Demob!$A$6:$A$14,0))="",INDEX(Mob_Demob!$G$6:$G$14,MATCH(AM520,Mob_Demob!$A$6:$A$14,0))=""),"",ROUND(MAX(N(INDEX(Mob_Demob!$G$6:$G$14,MATCH(AM520,Mob_Demob!$A$6:$A$14,0))),N(INDEX(Mob_Demob!$D$6:$D$14,MATCH(AM520,Mob_Demob!$A$6:$A$14,0)))*Settings!$B$6)+IF(AP520="Y",N(INDEX(Mob_Demob!$I$6:$I$14,MATCH(AM520,Mob_Demob!$A$6:$A$14,0)))*Settings!$B$19,0)+N(INDEX(Mob_Demob!$L$6:$L$14,MATCH(AM520,Mob_Demob!$A$6:$A$14,0)))*N(INDEX(Mob_Demob!$K$6:$K$14,MATCH(AM520,Mob_Demob!$A$6:$A$14,0)))*Settings!$B$6+N(INDEX(Mob_Demob!$M$6:$M$14,MATCH(AM520,Mob_Demob!$A$6:$A$14,0)))*N(INDEX(Mob_Demob!$N$6:$N$14,MATCH(AM520,Mob_Demob!$A$6:$A$14,0))),0)),"")</f>
        <v>400</v>
      </c>
      <c r="AR520" s="16" t="n">
        <f aca="false">IF(AQ520="","",ROUND(AQ520*Settings!$B$18,0))</f>
        <v>400</v>
      </c>
      <c r="AS520" s="13" t="s">
        <v>3121</v>
      </c>
      <c r="AT520" s="14" t="s">
        <v>3186</v>
      </c>
      <c r="AU520" s="14" t="s">
        <v>341</v>
      </c>
    </row>
    <row r="521" customFormat="false" ht="53.7" hidden="false" customHeight="false" outlineLevel="0" collapsed="false">
      <c r="A521" s="21" t="s">
        <v>3187</v>
      </c>
      <c r="B521" s="21" t="s">
        <v>3053</v>
      </c>
      <c r="C521" s="21" t="s">
        <v>3115</v>
      </c>
      <c r="D521" s="21" t="s">
        <v>3064</v>
      </c>
      <c r="E521" s="22" t="s">
        <v>3188</v>
      </c>
      <c r="F521" s="13" t="s">
        <v>3117</v>
      </c>
      <c r="G521" s="13" t="n">
        <v>500</v>
      </c>
      <c r="H521" s="13" t="s">
        <v>3118</v>
      </c>
      <c r="I521" s="14"/>
      <c r="J521" s="15"/>
      <c r="K521" s="13"/>
      <c r="L521" s="13" t="s">
        <v>3188</v>
      </c>
      <c r="M521" s="13"/>
      <c r="N521" s="13" t="s">
        <v>184</v>
      </c>
      <c r="O521" s="13" t="s">
        <v>1844</v>
      </c>
      <c r="P521" s="13" t="s">
        <v>186</v>
      </c>
      <c r="Q521" s="16"/>
      <c r="R521" s="16"/>
      <c r="S521" s="16"/>
      <c r="T521" s="16"/>
      <c r="U521" s="16"/>
      <c r="V521" s="13" t="s">
        <v>187</v>
      </c>
      <c r="W521" s="17"/>
      <c r="X521" s="13"/>
      <c r="Y521" s="13"/>
      <c r="Z521" s="13"/>
      <c r="AA521" s="13" t="s">
        <v>188</v>
      </c>
      <c r="AB521" s="13" t="s">
        <v>3189</v>
      </c>
      <c r="AC521" s="18" t="n">
        <v>296.15</v>
      </c>
      <c r="AD521" s="13" t="s">
        <v>190</v>
      </c>
      <c r="AE521" s="19"/>
      <c r="AF521" s="19" t="n">
        <v>18.29</v>
      </c>
      <c r="AG521" s="19" t="n">
        <v>25.74</v>
      </c>
      <c r="AH521" s="13" t="s">
        <v>3190</v>
      </c>
      <c r="AI521" s="17" t="n">
        <f aca="false">IF(OR(AC521="",AF521="",Settings!$B$5=""),"",ROUND(AC521-AF521*Settings!$B$5,2))</f>
        <v>229.21</v>
      </c>
      <c r="AJ521" s="13" t="s">
        <v>192</v>
      </c>
      <c r="AK521" s="13" t="s">
        <v>193</v>
      </c>
      <c r="AL521" s="14" t="s">
        <v>3120</v>
      </c>
      <c r="AM521" s="13" t="s">
        <v>507</v>
      </c>
      <c r="AN521" s="15"/>
      <c r="AO521" s="13"/>
      <c r="AP521" s="13" t="s">
        <v>196</v>
      </c>
      <c r="AQ521" s="16" t="n">
        <f aca="false">IFERROR(IF(AND(INDEX(Mob_Demob!$D$6:$D$14,MATCH(AM521,Mob_Demob!$A$6:$A$14,0))="",INDEX(Mob_Demob!$G$6:$G$14,MATCH(AM521,Mob_Demob!$A$6:$A$14,0))=""),"",ROUND(MAX(N(INDEX(Mob_Demob!$G$6:$G$14,MATCH(AM521,Mob_Demob!$A$6:$A$14,0))),N(INDEX(Mob_Demob!$D$6:$D$14,MATCH(AM521,Mob_Demob!$A$6:$A$14,0)))*Settings!$B$6)+IF(AP521="Y",N(INDEX(Mob_Demob!$I$6:$I$14,MATCH(AM521,Mob_Demob!$A$6:$A$14,0)))*Settings!$B$19,0)+N(INDEX(Mob_Demob!$L$6:$L$14,MATCH(AM521,Mob_Demob!$A$6:$A$14,0)))*N(INDEX(Mob_Demob!$K$6:$K$14,MATCH(AM521,Mob_Demob!$A$6:$A$14,0)))*Settings!$B$6+N(INDEX(Mob_Demob!$M$6:$M$14,MATCH(AM521,Mob_Demob!$A$6:$A$14,0)))*N(INDEX(Mob_Demob!$N$6:$N$14,MATCH(AM521,Mob_Demob!$A$6:$A$14,0))),0)),"")</f>
        <v>400</v>
      </c>
      <c r="AR521" s="16" t="n">
        <f aca="false">IF(AQ521="","",ROUND(AQ521*Settings!$B$18,0))</f>
        <v>400</v>
      </c>
      <c r="AS521" s="13" t="s">
        <v>3121</v>
      </c>
      <c r="AT521" s="14" t="s">
        <v>3191</v>
      </c>
      <c r="AU521" s="14" t="s">
        <v>199</v>
      </c>
    </row>
    <row r="522" customFormat="false" ht="53.7" hidden="false" customHeight="false" outlineLevel="0" collapsed="false">
      <c r="A522" s="21" t="s">
        <v>3192</v>
      </c>
      <c r="B522" s="21" t="s">
        <v>3053</v>
      </c>
      <c r="C522" s="21" t="s">
        <v>3115</v>
      </c>
      <c r="D522" s="21" t="s">
        <v>3193</v>
      </c>
      <c r="E522" s="22" t="s">
        <v>3194</v>
      </c>
      <c r="F522" s="13" t="s">
        <v>3117</v>
      </c>
      <c r="G522" s="13" t="n">
        <v>700</v>
      </c>
      <c r="H522" s="13" t="s">
        <v>3118</v>
      </c>
      <c r="I522" s="14"/>
      <c r="J522" s="15"/>
      <c r="K522" s="13"/>
      <c r="L522" s="13" t="s">
        <v>3194</v>
      </c>
      <c r="M522" s="13"/>
      <c r="N522" s="13" t="s">
        <v>184</v>
      </c>
      <c r="O522" s="13" t="s">
        <v>1844</v>
      </c>
      <c r="P522" s="13" t="s">
        <v>186</v>
      </c>
      <c r="Q522" s="16"/>
      <c r="R522" s="16"/>
      <c r="S522" s="16"/>
      <c r="T522" s="16"/>
      <c r="U522" s="16"/>
      <c r="V522" s="13" t="s">
        <v>187</v>
      </c>
      <c r="W522" s="17"/>
      <c r="X522" s="13"/>
      <c r="Y522" s="13"/>
      <c r="Z522" s="13"/>
      <c r="AA522" s="13" t="s">
        <v>188</v>
      </c>
      <c r="AB522" s="13" t="s">
        <v>3195</v>
      </c>
      <c r="AC522" s="18" t="n">
        <v>386.08</v>
      </c>
      <c r="AD522" s="13" t="s">
        <v>190</v>
      </c>
      <c r="AE522" s="19"/>
      <c r="AF522" s="19"/>
      <c r="AG522" s="19"/>
      <c r="AH522" s="13"/>
      <c r="AI522" s="17" t="str">
        <f aca="false">IF(OR(AC522="",AF522="",Settings!$B$5=""),"",ROUND(AC522-AF522*Settings!$B$5,2))</f>
        <v/>
      </c>
      <c r="AJ522" s="13" t="s">
        <v>192</v>
      </c>
      <c r="AK522" s="13" t="s">
        <v>193</v>
      </c>
      <c r="AL522" s="14" t="s">
        <v>3120</v>
      </c>
      <c r="AM522" s="13" t="s">
        <v>216</v>
      </c>
      <c r="AN522" s="15"/>
      <c r="AO522" s="13"/>
      <c r="AP522" s="13" t="s">
        <v>241</v>
      </c>
      <c r="AQ522" s="16" t="n">
        <f aca="false">IFERROR(IF(AND(INDEX(Mob_Demob!$D$6:$D$14,MATCH(AM522,Mob_Demob!$A$6:$A$14,0))="",INDEX(Mob_Demob!$G$6:$G$14,MATCH(AM522,Mob_Demob!$A$6:$A$14,0))=""),"",ROUND(MAX(N(INDEX(Mob_Demob!$G$6:$G$14,MATCH(AM522,Mob_Demob!$A$6:$A$14,0))),N(INDEX(Mob_Demob!$D$6:$D$14,MATCH(AM522,Mob_Demob!$A$6:$A$14,0)))*Settings!$B$6)+IF(AP522="Y",N(INDEX(Mob_Demob!$I$6:$I$14,MATCH(AM522,Mob_Demob!$A$6:$A$14,0)))*Settings!$B$19,0)+N(INDEX(Mob_Demob!$L$6:$L$14,MATCH(AM522,Mob_Demob!$A$6:$A$14,0)))*N(INDEX(Mob_Demob!$K$6:$K$14,MATCH(AM522,Mob_Demob!$A$6:$A$14,0)))*Settings!$B$6+N(INDEX(Mob_Demob!$M$6:$M$14,MATCH(AM522,Mob_Demob!$A$6:$A$14,0)))*N(INDEX(Mob_Demob!$N$6:$N$14,MATCH(AM522,Mob_Demob!$A$6:$A$14,0))),0)),"")</f>
        <v>550</v>
      </c>
      <c r="AR522" s="16" t="n">
        <f aca="false">IF(AQ522="","",ROUND(AQ522*Settings!$B$18,0))</f>
        <v>550</v>
      </c>
      <c r="AS522" s="13" t="s">
        <v>3121</v>
      </c>
      <c r="AT522" s="14" t="s">
        <v>3196</v>
      </c>
      <c r="AU522" s="14" t="s">
        <v>838</v>
      </c>
    </row>
    <row r="523" customFormat="false" ht="53.7" hidden="false" customHeight="false" outlineLevel="0" collapsed="false">
      <c r="A523" s="21" t="s">
        <v>3197</v>
      </c>
      <c r="B523" s="21" t="s">
        <v>3053</v>
      </c>
      <c r="C523" s="21" t="s">
        <v>3115</v>
      </c>
      <c r="D523" s="21" t="s">
        <v>3193</v>
      </c>
      <c r="E523" s="22" t="s">
        <v>3198</v>
      </c>
      <c r="F523" s="13" t="s">
        <v>3117</v>
      </c>
      <c r="G523" s="13" t="n">
        <v>800</v>
      </c>
      <c r="H523" s="13" t="s">
        <v>3118</v>
      </c>
      <c r="I523" s="14"/>
      <c r="J523" s="15"/>
      <c r="K523" s="13"/>
      <c r="L523" s="13" t="s">
        <v>3198</v>
      </c>
      <c r="M523" s="13"/>
      <c r="N523" s="13" t="s">
        <v>184</v>
      </c>
      <c r="O523" s="13" t="s">
        <v>1844</v>
      </c>
      <c r="P523" s="13" t="s">
        <v>186</v>
      </c>
      <c r="Q523" s="16"/>
      <c r="R523" s="16"/>
      <c r="S523" s="16"/>
      <c r="T523" s="16"/>
      <c r="U523" s="16"/>
      <c r="V523" s="13" t="s">
        <v>187</v>
      </c>
      <c r="W523" s="17"/>
      <c r="X523" s="13"/>
      <c r="Y523" s="13"/>
      <c r="Z523" s="13"/>
      <c r="AA523" s="13" t="s">
        <v>188</v>
      </c>
      <c r="AB523" s="13" t="s">
        <v>3199</v>
      </c>
      <c r="AC523" s="18" t="n">
        <v>431.25</v>
      </c>
      <c r="AD523" s="13" t="s">
        <v>190</v>
      </c>
      <c r="AE523" s="19"/>
      <c r="AF523" s="19"/>
      <c r="AG523" s="19"/>
      <c r="AH523" s="13"/>
      <c r="AI523" s="17" t="str">
        <f aca="false">IF(OR(AC523="",AF523="",Settings!$B$5=""),"",ROUND(AC523-AF523*Settings!$B$5,2))</f>
        <v/>
      </c>
      <c r="AJ523" s="13" t="s">
        <v>192</v>
      </c>
      <c r="AK523" s="13" t="s">
        <v>193</v>
      </c>
      <c r="AL523" s="14" t="s">
        <v>3120</v>
      </c>
      <c r="AM523" s="13" t="s">
        <v>216</v>
      </c>
      <c r="AN523" s="15"/>
      <c r="AO523" s="13"/>
      <c r="AP523" s="13" t="s">
        <v>241</v>
      </c>
      <c r="AQ523" s="16" t="n">
        <f aca="false">IFERROR(IF(AND(INDEX(Mob_Demob!$D$6:$D$14,MATCH(AM523,Mob_Demob!$A$6:$A$14,0))="",INDEX(Mob_Demob!$G$6:$G$14,MATCH(AM523,Mob_Demob!$A$6:$A$14,0))=""),"",ROUND(MAX(N(INDEX(Mob_Demob!$G$6:$G$14,MATCH(AM523,Mob_Demob!$A$6:$A$14,0))),N(INDEX(Mob_Demob!$D$6:$D$14,MATCH(AM523,Mob_Demob!$A$6:$A$14,0)))*Settings!$B$6)+IF(AP523="Y",N(INDEX(Mob_Demob!$I$6:$I$14,MATCH(AM523,Mob_Demob!$A$6:$A$14,0)))*Settings!$B$19,0)+N(INDEX(Mob_Demob!$L$6:$L$14,MATCH(AM523,Mob_Demob!$A$6:$A$14,0)))*N(INDEX(Mob_Demob!$K$6:$K$14,MATCH(AM523,Mob_Demob!$A$6:$A$14,0)))*Settings!$B$6+N(INDEX(Mob_Demob!$M$6:$M$14,MATCH(AM523,Mob_Demob!$A$6:$A$14,0)))*N(INDEX(Mob_Demob!$N$6:$N$14,MATCH(AM523,Mob_Demob!$A$6:$A$14,0))),0)),"")</f>
        <v>550</v>
      </c>
      <c r="AR523" s="16" t="n">
        <f aca="false">IF(AQ523="","",ROUND(AQ523*Settings!$B$18,0))</f>
        <v>550</v>
      </c>
      <c r="AS523" s="13" t="s">
        <v>3121</v>
      </c>
      <c r="AT523" s="14" t="s">
        <v>3196</v>
      </c>
      <c r="AU523" s="14" t="s">
        <v>838</v>
      </c>
    </row>
    <row r="524" customFormat="false" ht="53.7" hidden="false" customHeight="false" outlineLevel="0" collapsed="false">
      <c r="A524" s="21" t="s">
        <v>3200</v>
      </c>
      <c r="B524" s="21" t="s">
        <v>3053</v>
      </c>
      <c r="C524" s="21" t="s">
        <v>3115</v>
      </c>
      <c r="D524" s="21" t="s">
        <v>3193</v>
      </c>
      <c r="E524" s="22" t="s">
        <v>3201</v>
      </c>
      <c r="F524" s="13" t="s">
        <v>3117</v>
      </c>
      <c r="G524" s="13" t="n">
        <v>900</v>
      </c>
      <c r="H524" s="13" t="s">
        <v>3118</v>
      </c>
      <c r="I524" s="14"/>
      <c r="J524" s="15"/>
      <c r="K524" s="13"/>
      <c r="L524" s="13" t="s">
        <v>3201</v>
      </c>
      <c r="M524" s="13"/>
      <c r="N524" s="13" t="s">
        <v>184</v>
      </c>
      <c r="O524" s="13" t="s">
        <v>1844</v>
      </c>
      <c r="P524" s="13" t="s">
        <v>186</v>
      </c>
      <c r="Q524" s="16"/>
      <c r="R524" s="16"/>
      <c r="S524" s="16"/>
      <c r="T524" s="16"/>
      <c r="U524" s="16"/>
      <c r="V524" s="13" t="s">
        <v>187</v>
      </c>
      <c r="W524" s="17"/>
      <c r="X524" s="13"/>
      <c r="Y524" s="13"/>
      <c r="Z524" s="13"/>
      <c r="AA524" s="13" t="s">
        <v>188</v>
      </c>
      <c r="AB524" s="13" t="s">
        <v>3202</v>
      </c>
      <c r="AC524" s="18" t="n">
        <v>542.81</v>
      </c>
      <c r="AD524" s="13" t="s">
        <v>190</v>
      </c>
      <c r="AE524" s="19"/>
      <c r="AF524" s="19"/>
      <c r="AG524" s="19"/>
      <c r="AH524" s="13"/>
      <c r="AI524" s="17" t="str">
        <f aca="false">IF(OR(AC524="",AF524="",Settings!$B$5=""),"",ROUND(AC524-AF524*Settings!$B$5,2))</f>
        <v/>
      </c>
      <c r="AJ524" s="13" t="s">
        <v>192</v>
      </c>
      <c r="AK524" s="13" t="s">
        <v>193</v>
      </c>
      <c r="AL524" s="14" t="s">
        <v>3120</v>
      </c>
      <c r="AM524" s="13" t="s">
        <v>216</v>
      </c>
      <c r="AN524" s="15"/>
      <c r="AO524" s="13"/>
      <c r="AP524" s="13" t="s">
        <v>241</v>
      </c>
      <c r="AQ524" s="16" t="n">
        <f aca="false">IFERROR(IF(AND(INDEX(Mob_Demob!$D$6:$D$14,MATCH(AM524,Mob_Demob!$A$6:$A$14,0))="",INDEX(Mob_Demob!$G$6:$G$14,MATCH(AM524,Mob_Demob!$A$6:$A$14,0))=""),"",ROUND(MAX(N(INDEX(Mob_Demob!$G$6:$G$14,MATCH(AM524,Mob_Demob!$A$6:$A$14,0))),N(INDEX(Mob_Demob!$D$6:$D$14,MATCH(AM524,Mob_Demob!$A$6:$A$14,0)))*Settings!$B$6)+IF(AP524="Y",N(INDEX(Mob_Demob!$I$6:$I$14,MATCH(AM524,Mob_Demob!$A$6:$A$14,0)))*Settings!$B$19,0)+N(INDEX(Mob_Demob!$L$6:$L$14,MATCH(AM524,Mob_Demob!$A$6:$A$14,0)))*N(INDEX(Mob_Demob!$K$6:$K$14,MATCH(AM524,Mob_Demob!$A$6:$A$14,0)))*Settings!$B$6+N(INDEX(Mob_Demob!$M$6:$M$14,MATCH(AM524,Mob_Demob!$A$6:$A$14,0)))*N(INDEX(Mob_Demob!$N$6:$N$14,MATCH(AM524,Mob_Demob!$A$6:$A$14,0))),0)),"")</f>
        <v>550</v>
      </c>
      <c r="AR524" s="16" t="n">
        <f aca="false">IF(AQ524="","",ROUND(AQ524*Settings!$B$18,0))</f>
        <v>550</v>
      </c>
      <c r="AS524" s="13" t="s">
        <v>3121</v>
      </c>
      <c r="AT524" s="14" t="s">
        <v>3196</v>
      </c>
      <c r="AU524" s="14" t="s">
        <v>838</v>
      </c>
    </row>
    <row r="525" customFormat="false" ht="53.7" hidden="false" customHeight="false" outlineLevel="0" collapsed="false">
      <c r="A525" s="21" t="s">
        <v>3203</v>
      </c>
      <c r="B525" s="21" t="s">
        <v>3053</v>
      </c>
      <c r="C525" s="21" t="s">
        <v>3115</v>
      </c>
      <c r="D525" s="21" t="s">
        <v>3193</v>
      </c>
      <c r="E525" s="22" t="s">
        <v>3204</v>
      </c>
      <c r="F525" s="13" t="s">
        <v>3117</v>
      </c>
      <c r="G525" s="13" t="n">
        <v>1000</v>
      </c>
      <c r="H525" s="13" t="s">
        <v>3118</v>
      </c>
      <c r="I525" s="14"/>
      <c r="J525" s="15"/>
      <c r="K525" s="13"/>
      <c r="L525" s="13" t="s">
        <v>3204</v>
      </c>
      <c r="M525" s="13"/>
      <c r="N525" s="13" t="s">
        <v>184</v>
      </c>
      <c r="O525" s="13" t="s">
        <v>1844</v>
      </c>
      <c r="P525" s="13" t="s">
        <v>186</v>
      </c>
      <c r="Q525" s="16"/>
      <c r="R525" s="16"/>
      <c r="S525" s="16"/>
      <c r="T525" s="16"/>
      <c r="U525" s="16"/>
      <c r="V525" s="13" t="s">
        <v>187</v>
      </c>
      <c r="W525" s="17"/>
      <c r="X525" s="13"/>
      <c r="Y525" s="13"/>
      <c r="Z525" s="13"/>
      <c r="AA525" s="13" t="s">
        <v>188</v>
      </c>
      <c r="AB525" s="13" t="s">
        <v>3205</v>
      </c>
      <c r="AC525" s="18" t="n">
        <v>654.36</v>
      </c>
      <c r="AD525" s="13" t="s">
        <v>190</v>
      </c>
      <c r="AE525" s="19"/>
      <c r="AF525" s="19"/>
      <c r="AG525" s="19"/>
      <c r="AH525" s="13"/>
      <c r="AI525" s="17" t="str">
        <f aca="false">IF(OR(AC525="",AF525="",Settings!$B$5=""),"",ROUND(AC525-AF525*Settings!$B$5,2))</f>
        <v/>
      </c>
      <c r="AJ525" s="13" t="s">
        <v>192</v>
      </c>
      <c r="AK525" s="13" t="s">
        <v>193</v>
      </c>
      <c r="AL525" s="14" t="s">
        <v>3120</v>
      </c>
      <c r="AM525" s="13" t="s">
        <v>216</v>
      </c>
      <c r="AN525" s="15"/>
      <c r="AO525" s="13"/>
      <c r="AP525" s="13" t="s">
        <v>241</v>
      </c>
      <c r="AQ525" s="16" t="n">
        <f aca="false">IFERROR(IF(AND(INDEX(Mob_Demob!$D$6:$D$14,MATCH(AM525,Mob_Demob!$A$6:$A$14,0))="",INDEX(Mob_Demob!$G$6:$G$14,MATCH(AM525,Mob_Demob!$A$6:$A$14,0))=""),"",ROUND(MAX(N(INDEX(Mob_Demob!$G$6:$G$14,MATCH(AM525,Mob_Demob!$A$6:$A$14,0))),N(INDEX(Mob_Demob!$D$6:$D$14,MATCH(AM525,Mob_Demob!$A$6:$A$14,0)))*Settings!$B$6)+IF(AP525="Y",N(INDEX(Mob_Demob!$I$6:$I$14,MATCH(AM525,Mob_Demob!$A$6:$A$14,0)))*Settings!$B$19,0)+N(INDEX(Mob_Demob!$L$6:$L$14,MATCH(AM525,Mob_Demob!$A$6:$A$14,0)))*N(INDEX(Mob_Demob!$K$6:$K$14,MATCH(AM525,Mob_Demob!$A$6:$A$14,0)))*Settings!$B$6+N(INDEX(Mob_Demob!$M$6:$M$14,MATCH(AM525,Mob_Demob!$A$6:$A$14,0)))*N(INDEX(Mob_Demob!$N$6:$N$14,MATCH(AM525,Mob_Demob!$A$6:$A$14,0))),0)),"")</f>
        <v>550</v>
      </c>
      <c r="AR525" s="16" t="n">
        <f aca="false">IF(AQ525="","",ROUND(AQ525*Settings!$B$18,0))</f>
        <v>550</v>
      </c>
      <c r="AS525" s="13" t="s">
        <v>3121</v>
      </c>
      <c r="AT525" s="14" t="s">
        <v>3196</v>
      </c>
      <c r="AU525" s="14" t="s">
        <v>838</v>
      </c>
    </row>
    <row r="526" customFormat="false" ht="53.7" hidden="false" customHeight="false" outlineLevel="0" collapsed="false">
      <c r="A526" s="21" t="s">
        <v>3206</v>
      </c>
      <c r="B526" s="21" t="s">
        <v>3053</v>
      </c>
      <c r="C526" s="21" t="s">
        <v>3115</v>
      </c>
      <c r="D526" s="21" t="s">
        <v>3193</v>
      </c>
      <c r="E526" s="22" t="s">
        <v>3207</v>
      </c>
      <c r="F526" s="13" t="s">
        <v>3117</v>
      </c>
      <c r="G526" s="13" t="n">
        <v>1150</v>
      </c>
      <c r="H526" s="13" t="s">
        <v>3118</v>
      </c>
      <c r="I526" s="14" t="s">
        <v>3208</v>
      </c>
      <c r="J526" s="15"/>
      <c r="K526" s="13"/>
      <c r="L526" s="13" t="s">
        <v>3207</v>
      </c>
      <c r="M526" s="13"/>
      <c r="N526" s="13" t="s">
        <v>184</v>
      </c>
      <c r="O526" s="13" t="s">
        <v>1844</v>
      </c>
      <c r="P526" s="13" t="s">
        <v>186</v>
      </c>
      <c r="Q526" s="16"/>
      <c r="R526" s="16"/>
      <c r="S526" s="16"/>
      <c r="T526" s="16"/>
      <c r="U526" s="16"/>
      <c r="V526" s="13" t="s">
        <v>187</v>
      </c>
      <c r="W526" s="17"/>
      <c r="X526" s="13"/>
      <c r="Y526" s="13"/>
      <c r="Z526" s="13"/>
      <c r="AA526" s="13" t="s">
        <v>188</v>
      </c>
      <c r="AB526" s="13" t="s">
        <v>3209</v>
      </c>
      <c r="AC526" s="18" t="n">
        <v>644.98</v>
      </c>
      <c r="AD526" s="13" t="s">
        <v>190</v>
      </c>
      <c r="AE526" s="19"/>
      <c r="AF526" s="19"/>
      <c r="AG526" s="19"/>
      <c r="AH526" s="13"/>
      <c r="AI526" s="17" t="str">
        <f aca="false">IF(OR(AC526="",AF526="",Settings!$B$5=""),"",ROUND(AC526-AF526*Settings!$B$5,2))</f>
        <v/>
      </c>
      <c r="AJ526" s="13" t="s">
        <v>192</v>
      </c>
      <c r="AK526" s="13" t="s">
        <v>193</v>
      </c>
      <c r="AL526" s="14" t="s">
        <v>3120</v>
      </c>
      <c r="AM526" s="13" t="s">
        <v>216</v>
      </c>
      <c r="AN526" s="15"/>
      <c r="AO526" s="13"/>
      <c r="AP526" s="13" t="s">
        <v>241</v>
      </c>
      <c r="AQ526" s="16" t="n">
        <f aca="false">IFERROR(IF(AND(INDEX(Mob_Demob!$D$6:$D$14,MATCH(AM526,Mob_Demob!$A$6:$A$14,0))="",INDEX(Mob_Demob!$G$6:$G$14,MATCH(AM526,Mob_Demob!$A$6:$A$14,0))=""),"",ROUND(MAX(N(INDEX(Mob_Demob!$G$6:$G$14,MATCH(AM526,Mob_Demob!$A$6:$A$14,0))),N(INDEX(Mob_Demob!$D$6:$D$14,MATCH(AM526,Mob_Demob!$A$6:$A$14,0)))*Settings!$B$6)+IF(AP526="Y",N(INDEX(Mob_Demob!$I$6:$I$14,MATCH(AM526,Mob_Demob!$A$6:$A$14,0)))*Settings!$B$19,0)+N(INDEX(Mob_Demob!$L$6:$L$14,MATCH(AM526,Mob_Demob!$A$6:$A$14,0)))*N(INDEX(Mob_Demob!$K$6:$K$14,MATCH(AM526,Mob_Demob!$A$6:$A$14,0)))*Settings!$B$6+N(INDEX(Mob_Demob!$M$6:$M$14,MATCH(AM526,Mob_Demob!$A$6:$A$14,0)))*N(INDEX(Mob_Demob!$N$6:$N$14,MATCH(AM526,Mob_Demob!$A$6:$A$14,0))),0)),"")</f>
        <v>550</v>
      </c>
      <c r="AR526" s="16" t="n">
        <f aca="false">IF(AQ526="","",ROUND(AQ526*Settings!$B$18,0))</f>
        <v>550</v>
      </c>
      <c r="AS526" s="13" t="s">
        <v>3121</v>
      </c>
      <c r="AT526" s="14" t="s">
        <v>3196</v>
      </c>
      <c r="AU526" s="14" t="s">
        <v>838</v>
      </c>
    </row>
    <row r="527" customFormat="false" ht="53.7" hidden="false" customHeight="false" outlineLevel="0" collapsed="false">
      <c r="A527" s="21" t="s">
        <v>3210</v>
      </c>
      <c r="B527" s="21" t="s">
        <v>3053</v>
      </c>
      <c r="C527" s="21" t="s">
        <v>3115</v>
      </c>
      <c r="D527" s="21" t="s">
        <v>3193</v>
      </c>
      <c r="E527" s="22" t="s">
        <v>3211</v>
      </c>
      <c r="F527" s="13" t="s">
        <v>3117</v>
      </c>
      <c r="G527" s="13" t="n">
        <v>1500</v>
      </c>
      <c r="H527" s="13" t="s">
        <v>3118</v>
      </c>
      <c r="I527" s="14"/>
      <c r="J527" s="15"/>
      <c r="K527" s="13"/>
      <c r="L527" s="13" t="s">
        <v>3211</v>
      </c>
      <c r="M527" s="13"/>
      <c r="N527" s="13" t="s">
        <v>184</v>
      </c>
      <c r="O527" s="13" t="s">
        <v>1844</v>
      </c>
      <c r="P527" s="13" t="s">
        <v>186</v>
      </c>
      <c r="Q527" s="16"/>
      <c r="R527" s="16"/>
      <c r="S527" s="16"/>
      <c r="T527" s="16"/>
      <c r="U527" s="16"/>
      <c r="V527" s="13" t="s">
        <v>187</v>
      </c>
      <c r="W527" s="17"/>
      <c r="X527" s="13"/>
      <c r="Y527" s="13"/>
      <c r="Z527" s="13"/>
      <c r="AA527" s="13" t="s">
        <v>188</v>
      </c>
      <c r="AB527" s="13" t="s">
        <v>3212</v>
      </c>
      <c r="AC527" s="18" t="n">
        <v>698.66</v>
      </c>
      <c r="AD527" s="13" t="s">
        <v>190</v>
      </c>
      <c r="AE527" s="19"/>
      <c r="AF527" s="19"/>
      <c r="AG527" s="19"/>
      <c r="AH527" s="13"/>
      <c r="AI527" s="17" t="str">
        <f aca="false">IF(OR(AC527="",AF527="",Settings!$B$5=""),"",ROUND(AC527-AF527*Settings!$B$5,2))</f>
        <v/>
      </c>
      <c r="AJ527" s="13" t="s">
        <v>192</v>
      </c>
      <c r="AK527" s="13" t="s">
        <v>193</v>
      </c>
      <c r="AL527" s="14" t="s">
        <v>3120</v>
      </c>
      <c r="AM527" s="13" t="s">
        <v>216</v>
      </c>
      <c r="AN527" s="15"/>
      <c r="AO527" s="13"/>
      <c r="AP527" s="13" t="s">
        <v>241</v>
      </c>
      <c r="AQ527" s="16" t="n">
        <f aca="false">IFERROR(IF(AND(INDEX(Mob_Demob!$D$6:$D$14,MATCH(AM527,Mob_Demob!$A$6:$A$14,0))="",INDEX(Mob_Demob!$G$6:$G$14,MATCH(AM527,Mob_Demob!$A$6:$A$14,0))=""),"",ROUND(MAX(N(INDEX(Mob_Demob!$G$6:$G$14,MATCH(AM527,Mob_Demob!$A$6:$A$14,0))),N(INDEX(Mob_Demob!$D$6:$D$14,MATCH(AM527,Mob_Demob!$A$6:$A$14,0)))*Settings!$B$6)+IF(AP527="Y",N(INDEX(Mob_Demob!$I$6:$I$14,MATCH(AM527,Mob_Demob!$A$6:$A$14,0)))*Settings!$B$19,0)+N(INDEX(Mob_Demob!$L$6:$L$14,MATCH(AM527,Mob_Demob!$A$6:$A$14,0)))*N(INDEX(Mob_Demob!$K$6:$K$14,MATCH(AM527,Mob_Demob!$A$6:$A$14,0)))*Settings!$B$6+N(INDEX(Mob_Demob!$M$6:$M$14,MATCH(AM527,Mob_Demob!$A$6:$A$14,0)))*N(INDEX(Mob_Demob!$N$6:$N$14,MATCH(AM527,Mob_Demob!$A$6:$A$14,0))),0)),"")</f>
        <v>550</v>
      </c>
      <c r="AR527" s="16" t="n">
        <f aca="false">IF(AQ527="","",ROUND(AQ527*Settings!$B$18,0))</f>
        <v>550</v>
      </c>
      <c r="AS527" s="13" t="s">
        <v>3121</v>
      </c>
      <c r="AT527" s="14" t="s">
        <v>3196</v>
      </c>
      <c r="AU527" s="14" t="s">
        <v>838</v>
      </c>
    </row>
    <row r="528" customFormat="false" ht="53.7" hidden="false" customHeight="false" outlineLevel="0" collapsed="false">
      <c r="A528" s="21" t="s">
        <v>3213</v>
      </c>
      <c r="B528" s="21" t="s">
        <v>3053</v>
      </c>
      <c r="C528" s="21" t="s">
        <v>3115</v>
      </c>
      <c r="D528" s="21" t="s">
        <v>3193</v>
      </c>
      <c r="E528" s="22" t="s">
        <v>3214</v>
      </c>
      <c r="F528" s="13" t="s">
        <v>3117</v>
      </c>
      <c r="G528" s="13" t="n">
        <v>2000</v>
      </c>
      <c r="H528" s="13" t="s">
        <v>3118</v>
      </c>
      <c r="I528" s="14"/>
      <c r="J528" s="15"/>
      <c r="K528" s="13"/>
      <c r="L528" s="13" t="s">
        <v>3214</v>
      </c>
      <c r="M528" s="13"/>
      <c r="N528" s="13" t="s">
        <v>184</v>
      </c>
      <c r="O528" s="13" t="s">
        <v>1844</v>
      </c>
      <c r="P528" s="13" t="s">
        <v>186</v>
      </c>
      <c r="Q528" s="20" t="n">
        <v>4919</v>
      </c>
      <c r="R528" s="20" t="n">
        <v>14756</v>
      </c>
      <c r="S528" s="20" t="n">
        <v>44267</v>
      </c>
      <c r="T528" s="16"/>
      <c r="U528" s="16"/>
      <c r="V528" s="13" t="s">
        <v>187</v>
      </c>
      <c r="W528" s="17"/>
      <c r="X528" s="13"/>
      <c r="Y528" s="13" t="s">
        <v>259</v>
      </c>
      <c r="Z528" s="13" t="s">
        <v>260</v>
      </c>
      <c r="AA528" s="13" t="s">
        <v>192</v>
      </c>
      <c r="AB528" s="13"/>
      <c r="AC528" s="17"/>
      <c r="AD528" s="13"/>
      <c r="AE528" s="19"/>
      <c r="AF528" s="19"/>
      <c r="AG528" s="19"/>
      <c r="AH528" s="13"/>
      <c r="AI528" s="17"/>
      <c r="AJ528" s="13" t="s">
        <v>188</v>
      </c>
      <c r="AK528" s="13" t="s">
        <v>188</v>
      </c>
      <c r="AL528" s="14" t="s">
        <v>3120</v>
      </c>
      <c r="AM528" s="13" t="s">
        <v>216</v>
      </c>
      <c r="AN528" s="15"/>
      <c r="AO528" s="13"/>
      <c r="AP528" s="13" t="s">
        <v>241</v>
      </c>
      <c r="AQ528" s="16" t="n">
        <f aca="false">IFERROR(IF(AND(INDEX(Mob_Demob!$D$6:$D$14,MATCH(AM528,Mob_Demob!$A$6:$A$14,0))="",INDEX(Mob_Demob!$G$6:$G$14,MATCH(AM528,Mob_Demob!$A$6:$A$14,0))=""),"",ROUND(MAX(N(INDEX(Mob_Demob!$G$6:$G$14,MATCH(AM528,Mob_Demob!$A$6:$A$14,0))),N(INDEX(Mob_Demob!$D$6:$D$14,MATCH(AM528,Mob_Demob!$A$6:$A$14,0)))*Settings!$B$6)+IF(AP528="Y",N(INDEX(Mob_Demob!$I$6:$I$14,MATCH(AM528,Mob_Demob!$A$6:$A$14,0)))*Settings!$B$19,0)+N(INDEX(Mob_Demob!$L$6:$L$14,MATCH(AM528,Mob_Demob!$A$6:$A$14,0)))*N(INDEX(Mob_Demob!$K$6:$K$14,MATCH(AM528,Mob_Demob!$A$6:$A$14,0)))*Settings!$B$6+N(INDEX(Mob_Demob!$M$6:$M$14,MATCH(AM528,Mob_Demob!$A$6:$A$14,0)))*N(INDEX(Mob_Demob!$N$6:$N$14,MATCH(AM528,Mob_Demob!$A$6:$A$14,0))),0)),"")</f>
        <v>550</v>
      </c>
      <c r="AR528" s="16" t="n">
        <f aca="false">IF(AQ528="","",ROUND(AQ528*Settings!$B$18,0))</f>
        <v>550</v>
      </c>
      <c r="AS528" s="13" t="s">
        <v>3121</v>
      </c>
      <c r="AT528" s="14" t="s">
        <v>3156</v>
      </c>
      <c r="AU528" s="14" t="s">
        <v>262</v>
      </c>
    </row>
    <row r="529" customFormat="false" ht="53.7" hidden="false" customHeight="false" outlineLevel="0" collapsed="false">
      <c r="A529" s="21" t="s">
        <v>3215</v>
      </c>
      <c r="B529" s="21" t="s">
        <v>3053</v>
      </c>
      <c r="C529" s="21" t="s">
        <v>3115</v>
      </c>
      <c r="D529" s="21" t="s">
        <v>3193</v>
      </c>
      <c r="E529" s="22" t="s">
        <v>3216</v>
      </c>
      <c r="F529" s="13" t="s">
        <v>3117</v>
      </c>
      <c r="G529" s="13" t="n">
        <v>2500</v>
      </c>
      <c r="H529" s="13" t="s">
        <v>3118</v>
      </c>
      <c r="I529" s="14"/>
      <c r="J529" s="15"/>
      <c r="K529" s="13"/>
      <c r="L529" s="13" t="s">
        <v>3216</v>
      </c>
      <c r="M529" s="13"/>
      <c r="N529" s="13" t="s">
        <v>184</v>
      </c>
      <c r="O529" s="13" t="s">
        <v>1844</v>
      </c>
      <c r="P529" s="13" t="s">
        <v>186</v>
      </c>
      <c r="Q529" s="16"/>
      <c r="R529" s="16"/>
      <c r="S529" s="16"/>
      <c r="T529" s="16"/>
      <c r="U529" s="16"/>
      <c r="V529" s="13" t="s">
        <v>187</v>
      </c>
      <c r="W529" s="17"/>
      <c r="X529" s="13"/>
      <c r="Y529" s="13"/>
      <c r="Z529" s="13"/>
      <c r="AA529" s="13" t="s">
        <v>188</v>
      </c>
      <c r="AB529" s="13" t="s">
        <v>3217</v>
      </c>
      <c r="AC529" s="18" t="n">
        <v>801.68</v>
      </c>
      <c r="AD529" s="13" t="s">
        <v>190</v>
      </c>
      <c r="AE529" s="19"/>
      <c r="AF529" s="19"/>
      <c r="AG529" s="19"/>
      <c r="AH529" s="13"/>
      <c r="AI529" s="17" t="str">
        <f aca="false">IF(OR(AC529="",AF529="",Settings!$B$5=""),"",ROUND(AC529-AF529*Settings!$B$5,2))</f>
        <v/>
      </c>
      <c r="AJ529" s="13" t="s">
        <v>192</v>
      </c>
      <c r="AK529" s="13" t="s">
        <v>193</v>
      </c>
      <c r="AL529" s="14" t="s">
        <v>3120</v>
      </c>
      <c r="AM529" s="13" t="s">
        <v>216</v>
      </c>
      <c r="AN529" s="15"/>
      <c r="AO529" s="13"/>
      <c r="AP529" s="13" t="s">
        <v>241</v>
      </c>
      <c r="AQ529" s="16" t="n">
        <f aca="false">IFERROR(IF(AND(INDEX(Mob_Demob!$D$6:$D$14,MATCH(AM529,Mob_Demob!$A$6:$A$14,0))="",INDEX(Mob_Demob!$G$6:$G$14,MATCH(AM529,Mob_Demob!$A$6:$A$14,0))=""),"",ROUND(MAX(N(INDEX(Mob_Demob!$G$6:$G$14,MATCH(AM529,Mob_Demob!$A$6:$A$14,0))),N(INDEX(Mob_Demob!$D$6:$D$14,MATCH(AM529,Mob_Demob!$A$6:$A$14,0)))*Settings!$B$6)+IF(AP529="Y",N(INDEX(Mob_Demob!$I$6:$I$14,MATCH(AM529,Mob_Demob!$A$6:$A$14,0)))*Settings!$B$19,0)+N(INDEX(Mob_Demob!$L$6:$L$14,MATCH(AM529,Mob_Demob!$A$6:$A$14,0)))*N(INDEX(Mob_Demob!$K$6:$K$14,MATCH(AM529,Mob_Demob!$A$6:$A$14,0)))*Settings!$B$6+N(INDEX(Mob_Demob!$M$6:$M$14,MATCH(AM529,Mob_Demob!$A$6:$A$14,0)))*N(INDEX(Mob_Demob!$N$6:$N$14,MATCH(AM529,Mob_Demob!$A$6:$A$14,0))),0)),"")</f>
        <v>550</v>
      </c>
      <c r="AR529" s="16" t="n">
        <f aca="false">IF(AQ529="","",ROUND(AQ529*Settings!$B$18,0))</f>
        <v>550</v>
      </c>
      <c r="AS529" s="13" t="s">
        <v>3121</v>
      </c>
      <c r="AT529" s="14" t="s">
        <v>3218</v>
      </c>
      <c r="AU529" s="14" t="s">
        <v>838</v>
      </c>
    </row>
    <row r="530" customFormat="false" ht="53.7" hidden="false" customHeight="false" outlineLevel="0" collapsed="false">
      <c r="A530" s="21" t="s">
        <v>3219</v>
      </c>
      <c r="B530" s="21" t="s">
        <v>3053</v>
      </c>
      <c r="C530" s="21" t="s">
        <v>3115</v>
      </c>
      <c r="D530" s="21" t="s">
        <v>3193</v>
      </c>
      <c r="E530" s="22" t="s">
        <v>3220</v>
      </c>
      <c r="F530" s="13" t="s">
        <v>3117</v>
      </c>
      <c r="G530" s="13" t="n">
        <v>3000</v>
      </c>
      <c r="H530" s="13" t="s">
        <v>3118</v>
      </c>
      <c r="I530" s="14" t="s">
        <v>3221</v>
      </c>
      <c r="J530" s="15"/>
      <c r="K530" s="13"/>
      <c r="L530" s="13" t="s">
        <v>3220</v>
      </c>
      <c r="M530" s="13"/>
      <c r="N530" s="13" t="s">
        <v>184</v>
      </c>
      <c r="O530" s="13" t="s">
        <v>1844</v>
      </c>
      <c r="P530" s="13" t="s">
        <v>186</v>
      </c>
      <c r="Q530" s="16"/>
      <c r="R530" s="16"/>
      <c r="S530" s="16"/>
      <c r="T530" s="16"/>
      <c r="U530" s="16"/>
      <c r="V530" s="13" t="s">
        <v>187</v>
      </c>
      <c r="W530" s="17"/>
      <c r="X530" s="13"/>
      <c r="Y530" s="13"/>
      <c r="Z530" s="13"/>
      <c r="AA530" s="13" t="s">
        <v>188</v>
      </c>
      <c r="AB530" s="13" t="s">
        <v>3222</v>
      </c>
      <c r="AC530" s="18" t="n">
        <v>802.74</v>
      </c>
      <c r="AD530" s="13" t="s">
        <v>190</v>
      </c>
      <c r="AE530" s="19"/>
      <c r="AF530" s="19"/>
      <c r="AG530" s="19"/>
      <c r="AH530" s="13"/>
      <c r="AI530" s="17" t="str">
        <f aca="false">IF(OR(AC530="",AF530="",Settings!$B$5=""),"",ROUND(AC530-AF530*Settings!$B$5,2))</f>
        <v/>
      </c>
      <c r="AJ530" s="13" t="s">
        <v>192</v>
      </c>
      <c r="AK530" s="13" t="s">
        <v>193</v>
      </c>
      <c r="AL530" s="14" t="s">
        <v>3120</v>
      </c>
      <c r="AM530" s="13" t="s">
        <v>216</v>
      </c>
      <c r="AN530" s="15"/>
      <c r="AO530" s="13"/>
      <c r="AP530" s="13" t="s">
        <v>241</v>
      </c>
      <c r="AQ530" s="16" t="n">
        <f aca="false">IFERROR(IF(AND(INDEX(Mob_Demob!$D$6:$D$14,MATCH(AM530,Mob_Demob!$A$6:$A$14,0))="",INDEX(Mob_Demob!$G$6:$G$14,MATCH(AM530,Mob_Demob!$A$6:$A$14,0))=""),"",ROUND(MAX(N(INDEX(Mob_Demob!$G$6:$G$14,MATCH(AM530,Mob_Demob!$A$6:$A$14,0))),N(INDEX(Mob_Demob!$D$6:$D$14,MATCH(AM530,Mob_Demob!$A$6:$A$14,0)))*Settings!$B$6)+IF(AP530="Y",N(INDEX(Mob_Demob!$I$6:$I$14,MATCH(AM530,Mob_Demob!$A$6:$A$14,0)))*Settings!$B$19,0)+N(INDEX(Mob_Demob!$L$6:$L$14,MATCH(AM530,Mob_Demob!$A$6:$A$14,0)))*N(INDEX(Mob_Demob!$K$6:$K$14,MATCH(AM530,Mob_Demob!$A$6:$A$14,0)))*Settings!$B$6+N(INDEX(Mob_Demob!$M$6:$M$14,MATCH(AM530,Mob_Demob!$A$6:$A$14,0)))*N(INDEX(Mob_Demob!$N$6:$N$14,MATCH(AM530,Mob_Demob!$A$6:$A$14,0))),0)),"")</f>
        <v>550</v>
      </c>
      <c r="AR530" s="16" t="n">
        <f aca="false">IF(AQ530="","",ROUND(AQ530*Settings!$B$18,0))</f>
        <v>550</v>
      </c>
      <c r="AS530" s="13" t="s">
        <v>3121</v>
      </c>
      <c r="AT530" s="14" t="s">
        <v>3196</v>
      </c>
      <c r="AU530" s="14" t="s">
        <v>838</v>
      </c>
    </row>
    <row r="531" customFormat="false" ht="53.7" hidden="false" customHeight="false" outlineLevel="0" collapsed="false">
      <c r="A531" s="21" t="s">
        <v>3223</v>
      </c>
      <c r="B531" s="21" t="s">
        <v>3053</v>
      </c>
      <c r="C531" s="21" t="s">
        <v>3224</v>
      </c>
      <c r="D531" s="21" t="s">
        <v>3225</v>
      </c>
      <c r="E531" s="22" t="s">
        <v>3226</v>
      </c>
      <c r="F531" s="13" t="s">
        <v>3227</v>
      </c>
      <c r="G531" s="13" t="n">
        <v>4</v>
      </c>
      <c r="H531" s="13" t="s">
        <v>3228</v>
      </c>
      <c r="I531" s="14" t="s">
        <v>3229</v>
      </c>
      <c r="J531" s="15"/>
      <c r="K531" s="13"/>
      <c r="L531" s="13"/>
      <c r="M531" s="13" t="n">
        <v>25</v>
      </c>
      <c r="N531" s="13" t="s">
        <v>184</v>
      </c>
      <c r="O531" s="13" t="s">
        <v>504</v>
      </c>
      <c r="P531" s="13" t="s">
        <v>186</v>
      </c>
      <c r="Q531" s="20" t="n">
        <v>125</v>
      </c>
      <c r="R531" s="20" t="n">
        <v>435</v>
      </c>
      <c r="S531" s="20" t="n">
        <v>1095</v>
      </c>
      <c r="T531" s="20" t="n">
        <v>630</v>
      </c>
      <c r="U531" s="20" t="n">
        <v>1271</v>
      </c>
      <c r="V531" s="13" t="s">
        <v>187</v>
      </c>
      <c r="W531" s="17"/>
      <c r="X531" s="13"/>
      <c r="Y531" s="13" t="s">
        <v>1178</v>
      </c>
      <c r="Z531" s="13" t="s">
        <v>212</v>
      </c>
      <c r="AA531" s="13" t="s">
        <v>213</v>
      </c>
      <c r="AB531" s="13"/>
      <c r="AC531" s="17"/>
      <c r="AD531" s="13"/>
      <c r="AE531" s="19"/>
      <c r="AF531" s="19" t="n">
        <v>0.61</v>
      </c>
      <c r="AG531" s="19"/>
      <c r="AH531" s="13" t="s">
        <v>3230</v>
      </c>
      <c r="AI531" s="17"/>
      <c r="AJ531" s="13" t="s">
        <v>188</v>
      </c>
      <c r="AK531" s="13" t="s">
        <v>188</v>
      </c>
      <c r="AL531" s="14" t="s">
        <v>3120</v>
      </c>
      <c r="AM531" s="13" t="s">
        <v>1147</v>
      </c>
      <c r="AN531" s="15"/>
      <c r="AO531" s="13"/>
      <c r="AP531" s="13" t="s">
        <v>196</v>
      </c>
      <c r="AQ531" s="16" t="n">
        <f aca="false">IFERROR(IF(AND(INDEX(Mob_Demob!$D$6:$D$14,MATCH(AM531,Mob_Demob!$A$6:$A$14,0))="",INDEX(Mob_Demob!$G$6:$G$14,MATCH(AM531,Mob_Demob!$A$6:$A$14,0))=""),"",ROUND(MAX(N(INDEX(Mob_Demob!$G$6:$G$14,MATCH(AM531,Mob_Demob!$A$6:$A$14,0))),N(INDEX(Mob_Demob!$D$6:$D$14,MATCH(AM531,Mob_Demob!$A$6:$A$14,0)))*Settings!$B$6)+IF(AP531="Y",N(INDEX(Mob_Demob!$I$6:$I$14,MATCH(AM531,Mob_Demob!$A$6:$A$14,0)))*Settings!$B$19,0)+N(INDEX(Mob_Demob!$L$6:$L$14,MATCH(AM531,Mob_Demob!$A$6:$A$14,0)))*N(INDEX(Mob_Demob!$K$6:$K$14,MATCH(AM531,Mob_Demob!$A$6:$A$14,0)))*Settings!$B$6+N(INDEX(Mob_Demob!$M$6:$M$14,MATCH(AM531,Mob_Demob!$A$6:$A$14,0)))*N(INDEX(Mob_Demob!$N$6:$N$14,MATCH(AM531,Mob_Demob!$A$6:$A$14,0))),0)),"")</f>
        <v>200</v>
      </c>
      <c r="AR531" s="16" t="n">
        <f aca="false">IF(AQ531="","",ROUND(AQ531*Settings!$B$18,0))</f>
        <v>200</v>
      </c>
      <c r="AS531" s="13" t="s">
        <v>3231</v>
      </c>
      <c r="AT531" s="14" t="s">
        <v>3232</v>
      </c>
      <c r="AU531" s="14" t="s">
        <v>341</v>
      </c>
    </row>
    <row r="532" customFormat="false" ht="53.7" hidden="false" customHeight="false" outlineLevel="0" collapsed="false">
      <c r="A532" s="21" t="s">
        <v>3233</v>
      </c>
      <c r="B532" s="21" t="s">
        <v>3053</v>
      </c>
      <c r="C532" s="21" t="s">
        <v>3224</v>
      </c>
      <c r="D532" s="21" t="s">
        <v>3234</v>
      </c>
      <c r="E532" s="22" t="s">
        <v>3235</v>
      </c>
      <c r="F532" s="13" t="s">
        <v>3115</v>
      </c>
      <c r="G532" s="13" t="n">
        <v>8</v>
      </c>
      <c r="H532" s="13" t="s">
        <v>3118</v>
      </c>
      <c r="I532" s="14" t="s">
        <v>3236</v>
      </c>
      <c r="J532" s="15"/>
      <c r="K532" s="13" t="n">
        <v>13</v>
      </c>
      <c r="L532" s="13"/>
      <c r="M532" s="13" t="n">
        <v>25</v>
      </c>
      <c r="N532" s="13" t="s">
        <v>184</v>
      </c>
      <c r="O532" s="13" t="s">
        <v>504</v>
      </c>
      <c r="P532" s="13" t="s">
        <v>186</v>
      </c>
      <c r="Q532" s="16"/>
      <c r="R532" s="16"/>
      <c r="S532" s="16"/>
      <c r="T532" s="16"/>
      <c r="U532" s="16"/>
      <c r="V532" s="13" t="s">
        <v>187</v>
      </c>
      <c r="W532" s="17"/>
      <c r="X532" s="13"/>
      <c r="Y532" s="13"/>
      <c r="Z532" s="13"/>
      <c r="AA532" s="13" t="s">
        <v>188</v>
      </c>
      <c r="AB532" s="13" t="s">
        <v>3237</v>
      </c>
      <c r="AC532" s="18" t="n">
        <v>5.55</v>
      </c>
      <c r="AD532" s="13" t="s">
        <v>190</v>
      </c>
      <c r="AE532" s="19" t="n">
        <v>0.2</v>
      </c>
      <c r="AF532" s="19" t="n">
        <v>0.335</v>
      </c>
      <c r="AG532" s="19" t="n">
        <v>0.6</v>
      </c>
      <c r="AH532" s="13" t="s">
        <v>3238</v>
      </c>
      <c r="AI532" s="17" t="n">
        <f aca="false">IF(OR(AC532="",AF532="",Settings!$B$5=""),"",ROUND(AC532-AF532*Settings!$B$5,2))</f>
        <v>4.32</v>
      </c>
      <c r="AJ532" s="13" t="s">
        <v>192</v>
      </c>
      <c r="AK532" s="13" t="s">
        <v>193</v>
      </c>
      <c r="AL532" s="14" t="s">
        <v>3120</v>
      </c>
      <c r="AM532" s="13" t="s">
        <v>1147</v>
      </c>
      <c r="AN532" s="15"/>
      <c r="AO532" s="13"/>
      <c r="AP532" s="13" t="s">
        <v>196</v>
      </c>
      <c r="AQ532" s="16" t="n">
        <f aca="false">IFERROR(IF(AND(INDEX(Mob_Demob!$D$6:$D$14,MATCH(AM532,Mob_Demob!$A$6:$A$14,0))="",INDEX(Mob_Demob!$G$6:$G$14,MATCH(AM532,Mob_Demob!$A$6:$A$14,0))=""),"",ROUND(MAX(N(INDEX(Mob_Demob!$G$6:$G$14,MATCH(AM532,Mob_Demob!$A$6:$A$14,0))),N(INDEX(Mob_Demob!$D$6:$D$14,MATCH(AM532,Mob_Demob!$A$6:$A$14,0)))*Settings!$B$6)+IF(AP532="Y",N(INDEX(Mob_Demob!$I$6:$I$14,MATCH(AM532,Mob_Demob!$A$6:$A$14,0)))*Settings!$B$19,0)+N(INDEX(Mob_Demob!$L$6:$L$14,MATCH(AM532,Mob_Demob!$A$6:$A$14,0)))*N(INDEX(Mob_Demob!$K$6:$K$14,MATCH(AM532,Mob_Demob!$A$6:$A$14,0)))*Settings!$B$6+N(INDEX(Mob_Demob!$M$6:$M$14,MATCH(AM532,Mob_Demob!$A$6:$A$14,0)))*N(INDEX(Mob_Demob!$N$6:$N$14,MATCH(AM532,Mob_Demob!$A$6:$A$14,0))),0)),"")</f>
        <v>200</v>
      </c>
      <c r="AR532" s="16" t="n">
        <f aca="false">IF(AQ532="","",ROUND(AQ532*Settings!$B$18,0))</f>
        <v>200</v>
      </c>
      <c r="AS532" s="13" t="s">
        <v>3231</v>
      </c>
      <c r="AT532" s="14" t="s">
        <v>3239</v>
      </c>
      <c r="AU532" s="14" t="s">
        <v>199</v>
      </c>
    </row>
    <row r="533" customFormat="false" ht="53.7" hidden="false" customHeight="false" outlineLevel="0" collapsed="false">
      <c r="A533" s="21" t="s">
        <v>3240</v>
      </c>
      <c r="B533" s="21" t="s">
        <v>3053</v>
      </c>
      <c r="C533" s="21" t="s">
        <v>3224</v>
      </c>
      <c r="D533" s="21" t="s">
        <v>3241</v>
      </c>
      <c r="E533" s="22" t="s">
        <v>3242</v>
      </c>
      <c r="F533" s="13" t="s">
        <v>3115</v>
      </c>
      <c r="G533" s="13" t="n">
        <v>20</v>
      </c>
      <c r="H533" s="13" t="s">
        <v>3118</v>
      </c>
      <c r="I533" s="14" t="s">
        <v>3243</v>
      </c>
      <c r="J533" s="15"/>
      <c r="K533" s="13" t="n">
        <v>40</v>
      </c>
      <c r="L533" s="13"/>
      <c r="M533" s="13" t="n">
        <v>25</v>
      </c>
      <c r="N533" s="13" t="s">
        <v>184</v>
      </c>
      <c r="O533" s="13" t="s">
        <v>504</v>
      </c>
      <c r="P533" s="13" t="s">
        <v>186</v>
      </c>
      <c r="Q533" s="16"/>
      <c r="R533" s="16"/>
      <c r="S533" s="16"/>
      <c r="T533" s="16"/>
      <c r="U533" s="16"/>
      <c r="V533" s="13" t="s">
        <v>187</v>
      </c>
      <c r="W533" s="17"/>
      <c r="X533" s="13"/>
      <c r="Y533" s="13"/>
      <c r="Z533" s="13"/>
      <c r="AA533" s="13" t="s">
        <v>188</v>
      </c>
      <c r="AB533" s="13" t="s">
        <v>3244</v>
      </c>
      <c r="AC533" s="18" t="n">
        <v>8.66</v>
      </c>
      <c r="AD533" s="13" t="s">
        <v>190</v>
      </c>
      <c r="AE533" s="19" t="n">
        <f aca="false">ROUND(K533*Settings!$B$11*Settings!$B$13,2)</f>
        <v>0.68</v>
      </c>
      <c r="AF533" s="19" t="n">
        <f aca="false">ROUND(K533*Settings!$B$11*Settings!$B$14,2)</f>
        <v>0.89</v>
      </c>
      <c r="AG533" s="19" t="n">
        <f aca="false">ROUND(K533*Settings!$B$11*Settings!$B$15,2)</f>
        <v>1.17</v>
      </c>
      <c r="AH533" s="13" t="s">
        <v>191</v>
      </c>
      <c r="AI533" s="17" t="n">
        <f aca="false">IF(OR(AC533="",AF533="",Settings!$B$5=""),"",ROUND(AC533-AF533*Settings!$B$5,2))</f>
        <v>5.4</v>
      </c>
      <c r="AJ533" s="13" t="s">
        <v>192</v>
      </c>
      <c r="AK533" s="13" t="s">
        <v>193</v>
      </c>
      <c r="AL533" s="14" t="s">
        <v>3120</v>
      </c>
      <c r="AM533" s="13" t="s">
        <v>1147</v>
      </c>
      <c r="AN533" s="15"/>
      <c r="AO533" s="13"/>
      <c r="AP533" s="13" t="s">
        <v>196</v>
      </c>
      <c r="AQ533" s="16" t="n">
        <f aca="false">IFERROR(IF(AND(INDEX(Mob_Demob!$D$6:$D$14,MATCH(AM533,Mob_Demob!$A$6:$A$14,0))="",INDEX(Mob_Demob!$G$6:$G$14,MATCH(AM533,Mob_Demob!$A$6:$A$14,0))=""),"",ROUND(MAX(N(INDEX(Mob_Demob!$G$6:$G$14,MATCH(AM533,Mob_Demob!$A$6:$A$14,0))),N(INDEX(Mob_Demob!$D$6:$D$14,MATCH(AM533,Mob_Demob!$A$6:$A$14,0)))*Settings!$B$6)+IF(AP533="Y",N(INDEX(Mob_Demob!$I$6:$I$14,MATCH(AM533,Mob_Demob!$A$6:$A$14,0)))*Settings!$B$19,0)+N(INDEX(Mob_Demob!$L$6:$L$14,MATCH(AM533,Mob_Demob!$A$6:$A$14,0)))*N(INDEX(Mob_Demob!$K$6:$K$14,MATCH(AM533,Mob_Demob!$A$6:$A$14,0)))*Settings!$B$6+N(INDEX(Mob_Demob!$M$6:$M$14,MATCH(AM533,Mob_Demob!$A$6:$A$14,0)))*N(INDEX(Mob_Demob!$N$6:$N$14,MATCH(AM533,Mob_Demob!$A$6:$A$14,0))),0)),"")</f>
        <v>200</v>
      </c>
      <c r="AR533" s="16" t="n">
        <f aca="false">IF(AQ533="","",ROUND(AQ533*Settings!$B$18,0))</f>
        <v>200</v>
      </c>
      <c r="AS533" s="13" t="s">
        <v>3231</v>
      </c>
      <c r="AT533" s="14" t="s">
        <v>315</v>
      </c>
      <c r="AU533" s="14" t="s">
        <v>199</v>
      </c>
    </row>
    <row r="534" customFormat="false" ht="64.15" hidden="false" customHeight="false" outlineLevel="0" collapsed="false">
      <c r="A534" s="21" t="s">
        <v>3245</v>
      </c>
      <c r="B534" s="21" t="s">
        <v>3053</v>
      </c>
      <c r="C534" s="21" t="s">
        <v>3246</v>
      </c>
      <c r="D534" s="21" t="s">
        <v>3247</v>
      </c>
      <c r="E534" s="22" t="s">
        <v>3248</v>
      </c>
      <c r="F534" s="13" t="s">
        <v>3249</v>
      </c>
      <c r="G534" s="13" t="n">
        <v>230</v>
      </c>
      <c r="H534" s="13" t="s">
        <v>213</v>
      </c>
      <c r="I534" s="14"/>
      <c r="J534" s="15"/>
      <c r="K534" s="13"/>
      <c r="L534" s="13"/>
      <c r="M534" s="13"/>
      <c r="N534" s="13" t="s">
        <v>1163</v>
      </c>
      <c r="O534" s="13" t="s">
        <v>3250</v>
      </c>
      <c r="P534" s="13" t="s">
        <v>186</v>
      </c>
      <c r="Q534" s="16"/>
      <c r="R534" s="16"/>
      <c r="S534" s="16"/>
      <c r="T534" s="16"/>
      <c r="U534" s="16"/>
      <c r="V534" s="13" t="s">
        <v>187</v>
      </c>
      <c r="W534" s="17"/>
      <c r="X534" s="13"/>
      <c r="Y534" s="13"/>
      <c r="Z534" s="13"/>
      <c r="AA534" s="13" t="s">
        <v>188</v>
      </c>
      <c r="AB534" s="13" t="s">
        <v>3251</v>
      </c>
      <c r="AC534" s="17"/>
      <c r="AD534" s="13"/>
      <c r="AE534" s="19"/>
      <c r="AF534" s="19"/>
      <c r="AG534" s="19"/>
      <c r="AH534" s="13"/>
      <c r="AI534" s="17"/>
      <c r="AJ534" s="13" t="s">
        <v>188</v>
      </c>
      <c r="AK534" s="13" t="s">
        <v>188</v>
      </c>
      <c r="AL534" s="14" t="s">
        <v>194</v>
      </c>
      <c r="AM534" s="13" t="s">
        <v>1147</v>
      </c>
      <c r="AN534" s="15"/>
      <c r="AO534" s="13"/>
      <c r="AP534" s="13" t="s">
        <v>196</v>
      </c>
      <c r="AQ534" s="16" t="n">
        <f aca="false">IFERROR(IF(AND(INDEX(Mob_Demob!$D$6:$D$14,MATCH(AM534,Mob_Demob!$A$6:$A$14,0))="",INDEX(Mob_Demob!$G$6:$G$14,MATCH(AM534,Mob_Demob!$A$6:$A$14,0))=""),"",ROUND(MAX(N(INDEX(Mob_Demob!$G$6:$G$14,MATCH(AM534,Mob_Demob!$A$6:$A$14,0))),N(INDEX(Mob_Demob!$D$6:$D$14,MATCH(AM534,Mob_Demob!$A$6:$A$14,0)))*Settings!$B$6)+IF(AP534="Y",N(INDEX(Mob_Demob!$I$6:$I$14,MATCH(AM534,Mob_Demob!$A$6:$A$14,0)))*Settings!$B$19,0)+N(INDEX(Mob_Demob!$L$6:$L$14,MATCH(AM534,Mob_Demob!$A$6:$A$14,0)))*N(INDEX(Mob_Demob!$K$6:$K$14,MATCH(AM534,Mob_Demob!$A$6:$A$14,0)))*Settings!$B$6+N(INDEX(Mob_Demob!$M$6:$M$14,MATCH(AM534,Mob_Demob!$A$6:$A$14,0)))*N(INDEX(Mob_Demob!$N$6:$N$14,MATCH(AM534,Mob_Demob!$A$6:$A$14,0))),0)),"")</f>
        <v>200</v>
      </c>
      <c r="AR534" s="16" t="n">
        <f aca="false">IF(AQ534="","",ROUND(AQ534*Settings!$B$18,0))</f>
        <v>200</v>
      </c>
      <c r="AS534" s="13" t="s">
        <v>3121</v>
      </c>
      <c r="AT534" s="14" t="s">
        <v>3252</v>
      </c>
      <c r="AU534" s="14" t="s">
        <v>1100</v>
      </c>
    </row>
    <row r="535" customFormat="false" ht="64.15" hidden="false" customHeight="false" outlineLevel="0" collapsed="false">
      <c r="A535" s="21" t="s">
        <v>3253</v>
      </c>
      <c r="B535" s="21" t="s">
        <v>3053</v>
      </c>
      <c r="C535" s="21" t="s">
        <v>3246</v>
      </c>
      <c r="D535" s="21" t="s">
        <v>3247</v>
      </c>
      <c r="E535" s="22" t="s">
        <v>3254</v>
      </c>
      <c r="F535" s="13" t="s">
        <v>3249</v>
      </c>
      <c r="G535" s="13" t="n">
        <v>250</v>
      </c>
      <c r="H535" s="13" t="s">
        <v>213</v>
      </c>
      <c r="I535" s="14"/>
      <c r="J535" s="15"/>
      <c r="K535" s="13"/>
      <c r="L535" s="13"/>
      <c r="M535" s="13"/>
      <c r="N535" s="13" t="s">
        <v>1163</v>
      </c>
      <c r="O535" s="13" t="s">
        <v>3250</v>
      </c>
      <c r="P535" s="13" t="s">
        <v>186</v>
      </c>
      <c r="Q535" s="20" t="n">
        <v>65</v>
      </c>
      <c r="R535" s="20" t="n">
        <v>220</v>
      </c>
      <c r="S535" s="20" t="n">
        <v>550</v>
      </c>
      <c r="T535" s="16"/>
      <c r="U535" s="16"/>
      <c r="V535" s="13" t="s">
        <v>187</v>
      </c>
      <c r="W535" s="17"/>
      <c r="X535" s="13"/>
      <c r="Y535" s="13" t="s">
        <v>1755</v>
      </c>
      <c r="Z535" s="13" t="s">
        <v>1756</v>
      </c>
      <c r="AA535" s="13" t="s">
        <v>192</v>
      </c>
      <c r="AB535" s="13"/>
      <c r="AC535" s="17"/>
      <c r="AD535" s="13"/>
      <c r="AE535" s="19"/>
      <c r="AF535" s="19"/>
      <c r="AG535" s="19"/>
      <c r="AH535" s="13"/>
      <c r="AI535" s="17"/>
      <c r="AJ535" s="13" t="s">
        <v>188</v>
      </c>
      <c r="AK535" s="13" t="s">
        <v>188</v>
      </c>
      <c r="AL535" s="14" t="s">
        <v>194</v>
      </c>
      <c r="AM535" s="13" t="s">
        <v>1147</v>
      </c>
      <c r="AN535" s="15"/>
      <c r="AO535" s="13"/>
      <c r="AP535" s="13" t="s">
        <v>196</v>
      </c>
      <c r="AQ535" s="16" t="n">
        <f aca="false">IFERROR(IF(AND(INDEX(Mob_Demob!$D$6:$D$14,MATCH(AM535,Mob_Demob!$A$6:$A$14,0))="",INDEX(Mob_Demob!$G$6:$G$14,MATCH(AM535,Mob_Demob!$A$6:$A$14,0))=""),"",ROUND(MAX(N(INDEX(Mob_Demob!$G$6:$G$14,MATCH(AM535,Mob_Demob!$A$6:$A$14,0))),N(INDEX(Mob_Demob!$D$6:$D$14,MATCH(AM535,Mob_Demob!$A$6:$A$14,0)))*Settings!$B$6)+IF(AP535="Y",N(INDEX(Mob_Demob!$I$6:$I$14,MATCH(AM535,Mob_Demob!$A$6:$A$14,0)))*Settings!$B$19,0)+N(INDEX(Mob_Demob!$L$6:$L$14,MATCH(AM535,Mob_Demob!$A$6:$A$14,0)))*N(INDEX(Mob_Demob!$K$6:$K$14,MATCH(AM535,Mob_Demob!$A$6:$A$14,0)))*Settings!$B$6+N(INDEX(Mob_Demob!$M$6:$M$14,MATCH(AM535,Mob_Demob!$A$6:$A$14,0)))*N(INDEX(Mob_Demob!$N$6:$N$14,MATCH(AM535,Mob_Demob!$A$6:$A$14,0))),0)),"")</f>
        <v>200</v>
      </c>
      <c r="AR535" s="16" t="n">
        <f aca="false">IF(AQ535="","",ROUND(AQ535*Settings!$B$18,0))</f>
        <v>200</v>
      </c>
      <c r="AS535" s="13" t="s">
        <v>3121</v>
      </c>
      <c r="AT535" s="14" t="s">
        <v>3255</v>
      </c>
      <c r="AU535" s="14" t="s">
        <v>262</v>
      </c>
    </row>
    <row r="536" customFormat="false" ht="64.15" hidden="false" customHeight="false" outlineLevel="0" collapsed="false">
      <c r="A536" s="21" t="s">
        <v>3256</v>
      </c>
      <c r="B536" s="21" t="s">
        <v>3053</v>
      </c>
      <c r="C536" s="21" t="s">
        <v>3246</v>
      </c>
      <c r="D536" s="21" t="s">
        <v>3247</v>
      </c>
      <c r="E536" s="22" t="s">
        <v>3257</v>
      </c>
      <c r="F536" s="13" t="s">
        <v>3249</v>
      </c>
      <c r="G536" s="13" t="n">
        <v>300</v>
      </c>
      <c r="H536" s="13" t="s">
        <v>213</v>
      </c>
      <c r="I536" s="14"/>
      <c r="J536" s="15"/>
      <c r="K536" s="13"/>
      <c r="L536" s="13"/>
      <c r="M536" s="13"/>
      <c r="N536" s="13" t="s">
        <v>184</v>
      </c>
      <c r="O536" s="13" t="s">
        <v>3250</v>
      </c>
      <c r="P536" s="13" t="s">
        <v>186</v>
      </c>
      <c r="Q536" s="20" t="n">
        <v>95</v>
      </c>
      <c r="R536" s="20" t="n">
        <v>335</v>
      </c>
      <c r="S536" s="20" t="n">
        <v>850</v>
      </c>
      <c r="T536" s="16"/>
      <c r="U536" s="16"/>
      <c r="V536" s="13" t="s">
        <v>187</v>
      </c>
      <c r="W536" s="17"/>
      <c r="X536" s="13"/>
      <c r="Y536" s="13" t="s">
        <v>1755</v>
      </c>
      <c r="Z536" s="13" t="s">
        <v>1756</v>
      </c>
      <c r="AA536" s="13" t="s">
        <v>192</v>
      </c>
      <c r="AB536" s="13" t="s">
        <v>3258</v>
      </c>
      <c r="AC536" s="17"/>
      <c r="AD536" s="13"/>
      <c r="AE536" s="19"/>
      <c r="AF536" s="19"/>
      <c r="AG536" s="19"/>
      <c r="AH536" s="13"/>
      <c r="AI536" s="17"/>
      <c r="AJ536" s="13" t="s">
        <v>188</v>
      </c>
      <c r="AK536" s="13" t="s">
        <v>188</v>
      </c>
      <c r="AL536" s="14" t="s">
        <v>194</v>
      </c>
      <c r="AM536" s="13" t="s">
        <v>1147</v>
      </c>
      <c r="AN536" s="15"/>
      <c r="AO536" s="13"/>
      <c r="AP536" s="13" t="s">
        <v>196</v>
      </c>
      <c r="AQ536" s="16" t="n">
        <f aca="false">IFERROR(IF(AND(INDEX(Mob_Demob!$D$6:$D$14,MATCH(AM536,Mob_Demob!$A$6:$A$14,0))="",INDEX(Mob_Demob!$G$6:$G$14,MATCH(AM536,Mob_Demob!$A$6:$A$14,0))=""),"",ROUND(MAX(N(INDEX(Mob_Demob!$G$6:$G$14,MATCH(AM536,Mob_Demob!$A$6:$A$14,0))),N(INDEX(Mob_Demob!$D$6:$D$14,MATCH(AM536,Mob_Demob!$A$6:$A$14,0)))*Settings!$B$6)+IF(AP536="Y",N(INDEX(Mob_Demob!$I$6:$I$14,MATCH(AM536,Mob_Demob!$A$6:$A$14,0)))*Settings!$B$19,0)+N(INDEX(Mob_Demob!$L$6:$L$14,MATCH(AM536,Mob_Demob!$A$6:$A$14,0)))*N(INDEX(Mob_Demob!$K$6:$K$14,MATCH(AM536,Mob_Demob!$A$6:$A$14,0)))*Settings!$B$6+N(INDEX(Mob_Demob!$M$6:$M$14,MATCH(AM536,Mob_Demob!$A$6:$A$14,0)))*N(INDEX(Mob_Demob!$N$6:$N$14,MATCH(AM536,Mob_Demob!$A$6:$A$14,0))),0)),"")</f>
        <v>200</v>
      </c>
      <c r="AR536" s="16" t="n">
        <f aca="false">IF(AQ536="","",ROUND(AQ536*Settings!$B$18,0))</f>
        <v>200</v>
      </c>
      <c r="AS536" s="13" t="s">
        <v>3121</v>
      </c>
      <c r="AT536" s="14" t="s">
        <v>3259</v>
      </c>
      <c r="AU536" s="14" t="s">
        <v>1106</v>
      </c>
    </row>
    <row r="537" customFormat="false" ht="64.15" hidden="false" customHeight="false" outlineLevel="0" collapsed="false">
      <c r="A537" s="21" t="s">
        <v>3260</v>
      </c>
      <c r="B537" s="21" t="s">
        <v>3053</v>
      </c>
      <c r="C537" s="21" t="s">
        <v>3246</v>
      </c>
      <c r="D537" s="21" t="s">
        <v>3247</v>
      </c>
      <c r="E537" s="22" t="s">
        <v>3261</v>
      </c>
      <c r="F537" s="13" t="s">
        <v>3249</v>
      </c>
      <c r="G537" s="13" t="n">
        <v>600</v>
      </c>
      <c r="H537" s="13" t="s">
        <v>213</v>
      </c>
      <c r="I537" s="14"/>
      <c r="J537" s="15"/>
      <c r="K537" s="13"/>
      <c r="L537" s="13"/>
      <c r="M537" s="13"/>
      <c r="N537" s="13" t="s">
        <v>184</v>
      </c>
      <c r="O537" s="13" t="s">
        <v>3250</v>
      </c>
      <c r="P537" s="13" t="s">
        <v>186</v>
      </c>
      <c r="Q537" s="16"/>
      <c r="R537" s="16"/>
      <c r="S537" s="16"/>
      <c r="T537" s="16"/>
      <c r="U537" s="16"/>
      <c r="V537" s="13" t="s">
        <v>187</v>
      </c>
      <c r="W537" s="17"/>
      <c r="X537" s="13"/>
      <c r="Y537" s="13"/>
      <c r="Z537" s="13"/>
      <c r="AA537" s="13" t="s">
        <v>188</v>
      </c>
      <c r="AB537" s="13" t="s">
        <v>3262</v>
      </c>
      <c r="AC537" s="17"/>
      <c r="AD537" s="13"/>
      <c r="AE537" s="19"/>
      <c r="AF537" s="19"/>
      <c r="AG537" s="19"/>
      <c r="AH537" s="13"/>
      <c r="AI537" s="17"/>
      <c r="AJ537" s="13" t="s">
        <v>188</v>
      </c>
      <c r="AK537" s="13" t="s">
        <v>188</v>
      </c>
      <c r="AL537" s="14" t="s">
        <v>194</v>
      </c>
      <c r="AM537" s="13" t="s">
        <v>1147</v>
      </c>
      <c r="AN537" s="15"/>
      <c r="AO537" s="13"/>
      <c r="AP537" s="13" t="s">
        <v>196</v>
      </c>
      <c r="AQ537" s="16" t="n">
        <f aca="false">IFERROR(IF(AND(INDEX(Mob_Demob!$D$6:$D$14,MATCH(AM537,Mob_Demob!$A$6:$A$14,0))="",INDEX(Mob_Demob!$G$6:$G$14,MATCH(AM537,Mob_Demob!$A$6:$A$14,0))=""),"",ROUND(MAX(N(INDEX(Mob_Demob!$G$6:$G$14,MATCH(AM537,Mob_Demob!$A$6:$A$14,0))),N(INDEX(Mob_Demob!$D$6:$D$14,MATCH(AM537,Mob_Demob!$A$6:$A$14,0)))*Settings!$B$6)+IF(AP537="Y",N(INDEX(Mob_Demob!$I$6:$I$14,MATCH(AM537,Mob_Demob!$A$6:$A$14,0)))*Settings!$B$19,0)+N(INDEX(Mob_Demob!$L$6:$L$14,MATCH(AM537,Mob_Demob!$A$6:$A$14,0)))*N(INDEX(Mob_Demob!$K$6:$K$14,MATCH(AM537,Mob_Demob!$A$6:$A$14,0)))*Settings!$B$6+N(INDEX(Mob_Demob!$M$6:$M$14,MATCH(AM537,Mob_Demob!$A$6:$A$14,0)))*N(INDEX(Mob_Demob!$N$6:$N$14,MATCH(AM537,Mob_Demob!$A$6:$A$14,0))),0)),"")</f>
        <v>200</v>
      </c>
      <c r="AR537" s="16" t="n">
        <f aca="false">IF(AQ537="","",ROUND(AQ537*Settings!$B$18,0))</f>
        <v>200</v>
      </c>
      <c r="AS537" s="13" t="s">
        <v>3121</v>
      </c>
      <c r="AT537" s="14" t="s">
        <v>3263</v>
      </c>
      <c r="AU537" s="14" t="s">
        <v>1100</v>
      </c>
    </row>
    <row r="538" customFormat="false" ht="64.15" hidden="false" customHeight="false" outlineLevel="0" collapsed="false">
      <c r="A538" s="21" t="s">
        <v>3264</v>
      </c>
      <c r="B538" s="21" t="s">
        <v>3053</v>
      </c>
      <c r="C538" s="21" t="s">
        <v>3246</v>
      </c>
      <c r="D538" s="21" t="s">
        <v>3247</v>
      </c>
      <c r="E538" s="22" t="s">
        <v>3265</v>
      </c>
      <c r="F538" s="13" t="s">
        <v>3249</v>
      </c>
      <c r="G538" s="13" t="n">
        <v>800</v>
      </c>
      <c r="H538" s="13" t="s">
        <v>213</v>
      </c>
      <c r="I538" s="14"/>
      <c r="J538" s="15"/>
      <c r="K538" s="13"/>
      <c r="L538" s="13"/>
      <c r="M538" s="13"/>
      <c r="N538" s="13" t="s">
        <v>184</v>
      </c>
      <c r="O538" s="13" t="s">
        <v>3250</v>
      </c>
      <c r="P538" s="13" t="s">
        <v>186</v>
      </c>
      <c r="Q538" s="16"/>
      <c r="R538" s="16"/>
      <c r="S538" s="16"/>
      <c r="T538" s="16"/>
      <c r="U538" s="16"/>
      <c r="V538" s="13" t="s">
        <v>187</v>
      </c>
      <c r="W538" s="17"/>
      <c r="X538" s="13"/>
      <c r="Y538" s="13"/>
      <c r="Z538" s="13"/>
      <c r="AA538" s="13" t="s">
        <v>188</v>
      </c>
      <c r="AB538" s="13" t="s">
        <v>3266</v>
      </c>
      <c r="AC538" s="17"/>
      <c r="AD538" s="13"/>
      <c r="AE538" s="19"/>
      <c r="AF538" s="19"/>
      <c r="AG538" s="19"/>
      <c r="AH538" s="13"/>
      <c r="AI538" s="17"/>
      <c r="AJ538" s="13" t="s">
        <v>188</v>
      </c>
      <c r="AK538" s="13" t="s">
        <v>188</v>
      </c>
      <c r="AL538" s="14" t="s">
        <v>194</v>
      </c>
      <c r="AM538" s="13" t="s">
        <v>1147</v>
      </c>
      <c r="AN538" s="15"/>
      <c r="AO538" s="13"/>
      <c r="AP538" s="13" t="s">
        <v>196</v>
      </c>
      <c r="AQ538" s="16" t="n">
        <f aca="false">IFERROR(IF(AND(INDEX(Mob_Demob!$D$6:$D$14,MATCH(AM538,Mob_Demob!$A$6:$A$14,0))="",INDEX(Mob_Demob!$G$6:$G$14,MATCH(AM538,Mob_Demob!$A$6:$A$14,0))=""),"",ROUND(MAX(N(INDEX(Mob_Demob!$G$6:$G$14,MATCH(AM538,Mob_Demob!$A$6:$A$14,0))),N(INDEX(Mob_Demob!$D$6:$D$14,MATCH(AM538,Mob_Demob!$A$6:$A$14,0)))*Settings!$B$6)+IF(AP538="Y",N(INDEX(Mob_Demob!$I$6:$I$14,MATCH(AM538,Mob_Demob!$A$6:$A$14,0)))*Settings!$B$19,0)+N(INDEX(Mob_Demob!$L$6:$L$14,MATCH(AM538,Mob_Demob!$A$6:$A$14,0)))*N(INDEX(Mob_Demob!$K$6:$K$14,MATCH(AM538,Mob_Demob!$A$6:$A$14,0)))*Settings!$B$6+N(INDEX(Mob_Demob!$M$6:$M$14,MATCH(AM538,Mob_Demob!$A$6:$A$14,0)))*N(INDEX(Mob_Demob!$N$6:$N$14,MATCH(AM538,Mob_Demob!$A$6:$A$14,0))),0)),"")</f>
        <v>200</v>
      </c>
      <c r="AR538" s="16" t="n">
        <f aca="false">IF(AQ538="","",ROUND(AQ538*Settings!$B$18,0))</f>
        <v>200</v>
      </c>
      <c r="AS538" s="13" t="s">
        <v>3121</v>
      </c>
      <c r="AT538" s="14" t="s">
        <v>3267</v>
      </c>
      <c r="AU538" s="14" t="s">
        <v>1100</v>
      </c>
    </row>
    <row r="539" customFormat="false" ht="64.15" hidden="false" customHeight="false" outlineLevel="0" collapsed="false">
      <c r="A539" s="21" t="s">
        <v>3268</v>
      </c>
      <c r="B539" s="21" t="s">
        <v>3053</v>
      </c>
      <c r="C539" s="21" t="s">
        <v>3269</v>
      </c>
      <c r="D539" s="21" t="s">
        <v>3270</v>
      </c>
      <c r="E539" s="22" t="s">
        <v>3271</v>
      </c>
      <c r="F539" s="13" t="s">
        <v>3249</v>
      </c>
      <c r="G539" s="13" t="s">
        <v>3272</v>
      </c>
      <c r="H539" s="13" t="s">
        <v>3273</v>
      </c>
      <c r="I539" s="14"/>
      <c r="J539" s="15"/>
      <c r="K539" s="13"/>
      <c r="L539" s="13"/>
      <c r="M539" s="13"/>
      <c r="N539" s="13" t="s">
        <v>3274</v>
      </c>
      <c r="O539" s="13" t="s">
        <v>504</v>
      </c>
      <c r="P539" s="13" t="s">
        <v>186</v>
      </c>
      <c r="Q539" s="20" t="n">
        <v>55</v>
      </c>
      <c r="R539" s="20" t="n">
        <v>220</v>
      </c>
      <c r="S539" s="20" t="n">
        <v>440</v>
      </c>
      <c r="T539" s="20" t="n">
        <v>225</v>
      </c>
      <c r="U539" s="20" t="n">
        <v>693</v>
      </c>
      <c r="V539" s="13" t="s">
        <v>187</v>
      </c>
      <c r="W539" s="17"/>
      <c r="X539" s="13"/>
      <c r="Y539" s="13" t="s">
        <v>1178</v>
      </c>
      <c r="Z539" s="13" t="s">
        <v>212</v>
      </c>
      <c r="AA539" s="13" t="s">
        <v>213</v>
      </c>
      <c r="AB539" s="13"/>
      <c r="AC539" s="17"/>
      <c r="AD539" s="13"/>
      <c r="AE539" s="19"/>
      <c r="AF539" s="19"/>
      <c r="AG539" s="19"/>
      <c r="AH539" s="13"/>
      <c r="AI539" s="17"/>
      <c r="AJ539" s="13" t="s">
        <v>188</v>
      </c>
      <c r="AK539" s="13" t="s">
        <v>188</v>
      </c>
      <c r="AL539" s="14" t="s">
        <v>194</v>
      </c>
      <c r="AM539" s="13" t="s">
        <v>1147</v>
      </c>
      <c r="AN539" s="15"/>
      <c r="AO539" s="13"/>
      <c r="AP539" s="13" t="s">
        <v>196</v>
      </c>
      <c r="AQ539" s="16" t="n">
        <f aca="false">IFERROR(IF(AND(INDEX(Mob_Demob!$D$6:$D$14,MATCH(AM539,Mob_Demob!$A$6:$A$14,0))="",INDEX(Mob_Demob!$G$6:$G$14,MATCH(AM539,Mob_Demob!$A$6:$A$14,0))=""),"",ROUND(MAX(N(INDEX(Mob_Demob!$G$6:$G$14,MATCH(AM539,Mob_Demob!$A$6:$A$14,0))),N(INDEX(Mob_Demob!$D$6:$D$14,MATCH(AM539,Mob_Demob!$A$6:$A$14,0)))*Settings!$B$6)+IF(AP539="Y",N(INDEX(Mob_Demob!$I$6:$I$14,MATCH(AM539,Mob_Demob!$A$6:$A$14,0)))*Settings!$B$19,0)+N(INDEX(Mob_Demob!$L$6:$L$14,MATCH(AM539,Mob_Demob!$A$6:$A$14,0)))*N(INDEX(Mob_Demob!$K$6:$K$14,MATCH(AM539,Mob_Demob!$A$6:$A$14,0)))*Settings!$B$6+N(INDEX(Mob_Demob!$M$6:$M$14,MATCH(AM539,Mob_Demob!$A$6:$A$14,0)))*N(INDEX(Mob_Demob!$N$6:$N$14,MATCH(AM539,Mob_Demob!$A$6:$A$14,0))),0)),"")</f>
        <v>200</v>
      </c>
      <c r="AR539" s="16" t="n">
        <f aca="false">IF(AQ539="","",ROUND(AQ539*Settings!$B$18,0))</f>
        <v>200</v>
      </c>
      <c r="AS539" s="13" t="s">
        <v>3275</v>
      </c>
      <c r="AT539" s="14" t="s">
        <v>3276</v>
      </c>
      <c r="AU539" s="14" t="s">
        <v>262</v>
      </c>
    </row>
    <row r="540" customFormat="false" ht="64.15" hidden="false" customHeight="false" outlineLevel="0" collapsed="false">
      <c r="A540" s="21" t="s">
        <v>3277</v>
      </c>
      <c r="B540" s="21" t="s">
        <v>3053</v>
      </c>
      <c r="C540" s="21" t="s">
        <v>3269</v>
      </c>
      <c r="D540" s="21" t="s">
        <v>3278</v>
      </c>
      <c r="E540" s="22" t="s">
        <v>3279</v>
      </c>
      <c r="F540" s="13" t="s">
        <v>3249</v>
      </c>
      <c r="G540" s="13" t="s">
        <v>3280</v>
      </c>
      <c r="H540" s="13" t="s">
        <v>3273</v>
      </c>
      <c r="I540" s="14"/>
      <c r="J540" s="15"/>
      <c r="K540" s="13"/>
      <c r="L540" s="13"/>
      <c r="M540" s="13"/>
      <c r="N540" s="13" t="s">
        <v>3274</v>
      </c>
      <c r="O540" s="13" t="s">
        <v>504</v>
      </c>
      <c r="P540" s="13" t="s">
        <v>186</v>
      </c>
      <c r="Q540" s="20" t="n">
        <v>99</v>
      </c>
      <c r="R540" s="20" t="n">
        <v>288</v>
      </c>
      <c r="S540" s="20" t="n">
        <v>835</v>
      </c>
      <c r="T540" s="16"/>
      <c r="U540" s="16"/>
      <c r="V540" s="13" t="s">
        <v>187</v>
      </c>
      <c r="W540" s="17"/>
      <c r="X540" s="13"/>
      <c r="Y540" s="13" t="s">
        <v>259</v>
      </c>
      <c r="Z540" s="13" t="s">
        <v>260</v>
      </c>
      <c r="AA540" s="13" t="s">
        <v>192</v>
      </c>
      <c r="AB540" s="13"/>
      <c r="AC540" s="17"/>
      <c r="AD540" s="13"/>
      <c r="AE540" s="19"/>
      <c r="AF540" s="19"/>
      <c r="AG540" s="19"/>
      <c r="AH540" s="13"/>
      <c r="AI540" s="17"/>
      <c r="AJ540" s="13" t="s">
        <v>188</v>
      </c>
      <c r="AK540" s="13" t="s">
        <v>188</v>
      </c>
      <c r="AL540" s="14" t="s">
        <v>194</v>
      </c>
      <c r="AM540" s="13" t="s">
        <v>1147</v>
      </c>
      <c r="AN540" s="15"/>
      <c r="AO540" s="13"/>
      <c r="AP540" s="13" t="s">
        <v>196</v>
      </c>
      <c r="AQ540" s="16" t="n">
        <f aca="false">IFERROR(IF(AND(INDEX(Mob_Demob!$D$6:$D$14,MATCH(AM540,Mob_Demob!$A$6:$A$14,0))="",INDEX(Mob_Demob!$G$6:$G$14,MATCH(AM540,Mob_Demob!$A$6:$A$14,0))=""),"",ROUND(MAX(N(INDEX(Mob_Demob!$G$6:$G$14,MATCH(AM540,Mob_Demob!$A$6:$A$14,0))),N(INDEX(Mob_Demob!$D$6:$D$14,MATCH(AM540,Mob_Demob!$A$6:$A$14,0)))*Settings!$B$6)+IF(AP540="Y",N(INDEX(Mob_Demob!$I$6:$I$14,MATCH(AM540,Mob_Demob!$A$6:$A$14,0)))*Settings!$B$19,0)+N(INDEX(Mob_Demob!$L$6:$L$14,MATCH(AM540,Mob_Demob!$A$6:$A$14,0)))*N(INDEX(Mob_Demob!$K$6:$K$14,MATCH(AM540,Mob_Demob!$A$6:$A$14,0)))*Settings!$B$6+N(INDEX(Mob_Demob!$M$6:$M$14,MATCH(AM540,Mob_Demob!$A$6:$A$14,0)))*N(INDEX(Mob_Demob!$N$6:$N$14,MATCH(AM540,Mob_Demob!$A$6:$A$14,0))),0)),"")</f>
        <v>200</v>
      </c>
      <c r="AR540" s="16" t="n">
        <f aca="false">IF(AQ540="","",ROUND(AQ540*Settings!$B$18,0))</f>
        <v>200</v>
      </c>
      <c r="AS540" s="13" t="s">
        <v>3275</v>
      </c>
      <c r="AT540" s="14" t="s">
        <v>3281</v>
      </c>
      <c r="AU540" s="14" t="s">
        <v>262</v>
      </c>
    </row>
    <row r="541" customFormat="false" ht="64.15" hidden="false" customHeight="false" outlineLevel="0" collapsed="false">
      <c r="A541" s="21" t="s">
        <v>3282</v>
      </c>
      <c r="B541" s="21" t="s">
        <v>3053</v>
      </c>
      <c r="C541" s="21" t="s">
        <v>3269</v>
      </c>
      <c r="D541" s="21" t="s">
        <v>3283</v>
      </c>
      <c r="E541" s="22" t="s">
        <v>3284</v>
      </c>
      <c r="F541" s="13" t="s">
        <v>3249</v>
      </c>
      <c r="G541" s="13" t="s">
        <v>3285</v>
      </c>
      <c r="H541" s="13" t="s">
        <v>3273</v>
      </c>
      <c r="I541" s="14"/>
      <c r="J541" s="15"/>
      <c r="K541" s="13"/>
      <c r="L541" s="13"/>
      <c r="M541" s="13"/>
      <c r="N541" s="13" t="s">
        <v>3274</v>
      </c>
      <c r="O541" s="13" t="s">
        <v>504</v>
      </c>
      <c r="P541" s="13" t="s">
        <v>186</v>
      </c>
      <c r="Q541" s="20" t="n">
        <v>158</v>
      </c>
      <c r="R541" s="20" t="n">
        <v>425</v>
      </c>
      <c r="S541" s="20" t="n">
        <v>1309</v>
      </c>
      <c r="T541" s="20" t="n">
        <v>1095</v>
      </c>
      <c r="U541" s="20" t="n">
        <v>1523</v>
      </c>
      <c r="V541" s="13" t="s">
        <v>187</v>
      </c>
      <c r="W541" s="17"/>
      <c r="X541" s="13"/>
      <c r="Y541" s="13" t="s">
        <v>1747</v>
      </c>
      <c r="Z541" s="13" t="s">
        <v>212</v>
      </c>
      <c r="AA541" s="13" t="s">
        <v>213</v>
      </c>
      <c r="AB541" s="13"/>
      <c r="AC541" s="17"/>
      <c r="AD541" s="13"/>
      <c r="AE541" s="19"/>
      <c r="AF541" s="19"/>
      <c r="AG541" s="19"/>
      <c r="AH541" s="13"/>
      <c r="AI541" s="17"/>
      <c r="AJ541" s="13" t="s">
        <v>188</v>
      </c>
      <c r="AK541" s="13" t="s">
        <v>188</v>
      </c>
      <c r="AL541" s="14" t="s">
        <v>194</v>
      </c>
      <c r="AM541" s="13" t="s">
        <v>1147</v>
      </c>
      <c r="AN541" s="15"/>
      <c r="AO541" s="13"/>
      <c r="AP541" s="13" t="s">
        <v>196</v>
      </c>
      <c r="AQ541" s="16" t="n">
        <f aca="false">IFERROR(IF(AND(INDEX(Mob_Demob!$D$6:$D$14,MATCH(AM541,Mob_Demob!$A$6:$A$14,0))="",INDEX(Mob_Demob!$G$6:$G$14,MATCH(AM541,Mob_Demob!$A$6:$A$14,0))=""),"",ROUND(MAX(N(INDEX(Mob_Demob!$G$6:$G$14,MATCH(AM541,Mob_Demob!$A$6:$A$14,0))),N(INDEX(Mob_Demob!$D$6:$D$14,MATCH(AM541,Mob_Demob!$A$6:$A$14,0)))*Settings!$B$6)+IF(AP541="Y",N(INDEX(Mob_Demob!$I$6:$I$14,MATCH(AM541,Mob_Demob!$A$6:$A$14,0)))*Settings!$B$19,0)+N(INDEX(Mob_Demob!$L$6:$L$14,MATCH(AM541,Mob_Demob!$A$6:$A$14,0)))*N(INDEX(Mob_Demob!$K$6:$K$14,MATCH(AM541,Mob_Demob!$A$6:$A$14,0)))*Settings!$B$6+N(INDEX(Mob_Demob!$M$6:$M$14,MATCH(AM541,Mob_Demob!$A$6:$A$14,0)))*N(INDEX(Mob_Demob!$N$6:$N$14,MATCH(AM541,Mob_Demob!$A$6:$A$14,0))),0)),"")</f>
        <v>200</v>
      </c>
      <c r="AR541" s="16" t="n">
        <f aca="false">IF(AQ541="","",ROUND(AQ541*Settings!$B$18,0))</f>
        <v>200</v>
      </c>
      <c r="AS541" s="13" t="s">
        <v>3275</v>
      </c>
      <c r="AT541" s="14" t="s">
        <v>3286</v>
      </c>
      <c r="AU541" s="14" t="s">
        <v>262</v>
      </c>
    </row>
    <row r="542" customFormat="false" ht="64.15" hidden="false" customHeight="false" outlineLevel="0" collapsed="false">
      <c r="A542" s="21" t="s">
        <v>3287</v>
      </c>
      <c r="B542" s="21" t="s">
        <v>3053</v>
      </c>
      <c r="C542" s="21" t="s">
        <v>3269</v>
      </c>
      <c r="D542" s="21" t="s">
        <v>3288</v>
      </c>
      <c r="E542" s="22" t="s">
        <v>3289</v>
      </c>
      <c r="F542" s="13" t="s">
        <v>3249</v>
      </c>
      <c r="G542" s="13" t="s">
        <v>3290</v>
      </c>
      <c r="H542" s="13" t="s">
        <v>3273</v>
      </c>
      <c r="I542" s="14"/>
      <c r="J542" s="15"/>
      <c r="K542" s="13"/>
      <c r="L542" s="13"/>
      <c r="M542" s="13"/>
      <c r="N542" s="13" t="s">
        <v>3274</v>
      </c>
      <c r="O542" s="13" t="s">
        <v>504</v>
      </c>
      <c r="P542" s="13" t="s">
        <v>186</v>
      </c>
      <c r="Q542" s="20" t="n">
        <v>310</v>
      </c>
      <c r="R542" s="20" t="n">
        <v>688</v>
      </c>
      <c r="S542" s="20" t="n">
        <v>2048</v>
      </c>
      <c r="T542" s="16"/>
      <c r="U542" s="16"/>
      <c r="V542" s="13" t="s">
        <v>187</v>
      </c>
      <c r="W542" s="17"/>
      <c r="X542" s="13"/>
      <c r="Y542" s="13" t="s">
        <v>259</v>
      </c>
      <c r="Z542" s="13" t="s">
        <v>260</v>
      </c>
      <c r="AA542" s="13" t="s">
        <v>192</v>
      </c>
      <c r="AB542" s="13"/>
      <c r="AC542" s="17"/>
      <c r="AD542" s="13"/>
      <c r="AE542" s="19"/>
      <c r="AF542" s="19"/>
      <c r="AG542" s="19"/>
      <c r="AH542" s="13"/>
      <c r="AI542" s="17"/>
      <c r="AJ542" s="13" t="s">
        <v>188</v>
      </c>
      <c r="AK542" s="13" t="s">
        <v>188</v>
      </c>
      <c r="AL542" s="14" t="s">
        <v>194</v>
      </c>
      <c r="AM542" s="13" t="s">
        <v>1147</v>
      </c>
      <c r="AN542" s="15"/>
      <c r="AO542" s="13"/>
      <c r="AP542" s="13" t="s">
        <v>196</v>
      </c>
      <c r="AQ542" s="16" t="n">
        <f aca="false">IFERROR(IF(AND(INDEX(Mob_Demob!$D$6:$D$14,MATCH(AM542,Mob_Demob!$A$6:$A$14,0))="",INDEX(Mob_Demob!$G$6:$G$14,MATCH(AM542,Mob_Demob!$A$6:$A$14,0))=""),"",ROUND(MAX(N(INDEX(Mob_Demob!$G$6:$G$14,MATCH(AM542,Mob_Demob!$A$6:$A$14,0))),N(INDEX(Mob_Demob!$D$6:$D$14,MATCH(AM542,Mob_Demob!$A$6:$A$14,0)))*Settings!$B$6)+IF(AP542="Y",N(INDEX(Mob_Demob!$I$6:$I$14,MATCH(AM542,Mob_Demob!$A$6:$A$14,0)))*Settings!$B$19,0)+N(INDEX(Mob_Demob!$L$6:$L$14,MATCH(AM542,Mob_Demob!$A$6:$A$14,0)))*N(INDEX(Mob_Demob!$K$6:$K$14,MATCH(AM542,Mob_Demob!$A$6:$A$14,0)))*Settings!$B$6+N(INDEX(Mob_Demob!$M$6:$M$14,MATCH(AM542,Mob_Demob!$A$6:$A$14,0)))*N(INDEX(Mob_Demob!$N$6:$N$14,MATCH(AM542,Mob_Demob!$A$6:$A$14,0))),0)),"")</f>
        <v>200</v>
      </c>
      <c r="AR542" s="16" t="n">
        <f aca="false">IF(AQ542="","",ROUND(AQ542*Settings!$B$18,0))</f>
        <v>200</v>
      </c>
      <c r="AS542" s="13" t="s">
        <v>3275</v>
      </c>
      <c r="AT542" s="14" t="s">
        <v>3281</v>
      </c>
      <c r="AU542" s="14" t="s">
        <v>262</v>
      </c>
    </row>
    <row r="543" customFormat="false" ht="64.15" hidden="false" customHeight="false" outlineLevel="0" collapsed="false">
      <c r="A543" s="21" t="s">
        <v>3291</v>
      </c>
      <c r="B543" s="21" t="s">
        <v>3053</v>
      </c>
      <c r="C543" s="21" t="s">
        <v>3292</v>
      </c>
      <c r="D543" s="21" t="s">
        <v>3293</v>
      </c>
      <c r="E543" s="22" t="s">
        <v>3294</v>
      </c>
      <c r="F543" s="13" t="s">
        <v>141</v>
      </c>
      <c r="G543" s="13"/>
      <c r="H543" s="13"/>
      <c r="I543" s="14"/>
      <c r="J543" s="15"/>
      <c r="K543" s="13"/>
      <c r="L543" s="13"/>
      <c r="M543" s="13"/>
      <c r="N543" s="13" t="s">
        <v>2918</v>
      </c>
      <c r="O543" s="13" t="s">
        <v>1164</v>
      </c>
      <c r="P543" s="13" t="s">
        <v>186</v>
      </c>
      <c r="Q543" s="16"/>
      <c r="R543" s="16"/>
      <c r="S543" s="16"/>
      <c r="T543" s="16"/>
      <c r="U543" s="16"/>
      <c r="V543" s="13" t="s">
        <v>187</v>
      </c>
      <c r="W543" s="17"/>
      <c r="X543" s="13"/>
      <c r="Y543" s="13"/>
      <c r="Z543" s="13"/>
      <c r="AA543" s="13" t="s">
        <v>188</v>
      </c>
      <c r="AB543" s="13"/>
      <c r="AC543" s="17"/>
      <c r="AD543" s="13"/>
      <c r="AE543" s="19" t="n">
        <v>0</v>
      </c>
      <c r="AF543" s="19" t="n">
        <v>0</v>
      </c>
      <c r="AG543" s="19" t="n">
        <v>0</v>
      </c>
      <c r="AH543" s="13" t="s">
        <v>506</v>
      </c>
      <c r="AI543" s="17"/>
      <c r="AJ543" s="13" t="s">
        <v>188</v>
      </c>
      <c r="AK543" s="13" t="s">
        <v>188</v>
      </c>
      <c r="AL543" s="14" t="s">
        <v>194</v>
      </c>
      <c r="AM543" s="13" t="s">
        <v>1147</v>
      </c>
      <c r="AN543" s="15"/>
      <c r="AO543" s="13"/>
      <c r="AP543" s="13" t="s">
        <v>196</v>
      </c>
      <c r="AQ543" s="16" t="n">
        <f aca="false">IFERROR(IF(AND(INDEX(Mob_Demob!$D$6:$D$14,MATCH(AM543,Mob_Demob!$A$6:$A$14,0))="",INDEX(Mob_Demob!$G$6:$G$14,MATCH(AM543,Mob_Demob!$A$6:$A$14,0))=""),"",ROUND(MAX(N(INDEX(Mob_Demob!$G$6:$G$14,MATCH(AM543,Mob_Demob!$A$6:$A$14,0))),N(INDEX(Mob_Demob!$D$6:$D$14,MATCH(AM543,Mob_Demob!$A$6:$A$14,0)))*Settings!$B$6)+IF(AP543="Y",N(INDEX(Mob_Demob!$I$6:$I$14,MATCH(AM543,Mob_Demob!$A$6:$A$14,0)))*Settings!$B$19,0)+N(INDEX(Mob_Demob!$L$6:$L$14,MATCH(AM543,Mob_Demob!$A$6:$A$14,0)))*N(INDEX(Mob_Demob!$K$6:$K$14,MATCH(AM543,Mob_Demob!$A$6:$A$14,0)))*Settings!$B$6+N(INDEX(Mob_Demob!$M$6:$M$14,MATCH(AM543,Mob_Demob!$A$6:$A$14,0)))*N(INDEX(Mob_Demob!$N$6:$N$14,MATCH(AM543,Mob_Demob!$A$6:$A$14,0))),0)),"")</f>
        <v>200</v>
      </c>
      <c r="AR543" s="16" t="n">
        <f aca="false">IF(AQ543="","",ROUND(AQ543*Settings!$B$18,0))</f>
        <v>200</v>
      </c>
      <c r="AS543" s="13"/>
      <c r="AT543" s="14" t="s">
        <v>3295</v>
      </c>
      <c r="AU543" s="14" t="s">
        <v>251</v>
      </c>
    </row>
    <row r="544" customFormat="false" ht="64.15" hidden="false" customHeight="false" outlineLevel="0" collapsed="false">
      <c r="A544" s="11" t="s">
        <v>3296</v>
      </c>
      <c r="B544" s="11" t="s">
        <v>3297</v>
      </c>
      <c r="C544" s="11" t="s">
        <v>3298</v>
      </c>
      <c r="D544" s="11" t="s">
        <v>3299</v>
      </c>
      <c r="E544" s="12" t="s">
        <v>3300</v>
      </c>
      <c r="F544" s="13" t="s">
        <v>3301</v>
      </c>
      <c r="G544" s="13" t="n">
        <v>2</v>
      </c>
      <c r="H544" s="13" t="s">
        <v>1196</v>
      </c>
      <c r="I544" s="14"/>
      <c r="J544" s="15"/>
      <c r="K544" s="13"/>
      <c r="L544" s="13"/>
      <c r="M544" s="13"/>
      <c r="N544" s="13" t="s">
        <v>1163</v>
      </c>
      <c r="O544" s="13" t="s">
        <v>1164</v>
      </c>
      <c r="P544" s="13" t="s">
        <v>186</v>
      </c>
      <c r="Q544" s="20" t="n">
        <v>50</v>
      </c>
      <c r="R544" s="20" t="n">
        <v>197</v>
      </c>
      <c r="S544" s="20" t="n">
        <v>572</v>
      </c>
      <c r="T544" s="20" t="n">
        <v>350</v>
      </c>
      <c r="U544" s="20" t="n">
        <v>600</v>
      </c>
      <c r="V544" s="13" t="s">
        <v>187</v>
      </c>
      <c r="W544" s="17"/>
      <c r="X544" s="13"/>
      <c r="Y544" s="13" t="s">
        <v>1178</v>
      </c>
      <c r="Z544" s="13" t="s">
        <v>212</v>
      </c>
      <c r="AA544" s="13" t="s">
        <v>213</v>
      </c>
      <c r="AB544" s="13" t="s">
        <v>3302</v>
      </c>
      <c r="AC544" s="17"/>
      <c r="AD544" s="13"/>
      <c r="AE544" s="19"/>
      <c r="AF544" s="19"/>
      <c r="AG544" s="19"/>
      <c r="AH544" s="13"/>
      <c r="AI544" s="17"/>
      <c r="AJ544" s="13" t="s">
        <v>188</v>
      </c>
      <c r="AK544" s="13" t="s">
        <v>188</v>
      </c>
      <c r="AL544" s="14" t="s">
        <v>194</v>
      </c>
      <c r="AM544" s="13" t="s">
        <v>1147</v>
      </c>
      <c r="AN544" s="15"/>
      <c r="AO544" s="13"/>
      <c r="AP544" s="13" t="s">
        <v>196</v>
      </c>
      <c r="AQ544" s="16" t="n">
        <f aca="false">IFERROR(IF(AND(INDEX(Mob_Demob!$D$6:$D$14,MATCH(AM544,Mob_Demob!$A$6:$A$14,0))="",INDEX(Mob_Demob!$G$6:$G$14,MATCH(AM544,Mob_Demob!$A$6:$A$14,0))=""),"",ROUND(MAX(N(INDEX(Mob_Demob!$G$6:$G$14,MATCH(AM544,Mob_Demob!$A$6:$A$14,0))),N(INDEX(Mob_Demob!$D$6:$D$14,MATCH(AM544,Mob_Demob!$A$6:$A$14,0)))*Settings!$B$6)+IF(AP544="Y",N(INDEX(Mob_Demob!$I$6:$I$14,MATCH(AM544,Mob_Demob!$A$6:$A$14,0)))*Settings!$B$19,0)+N(INDEX(Mob_Demob!$L$6:$L$14,MATCH(AM544,Mob_Demob!$A$6:$A$14,0)))*N(INDEX(Mob_Demob!$K$6:$K$14,MATCH(AM544,Mob_Demob!$A$6:$A$14,0)))*Settings!$B$6+N(INDEX(Mob_Demob!$M$6:$M$14,MATCH(AM544,Mob_Demob!$A$6:$A$14,0)))*N(INDEX(Mob_Demob!$N$6:$N$14,MATCH(AM544,Mob_Demob!$A$6:$A$14,0))),0)),"")</f>
        <v>200</v>
      </c>
      <c r="AR544" s="16" t="n">
        <f aca="false">IF(AQ544="","",ROUND(AQ544*Settings!$B$18,0))</f>
        <v>200</v>
      </c>
      <c r="AS544" s="13" t="s">
        <v>3303</v>
      </c>
      <c r="AT544" s="14" t="s">
        <v>3304</v>
      </c>
      <c r="AU544" s="14" t="s">
        <v>1106</v>
      </c>
    </row>
    <row r="545" customFormat="false" ht="64.15" hidden="false" customHeight="false" outlineLevel="0" collapsed="false">
      <c r="A545" s="11" t="s">
        <v>3305</v>
      </c>
      <c r="B545" s="11" t="s">
        <v>3297</v>
      </c>
      <c r="C545" s="11" t="s">
        <v>3298</v>
      </c>
      <c r="D545" s="11" t="s">
        <v>3299</v>
      </c>
      <c r="E545" s="12" t="s">
        <v>3306</v>
      </c>
      <c r="F545" s="13" t="s">
        <v>3301</v>
      </c>
      <c r="G545" s="13" t="n">
        <v>3</v>
      </c>
      <c r="H545" s="13" t="s">
        <v>1196</v>
      </c>
      <c r="I545" s="14"/>
      <c r="J545" s="15"/>
      <c r="K545" s="13"/>
      <c r="L545" s="13"/>
      <c r="M545" s="13"/>
      <c r="N545" s="13" t="s">
        <v>1163</v>
      </c>
      <c r="O545" s="13" t="s">
        <v>1164</v>
      </c>
      <c r="P545" s="13" t="s">
        <v>186</v>
      </c>
      <c r="Q545" s="20" t="n">
        <v>65</v>
      </c>
      <c r="R545" s="20" t="n">
        <v>239</v>
      </c>
      <c r="S545" s="20" t="n">
        <v>693</v>
      </c>
      <c r="T545" s="20" t="n">
        <v>425</v>
      </c>
      <c r="U545" s="20" t="n">
        <v>780</v>
      </c>
      <c r="V545" s="13" t="s">
        <v>187</v>
      </c>
      <c r="W545" s="17"/>
      <c r="X545" s="13"/>
      <c r="Y545" s="13" t="s">
        <v>1178</v>
      </c>
      <c r="Z545" s="13" t="s">
        <v>212</v>
      </c>
      <c r="AA545" s="13" t="s">
        <v>213</v>
      </c>
      <c r="AB545" s="13" t="s">
        <v>3307</v>
      </c>
      <c r="AC545" s="17"/>
      <c r="AD545" s="13"/>
      <c r="AE545" s="19"/>
      <c r="AF545" s="19"/>
      <c r="AG545" s="19"/>
      <c r="AH545" s="13"/>
      <c r="AI545" s="17"/>
      <c r="AJ545" s="13" t="s">
        <v>188</v>
      </c>
      <c r="AK545" s="13" t="s">
        <v>188</v>
      </c>
      <c r="AL545" s="14" t="s">
        <v>194</v>
      </c>
      <c r="AM545" s="13" t="s">
        <v>1147</v>
      </c>
      <c r="AN545" s="15"/>
      <c r="AO545" s="13"/>
      <c r="AP545" s="13" t="s">
        <v>196</v>
      </c>
      <c r="AQ545" s="16" t="n">
        <f aca="false">IFERROR(IF(AND(INDEX(Mob_Demob!$D$6:$D$14,MATCH(AM545,Mob_Demob!$A$6:$A$14,0))="",INDEX(Mob_Demob!$G$6:$G$14,MATCH(AM545,Mob_Demob!$A$6:$A$14,0))=""),"",ROUND(MAX(N(INDEX(Mob_Demob!$G$6:$G$14,MATCH(AM545,Mob_Demob!$A$6:$A$14,0))),N(INDEX(Mob_Demob!$D$6:$D$14,MATCH(AM545,Mob_Demob!$A$6:$A$14,0)))*Settings!$B$6)+IF(AP545="Y",N(INDEX(Mob_Demob!$I$6:$I$14,MATCH(AM545,Mob_Demob!$A$6:$A$14,0)))*Settings!$B$19,0)+N(INDEX(Mob_Demob!$L$6:$L$14,MATCH(AM545,Mob_Demob!$A$6:$A$14,0)))*N(INDEX(Mob_Demob!$K$6:$K$14,MATCH(AM545,Mob_Demob!$A$6:$A$14,0)))*Settings!$B$6+N(INDEX(Mob_Demob!$M$6:$M$14,MATCH(AM545,Mob_Demob!$A$6:$A$14,0)))*N(INDEX(Mob_Demob!$N$6:$N$14,MATCH(AM545,Mob_Demob!$A$6:$A$14,0))),0)),"")</f>
        <v>200</v>
      </c>
      <c r="AR545" s="16" t="n">
        <f aca="false">IF(AQ545="","",ROUND(AQ545*Settings!$B$18,0))</f>
        <v>200</v>
      </c>
      <c r="AS545" s="13" t="s">
        <v>3303</v>
      </c>
      <c r="AT545" s="14" t="s">
        <v>3308</v>
      </c>
      <c r="AU545" s="14" t="s">
        <v>1106</v>
      </c>
    </row>
    <row r="546" customFormat="false" ht="64.15" hidden="false" customHeight="false" outlineLevel="0" collapsed="false">
      <c r="A546" s="11" t="s">
        <v>3309</v>
      </c>
      <c r="B546" s="11" t="s">
        <v>3297</v>
      </c>
      <c r="C546" s="11" t="s">
        <v>3298</v>
      </c>
      <c r="D546" s="11" t="s">
        <v>3299</v>
      </c>
      <c r="E546" s="12" t="s">
        <v>3310</v>
      </c>
      <c r="F546" s="13" t="s">
        <v>3301</v>
      </c>
      <c r="G546" s="13" t="n">
        <v>4</v>
      </c>
      <c r="H546" s="13" t="s">
        <v>1196</v>
      </c>
      <c r="I546" s="14"/>
      <c r="J546" s="15"/>
      <c r="K546" s="13"/>
      <c r="L546" s="13"/>
      <c r="M546" s="13"/>
      <c r="N546" s="13" t="s">
        <v>1163</v>
      </c>
      <c r="O546" s="13" t="s">
        <v>1164</v>
      </c>
      <c r="P546" s="13" t="s">
        <v>186</v>
      </c>
      <c r="Q546" s="20" t="n">
        <v>80</v>
      </c>
      <c r="R546" s="20" t="n">
        <v>279</v>
      </c>
      <c r="S546" s="20" t="n">
        <v>809</v>
      </c>
      <c r="T546" s="20" t="n">
        <v>525</v>
      </c>
      <c r="U546" s="20" t="n">
        <v>960</v>
      </c>
      <c r="V546" s="13" t="s">
        <v>187</v>
      </c>
      <c r="W546" s="17"/>
      <c r="X546" s="13"/>
      <c r="Y546" s="13" t="s">
        <v>1178</v>
      </c>
      <c r="Z546" s="13" t="s">
        <v>212</v>
      </c>
      <c r="AA546" s="13" t="s">
        <v>213</v>
      </c>
      <c r="AB546" s="13" t="s">
        <v>3311</v>
      </c>
      <c r="AC546" s="17"/>
      <c r="AD546" s="13"/>
      <c r="AE546" s="19"/>
      <c r="AF546" s="19"/>
      <c r="AG546" s="19"/>
      <c r="AH546" s="13"/>
      <c r="AI546" s="17"/>
      <c r="AJ546" s="13" t="s">
        <v>188</v>
      </c>
      <c r="AK546" s="13" t="s">
        <v>188</v>
      </c>
      <c r="AL546" s="14" t="s">
        <v>194</v>
      </c>
      <c r="AM546" s="13" t="s">
        <v>1147</v>
      </c>
      <c r="AN546" s="15"/>
      <c r="AO546" s="13"/>
      <c r="AP546" s="13" t="s">
        <v>196</v>
      </c>
      <c r="AQ546" s="16" t="n">
        <f aca="false">IFERROR(IF(AND(INDEX(Mob_Demob!$D$6:$D$14,MATCH(AM546,Mob_Demob!$A$6:$A$14,0))="",INDEX(Mob_Demob!$G$6:$G$14,MATCH(AM546,Mob_Demob!$A$6:$A$14,0))=""),"",ROUND(MAX(N(INDEX(Mob_Demob!$G$6:$G$14,MATCH(AM546,Mob_Demob!$A$6:$A$14,0))),N(INDEX(Mob_Demob!$D$6:$D$14,MATCH(AM546,Mob_Demob!$A$6:$A$14,0)))*Settings!$B$6)+IF(AP546="Y",N(INDEX(Mob_Demob!$I$6:$I$14,MATCH(AM546,Mob_Demob!$A$6:$A$14,0)))*Settings!$B$19,0)+N(INDEX(Mob_Demob!$L$6:$L$14,MATCH(AM546,Mob_Demob!$A$6:$A$14,0)))*N(INDEX(Mob_Demob!$K$6:$K$14,MATCH(AM546,Mob_Demob!$A$6:$A$14,0)))*Settings!$B$6+N(INDEX(Mob_Demob!$M$6:$M$14,MATCH(AM546,Mob_Demob!$A$6:$A$14,0)))*N(INDEX(Mob_Demob!$N$6:$N$14,MATCH(AM546,Mob_Demob!$A$6:$A$14,0))),0)),"")</f>
        <v>200</v>
      </c>
      <c r="AR546" s="16" t="n">
        <f aca="false">IF(AQ546="","",ROUND(AQ546*Settings!$B$18,0))</f>
        <v>200</v>
      </c>
      <c r="AS546" s="13" t="s">
        <v>3303</v>
      </c>
      <c r="AT546" s="14" t="s">
        <v>3312</v>
      </c>
      <c r="AU546" s="14" t="s">
        <v>1106</v>
      </c>
    </row>
    <row r="547" customFormat="false" ht="64.15" hidden="false" customHeight="false" outlineLevel="0" collapsed="false">
      <c r="A547" s="11" t="s">
        <v>3313</v>
      </c>
      <c r="B547" s="11" t="s">
        <v>3297</v>
      </c>
      <c r="C547" s="11" t="s">
        <v>3298</v>
      </c>
      <c r="D547" s="11" t="s">
        <v>3314</v>
      </c>
      <c r="E547" s="12" t="s">
        <v>3315</v>
      </c>
      <c r="F547" s="13" t="s">
        <v>3301</v>
      </c>
      <c r="G547" s="13" t="n">
        <v>4</v>
      </c>
      <c r="H547" s="13" t="s">
        <v>1196</v>
      </c>
      <c r="I547" s="14"/>
      <c r="J547" s="15"/>
      <c r="K547" s="13"/>
      <c r="L547" s="13"/>
      <c r="M547" s="13"/>
      <c r="N547" s="13" t="s">
        <v>184</v>
      </c>
      <c r="O547" s="13" t="s">
        <v>1164</v>
      </c>
      <c r="P547" s="13" t="s">
        <v>186</v>
      </c>
      <c r="Q547" s="20" t="n">
        <v>318</v>
      </c>
      <c r="R547" s="20" t="n">
        <v>922</v>
      </c>
      <c r="S547" s="20" t="n">
        <v>2674</v>
      </c>
      <c r="T547" s="16"/>
      <c r="U547" s="16"/>
      <c r="V547" s="13" t="s">
        <v>187</v>
      </c>
      <c r="W547" s="17"/>
      <c r="X547" s="13"/>
      <c r="Y547" s="13" t="s">
        <v>259</v>
      </c>
      <c r="Z547" s="13" t="s">
        <v>260</v>
      </c>
      <c r="AA547" s="13" t="s">
        <v>192</v>
      </c>
      <c r="AB547" s="13"/>
      <c r="AC547" s="17"/>
      <c r="AD547" s="13"/>
      <c r="AE547" s="19"/>
      <c r="AF547" s="19"/>
      <c r="AG547" s="19"/>
      <c r="AH547" s="13"/>
      <c r="AI547" s="17"/>
      <c r="AJ547" s="13" t="s">
        <v>188</v>
      </c>
      <c r="AK547" s="13" t="s">
        <v>188</v>
      </c>
      <c r="AL547" s="14" t="s">
        <v>194</v>
      </c>
      <c r="AM547" s="13" t="s">
        <v>1147</v>
      </c>
      <c r="AN547" s="15"/>
      <c r="AO547" s="13"/>
      <c r="AP547" s="13" t="s">
        <v>196</v>
      </c>
      <c r="AQ547" s="16" t="n">
        <f aca="false">IFERROR(IF(AND(INDEX(Mob_Demob!$D$6:$D$14,MATCH(AM547,Mob_Demob!$A$6:$A$14,0))="",INDEX(Mob_Demob!$G$6:$G$14,MATCH(AM547,Mob_Demob!$A$6:$A$14,0))=""),"",ROUND(MAX(N(INDEX(Mob_Demob!$G$6:$G$14,MATCH(AM547,Mob_Demob!$A$6:$A$14,0))),N(INDEX(Mob_Demob!$D$6:$D$14,MATCH(AM547,Mob_Demob!$A$6:$A$14,0)))*Settings!$B$6)+IF(AP547="Y",N(INDEX(Mob_Demob!$I$6:$I$14,MATCH(AM547,Mob_Demob!$A$6:$A$14,0)))*Settings!$B$19,0)+N(INDEX(Mob_Demob!$L$6:$L$14,MATCH(AM547,Mob_Demob!$A$6:$A$14,0)))*N(INDEX(Mob_Demob!$K$6:$K$14,MATCH(AM547,Mob_Demob!$A$6:$A$14,0)))*Settings!$B$6+N(INDEX(Mob_Demob!$M$6:$M$14,MATCH(AM547,Mob_Demob!$A$6:$A$14,0)))*N(INDEX(Mob_Demob!$N$6:$N$14,MATCH(AM547,Mob_Demob!$A$6:$A$14,0))),0)),"")</f>
        <v>200</v>
      </c>
      <c r="AR547" s="16" t="n">
        <f aca="false">IF(AQ547="","",ROUND(AQ547*Settings!$B$18,0))</f>
        <v>200</v>
      </c>
      <c r="AS547" s="13" t="s">
        <v>3303</v>
      </c>
      <c r="AT547" s="14" t="s">
        <v>3316</v>
      </c>
      <c r="AU547" s="14" t="s">
        <v>262</v>
      </c>
    </row>
    <row r="548" customFormat="false" ht="64.15" hidden="false" customHeight="false" outlineLevel="0" collapsed="false">
      <c r="A548" s="11" t="s">
        <v>3317</v>
      </c>
      <c r="B548" s="11" t="s">
        <v>3297</v>
      </c>
      <c r="C548" s="11" t="s">
        <v>3298</v>
      </c>
      <c r="D548" s="11" t="s">
        <v>3318</v>
      </c>
      <c r="E548" s="12" t="s">
        <v>3319</v>
      </c>
      <c r="F548" s="13" t="s">
        <v>3301</v>
      </c>
      <c r="G548" s="13" t="n">
        <v>6</v>
      </c>
      <c r="H548" s="13" t="s">
        <v>1196</v>
      </c>
      <c r="I548" s="14"/>
      <c r="J548" s="15"/>
      <c r="K548" s="13"/>
      <c r="L548" s="13"/>
      <c r="M548" s="13"/>
      <c r="N548" s="13" t="s">
        <v>184</v>
      </c>
      <c r="O548" s="13" t="s">
        <v>1164</v>
      </c>
      <c r="P548" s="13" t="s">
        <v>186</v>
      </c>
      <c r="Q548" s="20" t="n">
        <v>380</v>
      </c>
      <c r="R548" s="20" t="n">
        <v>1112</v>
      </c>
      <c r="S548" s="20" t="n">
        <v>3253</v>
      </c>
      <c r="T548" s="20" t="n">
        <v>1710</v>
      </c>
      <c r="U548" s="20" t="n">
        <v>4796</v>
      </c>
      <c r="V548" s="13" t="s">
        <v>187</v>
      </c>
      <c r="W548" s="17"/>
      <c r="X548" s="13"/>
      <c r="Y548" s="13" t="s">
        <v>1146</v>
      </c>
      <c r="Z548" s="13" t="s">
        <v>212</v>
      </c>
      <c r="AA548" s="13" t="s">
        <v>213</v>
      </c>
      <c r="AB548" s="13" t="s">
        <v>3320</v>
      </c>
      <c r="AC548" s="17"/>
      <c r="AD548" s="13"/>
      <c r="AE548" s="19"/>
      <c r="AF548" s="19" t="n">
        <v>1.7</v>
      </c>
      <c r="AG548" s="19"/>
      <c r="AH548" s="13" t="s">
        <v>3321</v>
      </c>
      <c r="AI548" s="17"/>
      <c r="AJ548" s="13" t="s">
        <v>188</v>
      </c>
      <c r="AK548" s="13" t="s">
        <v>188</v>
      </c>
      <c r="AL548" s="14" t="s">
        <v>194</v>
      </c>
      <c r="AM548" s="13" t="s">
        <v>1147</v>
      </c>
      <c r="AN548" s="15"/>
      <c r="AO548" s="13"/>
      <c r="AP548" s="13" t="s">
        <v>196</v>
      </c>
      <c r="AQ548" s="16" t="n">
        <f aca="false">IFERROR(IF(AND(INDEX(Mob_Demob!$D$6:$D$14,MATCH(AM548,Mob_Demob!$A$6:$A$14,0))="",INDEX(Mob_Demob!$G$6:$G$14,MATCH(AM548,Mob_Demob!$A$6:$A$14,0))=""),"",ROUND(MAX(N(INDEX(Mob_Demob!$G$6:$G$14,MATCH(AM548,Mob_Demob!$A$6:$A$14,0))),N(INDEX(Mob_Demob!$D$6:$D$14,MATCH(AM548,Mob_Demob!$A$6:$A$14,0)))*Settings!$B$6)+IF(AP548="Y",N(INDEX(Mob_Demob!$I$6:$I$14,MATCH(AM548,Mob_Demob!$A$6:$A$14,0)))*Settings!$B$19,0)+N(INDEX(Mob_Demob!$L$6:$L$14,MATCH(AM548,Mob_Demob!$A$6:$A$14,0)))*N(INDEX(Mob_Demob!$K$6:$K$14,MATCH(AM548,Mob_Demob!$A$6:$A$14,0)))*Settings!$B$6+N(INDEX(Mob_Demob!$M$6:$M$14,MATCH(AM548,Mob_Demob!$A$6:$A$14,0)))*N(INDEX(Mob_Demob!$N$6:$N$14,MATCH(AM548,Mob_Demob!$A$6:$A$14,0))),0)),"")</f>
        <v>200</v>
      </c>
      <c r="AR548" s="16" t="n">
        <f aca="false">IF(AQ548="","",ROUND(AQ548*Settings!$B$18,0))</f>
        <v>200</v>
      </c>
      <c r="AS548" s="13" t="s">
        <v>3303</v>
      </c>
      <c r="AT548" s="14" t="s">
        <v>3322</v>
      </c>
      <c r="AU548" s="14" t="s">
        <v>1801</v>
      </c>
    </row>
    <row r="549" customFormat="false" ht="64.15" hidden="false" customHeight="false" outlineLevel="0" collapsed="false">
      <c r="A549" s="11" t="s">
        <v>3323</v>
      </c>
      <c r="B549" s="11" t="s">
        <v>3297</v>
      </c>
      <c r="C549" s="11" t="s">
        <v>3298</v>
      </c>
      <c r="D549" s="11" t="s">
        <v>3324</v>
      </c>
      <c r="E549" s="12" t="s">
        <v>3325</v>
      </c>
      <c r="F549" s="13" t="s">
        <v>3301</v>
      </c>
      <c r="G549" s="13" t="n">
        <v>4</v>
      </c>
      <c r="H549" s="13" t="s">
        <v>1196</v>
      </c>
      <c r="I549" s="14" t="s">
        <v>3326</v>
      </c>
      <c r="J549" s="15"/>
      <c r="K549" s="13" t="n">
        <v>60</v>
      </c>
      <c r="L549" s="13"/>
      <c r="M549" s="13"/>
      <c r="N549" s="13" t="s">
        <v>184</v>
      </c>
      <c r="O549" s="13" t="s">
        <v>1164</v>
      </c>
      <c r="P549" s="13" t="s">
        <v>186</v>
      </c>
      <c r="Q549" s="16"/>
      <c r="R549" s="16"/>
      <c r="S549" s="16"/>
      <c r="T549" s="16"/>
      <c r="U549" s="16"/>
      <c r="V549" s="13" t="s">
        <v>187</v>
      </c>
      <c r="W549" s="17"/>
      <c r="X549" s="13"/>
      <c r="Y549" s="13"/>
      <c r="Z549" s="13"/>
      <c r="AA549" s="13" t="s">
        <v>188</v>
      </c>
      <c r="AB549" s="13" t="s">
        <v>3327</v>
      </c>
      <c r="AC549" s="18" t="n">
        <v>4.1</v>
      </c>
      <c r="AD549" s="13" t="s">
        <v>190</v>
      </c>
      <c r="AE549" s="19"/>
      <c r="AF549" s="19"/>
      <c r="AG549" s="19"/>
      <c r="AH549" s="13"/>
      <c r="AI549" s="17" t="str">
        <f aca="false">IF(OR(AC549="",AF549="",Settings!$B$5=""),"",ROUND(AC549-AF549*Settings!$B$5,2))</f>
        <v/>
      </c>
      <c r="AJ549" s="13" t="s">
        <v>192</v>
      </c>
      <c r="AK549" s="13" t="s">
        <v>193</v>
      </c>
      <c r="AL549" s="14" t="s">
        <v>194</v>
      </c>
      <c r="AM549" s="13" t="s">
        <v>1147</v>
      </c>
      <c r="AN549" s="15"/>
      <c r="AO549" s="13"/>
      <c r="AP549" s="13" t="s">
        <v>196</v>
      </c>
      <c r="AQ549" s="16" t="n">
        <f aca="false">IFERROR(IF(AND(INDEX(Mob_Demob!$D$6:$D$14,MATCH(AM549,Mob_Demob!$A$6:$A$14,0))="",INDEX(Mob_Demob!$G$6:$G$14,MATCH(AM549,Mob_Demob!$A$6:$A$14,0))=""),"",ROUND(MAX(N(INDEX(Mob_Demob!$G$6:$G$14,MATCH(AM549,Mob_Demob!$A$6:$A$14,0))),N(INDEX(Mob_Demob!$D$6:$D$14,MATCH(AM549,Mob_Demob!$A$6:$A$14,0)))*Settings!$B$6)+IF(AP549="Y",N(INDEX(Mob_Demob!$I$6:$I$14,MATCH(AM549,Mob_Demob!$A$6:$A$14,0)))*Settings!$B$19,0)+N(INDEX(Mob_Demob!$L$6:$L$14,MATCH(AM549,Mob_Demob!$A$6:$A$14,0)))*N(INDEX(Mob_Demob!$K$6:$K$14,MATCH(AM549,Mob_Demob!$A$6:$A$14,0)))*Settings!$B$6+N(INDEX(Mob_Demob!$M$6:$M$14,MATCH(AM549,Mob_Demob!$A$6:$A$14,0)))*N(INDEX(Mob_Demob!$N$6:$N$14,MATCH(AM549,Mob_Demob!$A$6:$A$14,0))),0)),"")</f>
        <v>200</v>
      </c>
      <c r="AR549" s="16" t="n">
        <f aca="false">IF(AQ549="","",ROUND(AQ549*Settings!$B$18,0))</f>
        <v>200</v>
      </c>
      <c r="AS549" s="13" t="s">
        <v>3303</v>
      </c>
      <c r="AT549" s="14" t="s">
        <v>3328</v>
      </c>
      <c r="AU549" s="14" t="s">
        <v>3329</v>
      </c>
    </row>
    <row r="550" customFormat="false" ht="64.15" hidden="false" customHeight="false" outlineLevel="0" collapsed="false">
      <c r="A550" s="11" t="s">
        <v>3330</v>
      </c>
      <c r="B550" s="11" t="s">
        <v>3297</v>
      </c>
      <c r="C550" s="11" t="s">
        <v>3298</v>
      </c>
      <c r="D550" s="11" t="s">
        <v>3324</v>
      </c>
      <c r="E550" s="12" t="s">
        <v>3331</v>
      </c>
      <c r="F550" s="13" t="s">
        <v>3301</v>
      </c>
      <c r="G550" s="13" t="n">
        <v>6</v>
      </c>
      <c r="H550" s="13" t="s">
        <v>1196</v>
      </c>
      <c r="I550" s="14" t="s">
        <v>3332</v>
      </c>
      <c r="J550" s="15"/>
      <c r="K550" s="13" t="n">
        <v>95</v>
      </c>
      <c r="L550" s="13"/>
      <c r="M550" s="13"/>
      <c r="N550" s="13" t="s">
        <v>184</v>
      </c>
      <c r="O550" s="13" t="s">
        <v>1164</v>
      </c>
      <c r="P550" s="13" t="s">
        <v>186</v>
      </c>
      <c r="Q550" s="16"/>
      <c r="R550" s="16"/>
      <c r="S550" s="16"/>
      <c r="T550" s="16"/>
      <c r="U550" s="16"/>
      <c r="V550" s="13" t="s">
        <v>187</v>
      </c>
      <c r="W550" s="17"/>
      <c r="X550" s="13"/>
      <c r="Y550" s="13"/>
      <c r="Z550" s="13"/>
      <c r="AA550" s="13" t="s">
        <v>188</v>
      </c>
      <c r="AB550" s="13" t="s">
        <v>3333</v>
      </c>
      <c r="AC550" s="18" t="n">
        <v>5.35</v>
      </c>
      <c r="AD550" s="13" t="s">
        <v>190</v>
      </c>
      <c r="AE550" s="19"/>
      <c r="AF550" s="19"/>
      <c r="AG550" s="19"/>
      <c r="AH550" s="13"/>
      <c r="AI550" s="17" t="str">
        <f aca="false">IF(OR(AC550="",AF550="",Settings!$B$5=""),"",ROUND(AC550-AF550*Settings!$B$5,2))</f>
        <v/>
      </c>
      <c r="AJ550" s="13" t="s">
        <v>192</v>
      </c>
      <c r="AK550" s="13" t="s">
        <v>193</v>
      </c>
      <c r="AL550" s="14" t="s">
        <v>194</v>
      </c>
      <c r="AM550" s="13" t="s">
        <v>1147</v>
      </c>
      <c r="AN550" s="15"/>
      <c r="AO550" s="13"/>
      <c r="AP550" s="13" t="s">
        <v>196</v>
      </c>
      <c r="AQ550" s="16" t="n">
        <f aca="false">IFERROR(IF(AND(INDEX(Mob_Demob!$D$6:$D$14,MATCH(AM550,Mob_Demob!$A$6:$A$14,0))="",INDEX(Mob_Demob!$G$6:$G$14,MATCH(AM550,Mob_Demob!$A$6:$A$14,0))=""),"",ROUND(MAX(N(INDEX(Mob_Demob!$G$6:$G$14,MATCH(AM550,Mob_Demob!$A$6:$A$14,0))),N(INDEX(Mob_Demob!$D$6:$D$14,MATCH(AM550,Mob_Demob!$A$6:$A$14,0)))*Settings!$B$6)+IF(AP550="Y",N(INDEX(Mob_Demob!$I$6:$I$14,MATCH(AM550,Mob_Demob!$A$6:$A$14,0)))*Settings!$B$19,0)+N(INDEX(Mob_Demob!$L$6:$L$14,MATCH(AM550,Mob_Demob!$A$6:$A$14,0)))*N(INDEX(Mob_Demob!$K$6:$K$14,MATCH(AM550,Mob_Demob!$A$6:$A$14,0)))*Settings!$B$6+N(INDEX(Mob_Demob!$M$6:$M$14,MATCH(AM550,Mob_Demob!$A$6:$A$14,0)))*N(INDEX(Mob_Demob!$N$6:$N$14,MATCH(AM550,Mob_Demob!$A$6:$A$14,0))),0)),"")</f>
        <v>200</v>
      </c>
      <c r="AR550" s="16" t="n">
        <f aca="false">IF(AQ550="","",ROUND(AQ550*Settings!$B$18,0))</f>
        <v>200</v>
      </c>
      <c r="AS550" s="13" t="s">
        <v>3303</v>
      </c>
      <c r="AT550" s="14" t="s">
        <v>3334</v>
      </c>
      <c r="AU550" s="14" t="s">
        <v>3329</v>
      </c>
    </row>
    <row r="551" customFormat="false" ht="64.15" hidden="false" customHeight="false" outlineLevel="0" collapsed="false">
      <c r="A551" s="11" t="s">
        <v>3335</v>
      </c>
      <c r="B551" s="11" t="s">
        <v>3297</v>
      </c>
      <c r="C551" s="11" t="s">
        <v>3298</v>
      </c>
      <c r="D551" s="11" t="s">
        <v>3336</v>
      </c>
      <c r="E551" s="12" t="s">
        <v>3337</v>
      </c>
      <c r="F551" s="13" t="s">
        <v>3301</v>
      </c>
      <c r="G551" s="13" t="n">
        <v>12</v>
      </c>
      <c r="H551" s="13" t="s">
        <v>1196</v>
      </c>
      <c r="I551" s="14"/>
      <c r="J551" s="15"/>
      <c r="K551" s="13"/>
      <c r="L551" s="13"/>
      <c r="M551" s="13"/>
      <c r="N551" s="13" t="s">
        <v>184</v>
      </c>
      <c r="O551" s="13" t="s">
        <v>1164</v>
      </c>
      <c r="P551" s="13" t="s">
        <v>186</v>
      </c>
      <c r="Q551" s="16"/>
      <c r="R551" s="16"/>
      <c r="S551" s="16"/>
      <c r="T551" s="16"/>
      <c r="U551" s="16"/>
      <c r="V551" s="13" t="s">
        <v>187</v>
      </c>
      <c r="W551" s="17"/>
      <c r="X551" s="13"/>
      <c r="Y551" s="13"/>
      <c r="Z551" s="13"/>
      <c r="AA551" s="13" t="s">
        <v>188</v>
      </c>
      <c r="AB551" s="13" t="s">
        <v>3338</v>
      </c>
      <c r="AC551" s="18" t="n">
        <v>4.75</v>
      </c>
      <c r="AD551" s="13" t="s">
        <v>190</v>
      </c>
      <c r="AE551" s="19"/>
      <c r="AF551" s="19"/>
      <c r="AG551" s="19"/>
      <c r="AH551" s="13"/>
      <c r="AI551" s="17" t="str">
        <f aca="false">IF(OR(AC551="",AF551="",Settings!$B$5=""),"",ROUND(AC551-AF551*Settings!$B$5,2))</f>
        <v/>
      </c>
      <c r="AJ551" s="13" t="s">
        <v>192</v>
      </c>
      <c r="AK551" s="13" t="s">
        <v>193</v>
      </c>
      <c r="AL551" s="14" t="s">
        <v>194</v>
      </c>
      <c r="AM551" s="13" t="s">
        <v>1147</v>
      </c>
      <c r="AN551" s="15"/>
      <c r="AO551" s="13"/>
      <c r="AP551" s="13" t="s">
        <v>196</v>
      </c>
      <c r="AQ551" s="16" t="n">
        <f aca="false">IFERROR(IF(AND(INDEX(Mob_Demob!$D$6:$D$14,MATCH(AM551,Mob_Demob!$A$6:$A$14,0))="",INDEX(Mob_Demob!$G$6:$G$14,MATCH(AM551,Mob_Demob!$A$6:$A$14,0))=""),"",ROUND(MAX(N(INDEX(Mob_Demob!$G$6:$G$14,MATCH(AM551,Mob_Demob!$A$6:$A$14,0))),N(INDEX(Mob_Demob!$D$6:$D$14,MATCH(AM551,Mob_Demob!$A$6:$A$14,0)))*Settings!$B$6)+IF(AP551="Y",N(INDEX(Mob_Demob!$I$6:$I$14,MATCH(AM551,Mob_Demob!$A$6:$A$14,0)))*Settings!$B$19,0)+N(INDEX(Mob_Demob!$L$6:$L$14,MATCH(AM551,Mob_Demob!$A$6:$A$14,0)))*N(INDEX(Mob_Demob!$K$6:$K$14,MATCH(AM551,Mob_Demob!$A$6:$A$14,0)))*Settings!$B$6+N(INDEX(Mob_Demob!$M$6:$M$14,MATCH(AM551,Mob_Demob!$A$6:$A$14,0)))*N(INDEX(Mob_Demob!$N$6:$N$14,MATCH(AM551,Mob_Demob!$A$6:$A$14,0))),0)),"")</f>
        <v>200</v>
      </c>
      <c r="AR551" s="16" t="n">
        <f aca="false">IF(AQ551="","",ROUND(AQ551*Settings!$B$18,0))</f>
        <v>200</v>
      </c>
      <c r="AS551" s="13" t="s">
        <v>3303</v>
      </c>
      <c r="AT551" s="14" t="s">
        <v>3339</v>
      </c>
      <c r="AU551" s="14" t="s">
        <v>3329</v>
      </c>
    </row>
    <row r="552" customFormat="false" ht="64.15" hidden="false" customHeight="false" outlineLevel="0" collapsed="false">
      <c r="A552" s="11" t="s">
        <v>3340</v>
      </c>
      <c r="B552" s="11" t="s">
        <v>3297</v>
      </c>
      <c r="C552" s="11" t="s">
        <v>3298</v>
      </c>
      <c r="D552" s="11" t="s">
        <v>3341</v>
      </c>
      <c r="E552" s="12" t="s">
        <v>3342</v>
      </c>
      <c r="F552" s="13" t="s">
        <v>3301</v>
      </c>
      <c r="G552" s="13" t="n">
        <v>2</v>
      </c>
      <c r="H552" s="13" t="s">
        <v>1196</v>
      </c>
      <c r="I552" s="14"/>
      <c r="J552" s="15"/>
      <c r="K552" s="13"/>
      <c r="L552" s="13"/>
      <c r="M552" s="13"/>
      <c r="N552" s="13" t="s">
        <v>1163</v>
      </c>
      <c r="O552" s="13" t="s">
        <v>1164</v>
      </c>
      <c r="P552" s="13" t="s">
        <v>186</v>
      </c>
      <c r="Q552" s="16"/>
      <c r="R552" s="16"/>
      <c r="S552" s="16"/>
      <c r="T552" s="16"/>
      <c r="U552" s="16"/>
      <c r="V552" s="13" t="s">
        <v>187</v>
      </c>
      <c r="W552" s="17"/>
      <c r="X552" s="13"/>
      <c r="Y552" s="13"/>
      <c r="Z552" s="13"/>
      <c r="AA552" s="13" t="s">
        <v>188</v>
      </c>
      <c r="AB552" s="13" t="s">
        <v>3343</v>
      </c>
      <c r="AC552" s="18" t="n">
        <v>6.83</v>
      </c>
      <c r="AD552" s="13" t="s">
        <v>190</v>
      </c>
      <c r="AE552" s="19"/>
      <c r="AF552" s="19"/>
      <c r="AG552" s="19"/>
      <c r="AH552" s="13"/>
      <c r="AI552" s="17" t="str">
        <f aca="false">IF(OR(AC552="",AF552="",Settings!$B$10=""),"",ROUND(AC552-AF552*Settings!$B$10,2))</f>
        <v/>
      </c>
      <c r="AJ552" s="13" t="s">
        <v>192</v>
      </c>
      <c r="AK552" s="13" t="s">
        <v>193</v>
      </c>
      <c r="AL552" s="14" t="s">
        <v>194</v>
      </c>
      <c r="AM552" s="13" t="s">
        <v>1147</v>
      </c>
      <c r="AN552" s="15"/>
      <c r="AO552" s="13"/>
      <c r="AP552" s="13" t="s">
        <v>196</v>
      </c>
      <c r="AQ552" s="16" t="n">
        <f aca="false">IFERROR(IF(AND(INDEX(Mob_Demob!$D$6:$D$14,MATCH(AM552,Mob_Demob!$A$6:$A$14,0))="",INDEX(Mob_Demob!$G$6:$G$14,MATCH(AM552,Mob_Demob!$A$6:$A$14,0))=""),"",ROUND(MAX(N(INDEX(Mob_Demob!$G$6:$G$14,MATCH(AM552,Mob_Demob!$A$6:$A$14,0))),N(INDEX(Mob_Demob!$D$6:$D$14,MATCH(AM552,Mob_Demob!$A$6:$A$14,0)))*Settings!$B$6)+IF(AP552="Y",N(INDEX(Mob_Demob!$I$6:$I$14,MATCH(AM552,Mob_Demob!$A$6:$A$14,0)))*Settings!$B$19,0)+N(INDEX(Mob_Demob!$L$6:$L$14,MATCH(AM552,Mob_Demob!$A$6:$A$14,0)))*N(INDEX(Mob_Demob!$K$6:$K$14,MATCH(AM552,Mob_Demob!$A$6:$A$14,0)))*Settings!$B$6+N(INDEX(Mob_Demob!$M$6:$M$14,MATCH(AM552,Mob_Demob!$A$6:$A$14,0)))*N(INDEX(Mob_Demob!$N$6:$N$14,MATCH(AM552,Mob_Demob!$A$6:$A$14,0))),0)),"")</f>
        <v>200</v>
      </c>
      <c r="AR552" s="16" t="n">
        <f aca="false">IF(AQ552="","",ROUND(AQ552*Settings!$B$18,0))</f>
        <v>200</v>
      </c>
      <c r="AS552" s="13" t="s">
        <v>3303</v>
      </c>
      <c r="AT552" s="14" t="s">
        <v>3344</v>
      </c>
      <c r="AU552" s="14" t="s">
        <v>838</v>
      </c>
    </row>
    <row r="553" customFormat="false" ht="64.15" hidden="false" customHeight="false" outlineLevel="0" collapsed="false">
      <c r="A553" s="11" t="s">
        <v>3345</v>
      </c>
      <c r="B553" s="11" t="s">
        <v>3297</v>
      </c>
      <c r="C553" s="11" t="s">
        <v>3298</v>
      </c>
      <c r="D553" s="11" t="s">
        <v>3341</v>
      </c>
      <c r="E553" s="12" t="s">
        <v>3346</v>
      </c>
      <c r="F553" s="13" t="s">
        <v>3301</v>
      </c>
      <c r="G553" s="13" t="n">
        <v>2</v>
      </c>
      <c r="H553" s="13" t="s">
        <v>1196</v>
      </c>
      <c r="I553" s="14"/>
      <c r="J553" s="15"/>
      <c r="K553" s="13"/>
      <c r="L553" s="13"/>
      <c r="M553" s="13"/>
      <c r="N553" s="13" t="s">
        <v>1163</v>
      </c>
      <c r="O553" s="13" t="s">
        <v>1164</v>
      </c>
      <c r="P553" s="13" t="s">
        <v>186</v>
      </c>
      <c r="Q553" s="16"/>
      <c r="R553" s="16"/>
      <c r="S553" s="16"/>
      <c r="T553" s="16"/>
      <c r="U553" s="16"/>
      <c r="V553" s="13" t="s">
        <v>187</v>
      </c>
      <c r="W553" s="17"/>
      <c r="X553" s="13"/>
      <c r="Y553" s="13"/>
      <c r="Z553" s="13"/>
      <c r="AA553" s="13" t="s">
        <v>188</v>
      </c>
      <c r="AB553" s="13" t="s">
        <v>3347</v>
      </c>
      <c r="AC553" s="18" t="n">
        <v>3.53</v>
      </c>
      <c r="AD553" s="13" t="s">
        <v>190</v>
      </c>
      <c r="AE553" s="19"/>
      <c r="AF553" s="19"/>
      <c r="AG553" s="19"/>
      <c r="AH553" s="13"/>
      <c r="AI553" s="17" t="str">
        <f aca="false">IF(OR(AC553="",AF553="",Settings!$B$10=""),"",ROUND(AC553-AF553*Settings!$B$10,2))</f>
        <v/>
      </c>
      <c r="AJ553" s="13" t="s">
        <v>192</v>
      </c>
      <c r="AK553" s="13" t="s">
        <v>193</v>
      </c>
      <c r="AL553" s="14" t="s">
        <v>194</v>
      </c>
      <c r="AM553" s="13" t="s">
        <v>1147</v>
      </c>
      <c r="AN553" s="15"/>
      <c r="AO553" s="13"/>
      <c r="AP553" s="13" t="s">
        <v>196</v>
      </c>
      <c r="AQ553" s="16" t="n">
        <f aca="false">IFERROR(IF(AND(INDEX(Mob_Demob!$D$6:$D$14,MATCH(AM553,Mob_Demob!$A$6:$A$14,0))="",INDEX(Mob_Demob!$G$6:$G$14,MATCH(AM553,Mob_Demob!$A$6:$A$14,0))=""),"",ROUND(MAX(N(INDEX(Mob_Demob!$G$6:$G$14,MATCH(AM553,Mob_Demob!$A$6:$A$14,0))),N(INDEX(Mob_Demob!$D$6:$D$14,MATCH(AM553,Mob_Demob!$A$6:$A$14,0)))*Settings!$B$6)+IF(AP553="Y",N(INDEX(Mob_Demob!$I$6:$I$14,MATCH(AM553,Mob_Demob!$A$6:$A$14,0)))*Settings!$B$19,0)+N(INDEX(Mob_Demob!$L$6:$L$14,MATCH(AM553,Mob_Demob!$A$6:$A$14,0)))*N(INDEX(Mob_Demob!$K$6:$K$14,MATCH(AM553,Mob_Demob!$A$6:$A$14,0)))*Settings!$B$6+N(INDEX(Mob_Demob!$M$6:$M$14,MATCH(AM553,Mob_Demob!$A$6:$A$14,0)))*N(INDEX(Mob_Demob!$N$6:$N$14,MATCH(AM553,Mob_Demob!$A$6:$A$14,0))),0)),"")</f>
        <v>200</v>
      </c>
      <c r="AR553" s="16" t="n">
        <f aca="false">IF(AQ553="","",ROUND(AQ553*Settings!$B$18,0))</f>
        <v>200</v>
      </c>
      <c r="AS553" s="13" t="s">
        <v>3303</v>
      </c>
      <c r="AT553" s="14" t="s">
        <v>3344</v>
      </c>
      <c r="AU553" s="14" t="s">
        <v>838</v>
      </c>
    </row>
    <row r="554" customFormat="false" ht="64.15" hidden="false" customHeight="false" outlineLevel="0" collapsed="false">
      <c r="A554" s="11" t="s">
        <v>3348</v>
      </c>
      <c r="B554" s="11" t="s">
        <v>3297</v>
      </c>
      <c r="C554" s="11" t="s">
        <v>3298</v>
      </c>
      <c r="D554" s="11" t="s">
        <v>3341</v>
      </c>
      <c r="E554" s="12" t="s">
        <v>3349</v>
      </c>
      <c r="F554" s="13" t="s">
        <v>3301</v>
      </c>
      <c r="G554" s="13" t="n">
        <v>3</v>
      </c>
      <c r="H554" s="13" t="s">
        <v>1196</v>
      </c>
      <c r="I554" s="14"/>
      <c r="J554" s="15"/>
      <c r="K554" s="13"/>
      <c r="L554" s="13"/>
      <c r="M554" s="13"/>
      <c r="N554" s="13" t="s">
        <v>1163</v>
      </c>
      <c r="O554" s="13" t="s">
        <v>1164</v>
      </c>
      <c r="P554" s="13" t="s">
        <v>186</v>
      </c>
      <c r="Q554" s="16"/>
      <c r="R554" s="16"/>
      <c r="S554" s="16"/>
      <c r="T554" s="16"/>
      <c r="U554" s="16"/>
      <c r="V554" s="13" t="s">
        <v>187</v>
      </c>
      <c r="W554" s="17"/>
      <c r="X554" s="13"/>
      <c r="Y554" s="13"/>
      <c r="Z554" s="13"/>
      <c r="AA554" s="13" t="s">
        <v>188</v>
      </c>
      <c r="AB554" s="13" t="s">
        <v>3350</v>
      </c>
      <c r="AC554" s="18" t="n">
        <v>4.74</v>
      </c>
      <c r="AD554" s="13" t="s">
        <v>190</v>
      </c>
      <c r="AE554" s="19"/>
      <c r="AF554" s="19"/>
      <c r="AG554" s="19"/>
      <c r="AH554" s="13"/>
      <c r="AI554" s="17" t="str">
        <f aca="false">IF(OR(AC554="",AF554="",Settings!$B$10=""),"",ROUND(AC554-AF554*Settings!$B$10,2))</f>
        <v/>
      </c>
      <c r="AJ554" s="13" t="s">
        <v>192</v>
      </c>
      <c r="AK554" s="13" t="s">
        <v>193</v>
      </c>
      <c r="AL554" s="14" t="s">
        <v>194</v>
      </c>
      <c r="AM554" s="13" t="s">
        <v>1147</v>
      </c>
      <c r="AN554" s="15"/>
      <c r="AO554" s="13"/>
      <c r="AP554" s="13" t="s">
        <v>196</v>
      </c>
      <c r="AQ554" s="16" t="n">
        <f aca="false">IFERROR(IF(AND(INDEX(Mob_Demob!$D$6:$D$14,MATCH(AM554,Mob_Demob!$A$6:$A$14,0))="",INDEX(Mob_Demob!$G$6:$G$14,MATCH(AM554,Mob_Demob!$A$6:$A$14,0))=""),"",ROUND(MAX(N(INDEX(Mob_Demob!$G$6:$G$14,MATCH(AM554,Mob_Demob!$A$6:$A$14,0))),N(INDEX(Mob_Demob!$D$6:$D$14,MATCH(AM554,Mob_Demob!$A$6:$A$14,0)))*Settings!$B$6)+IF(AP554="Y",N(INDEX(Mob_Demob!$I$6:$I$14,MATCH(AM554,Mob_Demob!$A$6:$A$14,0)))*Settings!$B$19,0)+N(INDEX(Mob_Demob!$L$6:$L$14,MATCH(AM554,Mob_Demob!$A$6:$A$14,0)))*N(INDEX(Mob_Demob!$K$6:$K$14,MATCH(AM554,Mob_Demob!$A$6:$A$14,0)))*Settings!$B$6+N(INDEX(Mob_Demob!$M$6:$M$14,MATCH(AM554,Mob_Demob!$A$6:$A$14,0)))*N(INDEX(Mob_Demob!$N$6:$N$14,MATCH(AM554,Mob_Demob!$A$6:$A$14,0))),0)),"")</f>
        <v>200</v>
      </c>
      <c r="AR554" s="16" t="n">
        <f aca="false">IF(AQ554="","",ROUND(AQ554*Settings!$B$18,0))</f>
        <v>200</v>
      </c>
      <c r="AS554" s="13" t="s">
        <v>3303</v>
      </c>
      <c r="AT554" s="14" t="s">
        <v>3344</v>
      </c>
      <c r="AU554" s="14" t="s">
        <v>838</v>
      </c>
    </row>
    <row r="555" customFormat="false" ht="64.15" hidden="false" customHeight="false" outlineLevel="0" collapsed="false">
      <c r="A555" s="11" t="s">
        <v>3351</v>
      </c>
      <c r="B555" s="11" t="s">
        <v>3297</v>
      </c>
      <c r="C555" s="11" t="s">
        <v>3298</v>
      </c>
      <c r="D555" s="11" t="s">
        <v>3352</v>
      </c>
      <c r="E555" s="12" t="s">
        <v>3353</v>
      </c>
      <c r="F555" s="13" t="s">
        <v>3301</v>
      </c>
      <c r="G555" s="13" t="n">
        <v>3</v>
      </c>
      <c r="H555" s="13" t="s">
        <v>1196</v>
      </c>
      <c r="I555" s="14"/>
      <c r="J555" s="15"/>
      <c r="K555" s="13"/>
      <c r="L555" s="13"/>
      <c r="M555" s="13"/>
      <c r="N555" s="13" t="s">
        <v>1163</v>
      </c>
      <c r="O555" s="13" t="s">
        <v>1164</v>
      </c>
      <c r="P555" s="13" t="s">
        <v>186</v>
      </c>
      <c r="Q555" s="16"/>
      <c r="R555" s="16"/>
      <c r="S555" s="16"/>
      <c r="T555" s="16"/>
      <c r="U555" s="16"/>
      <c r="V555" s="13" t="s">
        <v>187</v>
      </c>
      <c r="W555" s="17"/>
      <c r="X555" s="13"/>
      <c r="Y555" s="13"/>
      <c r="Z555" s="13"/>
      <c r="AA555" s="13" t="s">
        <v>188</v>
      </c>
      <c r="AB555" s="13" t="s">
        <v>3354</v>
      </c>
      <c r="AC555" s="18" t="n">
        <v>5.91</v>
      </c>
      <c r="AD555" s="13" t="s">
        <v>190</v>
      </c>
      <c r="AE555" s="19"/>
      <c r="AF555" s="19"/>
      <c r="AG555" s="19"/>
      <c r="AH555" s="13"/>
      <c r="AI555" s="17" t="str">
        <f aca="false">IF(OR(AC555="",AF555="",Settings!$B$10=""),"",ROUND(AC555-AF555*Settings!$B$10,2))</f>
        <v/>
      </c>
      <c r="AJ555" s="13" t="s">
        <v>192</v>
      </c>
      <c r="AK555" s="13" t="s">
        <v>193</v>
      </c>
      <c r="AL555" s="14" t="s">
        <v>194</v>
      </c>
      <c r="AM555" s="13" t="s">
        <v>1147</v>
      </c>
      <c r="AN555" s="15"/>
      <c r="AO555" s="13"/>
      <c r="AP555" s="13" t="s">
        <v>196</v>
      </c>
      <c r="AQ555" s="16" t="n">
        <f aca="false">IFERROR(IF(AND(INDEX(Mob_Demob!$D$6:$D$14,MATCH(AM555,Mob_Demob!$A$6:$A$14,0))="",INDEX(Mob_Demob!$G$6:$G$14,MATCH(AM555,Mob_Demob!$A$6:$A$14,0))=""),"",ROUND(MAX(N(INDEX(Mob_Demob!$G$6:$G$14,MATCH(AM555,Mob_Demob!$A$6:$A$14,0))),N(INDEX(Mob_Demob!$D$6:$D$14,MATCH(AM555,Mob_Demob!$A$6:$A$14,0)))*Settings!$B$6)+IF(AP555="Y",N(INDEX(Mob_Demob!$I$6:$I$14,MATCH(AM555,Mob_Demob!$A$6:$A$14,0)))*Settings!$B$19,0)+N(INDEX(Mob_Demob!$L$6:$L$14,MATCH(AM555,Mob_Demob!$A$6:$A$14,0)))*N(INDEX(Mob_Demob!$K$6:$K$14,MATCH(AM555,Mob_Demob!$A$6:$A$14,0)))*Settings!$B$6+N(INDEX(Mob_Demob!$M$6:$M$14,MATCH(AM555,Mob_Demob!$A$6:$A$14,0)))*N(INDEX(Mob_Demob!$N$6:$N$14,MATCH(AM555,Mob_Demob!$A$6:$A$14,0))),0)),"")</f>
        <v>200</v>
      </c>
      <c r="AR555" s="16" t="n">
        <f aca="false">IF(AQ555="","",ROUND(AQ555*Settings!$B$18,0))</f>
        <v>200</v>
      </c>
      <c r="AS555" s="13" t="s">
        <v>3303</v>
      </c>
      <c r="AT555" s="14" t="s">
        <v>3344</v>
      </c>
      <c r="AU555" s="14" t="s">
        <v>838</v>
      </c>
    </row>
    <row r="556" customFormat="false" ht="64.15" hidden="false" customHeight="false" outlineLevel="0" collapsed="false">
      <c r="A556" s="11" t="s">
        <v>3355</v>
      </c>
      <c r="B556" s="11" t="s">
        <v>3297</v>
      </c>
      <c r="C556" s="11" t="s">
        <v>3298</v>
      </c>
      <c r="D556" s="11" t="s">
        <v>3356</v>
      </c>
      <c r="E556" s="12" t="s">
        <v>3357</v>
      </c>
      <c r="F556" s="13" t="s">
        <v>3301</v>
      </c>
      <c r="G556" s="13" t="n">
        <v>2</v>
      </c>
      <c r="H556" s="13" t="s">
        <v>1196</v>
      </c>
      <c r="I556" s="14"/>
      <c r="J556" s="15"/>
      <c r="K556" s="13"/>
      <c r="L556" s="13"/>
      <c r="M556" s="13"/>
      <c r="N556" s="13" t="s">
        <v>1737</v>
      </c>
      <c r="O556" s="13" t="s">
        <v>1164</v>
      </c>
      <c r="P556" s="13" t="s">
        <v>186</v>
      </c>
      <c r="Q556" s="20" t="n">
        <v>40</v>
      </c>
      <c r="R556" s="20" t="n">
        <v>130</v>
      </c>
      <c r="S556" s="20" t="n">
        <v>360</v>
      </c>
      <c r="T556" s="20" t="n">
        <v>315</v>
      </c>
      <c r="U556" s="20" t="n">
        <v>405</v>
      </c>
      <c r="V556" s="13" t="s">
        <v>187</v>
      </c>
      <c r="W556" s="17"/>
      <c r="X556" s="13"/>
      <c r="Y556" s="13" t="s">
        <v>3358</v>
      </c>
      <c r="Z556" s="13" t="s">
        <v>212</v>
      </c>
      <c r="AA556" s="13" t="s">
        <v>213</v>
      </c>
      <c r="AB556" s="13"/>
      <c r="AC556" s="17"/>
      <c r="AD556" s="13"/>
      <c r="AE556" s="19" t="n">
        <v>0</v>
      </c>
      <c r="AF556" s="19" t="n">
        <v>0</v>
      </c>
      <c r="AG556" s="19" t="n">
        <v>0</v>
      </c>
      <c r="AH556" s="13" t="s">
        <v>1739</v>
      </c>
      <c r="AI556" s="17"/>
      <c r="AJ556" s="13" t="s">
        <v>188</v>
      </c>
      <c r="AK556" s="13" t="s">
        <v>188</v>
      </c>
      <c r="AL556" s="14" t="s">
        <v>194</v>
      </c>
      <c r="AM556" s="13" t="s">
        <v>1147</v>
      </c>
      <c r="AN556" s="15"/>
      <c r="AO556" s="13"/>
      <c r="AP556" s="13" t="s">
        <v>196</v>
      </c>
      <c r="AQ556" s="16" t="n">
        <f aca="false">IFERROR(IF(AND(INDEX(Mob_Demob!$D$6:$D$14,MATCH(AM556,Mob_Demob!$A$6:$A$14,0))="",INDEX(Mob_Demob!$G$6:$G$14,MATCH(AM556,Mob_Demob!$A$6:$A$14,0))=""),"",ROUND(MAX(N(INDEX(Mob_Demob!$G$6:$G$14,MATCH(AM556,Mob_Demob!$A$6:$A$14,0))),N(INDEX(Mob_Demob!$D$6:$D$14,MATCH(AM556,Mob_Demob!$A$6:$A$14,0)))*Settings!$B$6)+IF(AP556="Y",N(INDEX(Mob_Demob!$I$6:$I$14,MATCH(AM556,Mob_Demob!$A$6:$A$14,0)))*Settings!$B$19,0)+N(INDEX(Mob_Demob!$L$6:$L$14,MATCH(AM556,Mob_Demob!$A$6:$A$14,0)))*N(INDEX(Mob_Demob!$K$6:$K$14,MATCH(AM556,Mob_Demob!$A$6:$A$14,0)))*Settings!$B$6+N(INDEX(Mob_Demob!$M$6:$M$14,MATCH(AM556,Mob_Demob!$A$6:$A$14,0)))*N(INDEX(Mob_Demob!$N$6:$N$14,MATCH(AM556,Mob_Demob!$A$6:$A$14,0))),0)),"")</f>
        <v>200</v>
      </c>
      <c r="AR556" s="16" t="n">
        <f aca="false">IF(AQ556="","",ROUND(AQ556*Settings!$B$18,0))</f>
        <v>200</v>
      </c>
      <c r="AS556" s="13" t="s">
        <v>3303</v>
      </c>
      <c r="AT556" s="14" t="s">
        <v>3359</v>
      </c>
      <c r="AU556" s="14" t="s">
        <v>341</v>
      </c>
    </row>
    <row r="557" customFormat="false" ht="64.15" hidden="false" customHeight="false" outlineLevel="0" collapsed="false">
      <c r="A557" s="11" t="s">
        <v>3360</v>
      </c>
      <c r="B557" s="11" t="s">
        <v>3297</v>
      </c>
      <c r="C557" s="11" t="s">
        <v>3298</v>
      </c>
      <c r="D557" s="11" t="s">
        <v>3361</v>
      </c>
      <c r="E557" s="12" t="s">
        <v>3362</v>
      </c>
      <c r="F557" s="13" t="s">
        <v>3301</v>
      </c>
      <c r="G557" s="13" t="n">
        <v>2</v>
      </c>
      <c r="H557" s="13" t="s">
        <v>1196</v>
      </c>
      <c r="I557" s="14"/>
      <c r="J557" s="15"/>
      <c r="K557" s="13"/>
      <c r="L557" s="13"/>
      <c r="M557" s="13"/>
      <c r="N557" s="13" t="s">
        <v>1163</v>
      </c>
      <c r="O557" s="13" t="s">
        <v>1164</v>
      </c>
      <c r="P557" s="13" t="s">
        <v>186</v>
      </c>
      <c r="Q557" s="20" t="n">
        <v>74</v>
      </c>
      <c r="R557" s="20" t="n">
        <v>263</v>
      </c>
      <c r="S557" s="20" t="n">
        <v>609</v>
      </c>
      <c r="T557" s="16"/>
      <c r="U557" s="16"/>
      <c r="V557" s="13" t="s">
        <v>187</v>
      </c>
      <c r="W557" s="17"/>
      <c r="X557" s="13"/>
      <c r="Y557" s="13" t="s">
        <v>259</v>
      </c>
      <c r="Z557" s="13" t="s">
        <v>260</v>
      </c>
      <c r="AA557" s="13" t="s">
        <v>192</v>
      </c>
      <c r="AB557" s="13"/>
      <c r="AC557" s="17"/>
      <c r="AD557" s="13"/>
      <c r="AE557" s="19"/>
      <c r="AF557" s="19"/>
      <c r="AG557" s="19"/>
      <c r="AH557" s="13"/>
      <c r="AI557" s="17"/>
      <c r="AJ557" s="13" t="s">
        <v>188</v>
      </c>
      <c r="AK557" s="13" t="s">
        <v>188</v>
      </c>
      <c r="AL557" s="14" t="s">
        <v>194</v>
      </c>
      <c r="AM557" s="13" t="s">
        <v>1147</v>
      </c>
      <c r="AN557" s="15"/>
      <c r="AO557" s="13"/>
      <c r="AP557" s="13" t="s">
        <v>196</v>
      </c>
      <c r="AQ557" s="16" t="n">
        <f aca="false">IFERROR(IF(AND(INDEX(Mob_Demob!$D$6:$D$14,MATCH(AM557,Mob_Demob!$A$6:$A$14,0))="",INDEX(Mob_Demob!$G$6:$G$14,MATCH(AM557,Mob_Demob!$A$6:$A$14,0))=""),"",ROUND(MAX(N(INDEX(Mob_Demob!$G$6:$G$14,MATCH(AM557,Mob_Demob!$A$6:$A$14,0))),N(INDEX(Mob_Demob!$D$6:$D$14,MATCH(AM557,Mob_Demob!$A$6:$A$14,0)))*Settings!$B$6)+IF(AP557="Y",N(INDEX(Mob_Demob!$I$6:$I$14,MATCH(AM557,Mob_Demob!$A$6:$A$14,0)))*Settings!$B$19,0)+N(INDEX(Mob_Demob!$L$6:$L$14,MATCH(AM557,Mob_Demob!$A$6:$A$14,0)))*N(INDEX(Mob_Demob!$K$6:$K$14,MATCH(AM557,Mob_Demob!$A$6:$A$14,0)))*Settings!$B$6+N(INDEX(Mob_Demob!$M$6:$M$14,MATCH(AM557,Mob_Demob!$A$6:$A$14,0)))*N(INDEX(Mob_Demob!$N$6:$N$14,MATCH(AM557,Mob_Demob!$A$6:$A$14,0))),0)),"")</f>
        <v>200</v>
      </c>
      <c r="AR557" s="16" t="n">
        <f aca="false">IF(AQ557="","",ROUND(AQ557*Settings!$B$18,0))</f>
        <v>200</v>
      </c>
      <c r="AS557" s="13" t="s">
        <v>3303</v>
      </c>
      <c r="AT557" s="14" t="s">
        <v>3316</v>
      </c>
      <c r="AU557" s="14" t="s">
        <v>262</v>
      </c>
    </row>
    <row r="558" customFormat="false" ht="64.15" hidden="false" customHeight="false" outlineLevel="0" collapsed="false">
      <c r="A558" s="11" t="s">
        <v>3363</v>
      </c>
      <c r="B558" s="11" t="s">
        <v>3297</v>
      </c>
      <c r="C558" s="11" t="s">
        <v>3298</v>
      </c>
      <c r="D558" s="11" t="s">
        <v>3356</v>
      </c>
      <c r="E558" s="12" t="s">
        <v>3364</v>
      </c>
      <c r="F558" s="13" t="s">
        <v>3301</v>
      </c>
      <c r="G558" s="13" t="n">
        <v>4</v>
      </c>
      <c r="H558" s="13" t="s">
        <v>1196</v>
      </c>
      <c r="I558" s="14"/>
      <c r="J558" s="15"/>
      <c r="K558" s="13"/>
      <c r="L558" s="13"/>
      <c r="M558" s="13"/>
      <c r="N558" s="13" t="s">
        <v>1737</v>
      </c>
      <c r="O558" s="13" t="s">
        <v>1164</v>
      </c>
      <c r="P558" s="13" t="s">
        <v>186</v>
      </c>
      <c r="Q558" s="16"/>
      <c r="R558" s="16"/>
      <c r="S558" s="16"/>
      <c r="T558" s="16"/>
      <c r="U558" s="16"/>
      <c r="V558" s="13" t="s">
        <v>187</v>
      </c>
      <c r="W558" s="17"/>
      <c r="X558" s="13"/>
      <c r="Y558" s="13"/>
      <c r="Z558" s="13"/>
      <c r="AA558" s="13" t="s">
        <v>188</v>
      </c>
      <c r="AB558" s="13" t="s">
        <v>3365</v>
      </c>
      <c r="AC558" s="18" t="n">
        <v>4.35</v>
      </c>
      <c r="AD558" s="13" t="s">
        <v>190</v>
      </c>
      <c r="AE558" s="19" t="n">
        <v>0</v>
      </c>
      <c r="AF558" s="19" t="n">
        <v>0</v>
      </c>
      <c r="AG558" s="19" t="n">
        <v>0</v>
      </c>
      <c r="AH558" s="13" t="s">
        <v>1739</v>
      </c>
      <c r="AI558" s="17" t="n">
        <f aca="false">IF(OR(AC558="",AF558="",Settings!$B$5=""),"",ROUND(AC558-AF558*Settings!$B$5,2))</f>
        <v>4.35</v>
      </c>
      <c r="AJ558" s="13" t="s">
        <v>192</v>
      </c>
      <c r="AK558" s="13" t="s">
        <v>193</v>
      </c>
      <c r="AL558" s="14" t="s">
        <v>194</v>
      </c>
      <c r="AM558" s="13" t="s">
        <v>1147</v>
      </c>
      <c r="AN558" s="15"/>
      <c r="AO558" s="13"/>
      <c r="AP558" s="13" t="s">
        <v>196</v>
      </c>
      <c r="AQ558" s="16" t="n">
        <f aca="false">IFERROR(IF(AND(INDEX(Mob_Demob!$D$6:$D$14,MATCH(AM558,Mob_Demob!$A$6:$A$14,0))="",INDEX(Mob_Demob!$G$6:$G$14,MATCH(AM558,Mob_Demob!$A$6:$A$14,0))=""),"",ROUND(MAX(N(INDEX(Mob_Demob!$G$6:$G$14,MATCH(AM558,Mob_Demob!$A$6:$A$14,0))),N(INDEX(Mob_Demob!$D$6:$D$14,MATCH(AM558,Mob_Demob!$A$6:$A$14,0)))*Settings!$B$6)+IF(AP558="Y",N(INDEX(Mob_Demob!$I$6:$I$14,MATCH(AM558,Mob_Demob!$A$6:$A$14,0)))*Settings!$B$19,0)+N(INDEX(Mob_Demob!$L$6:$L$14,MATCH(AM558,Mob_Demob!$A$6:$A$14,0)))*N(INDEX(Mob_Demob!$K$6:$K$14,MATCH(AM558,Mob_Demob!$A$6:$A$14,0)))*Settings!$B$6+N(INDEX(Mob_Demob!$M$6:$M$14,MATCH(AM558,Mob_Demob!$A$6:$A$14,0)))*N(INDEX(Mob_Demob!$N$6:$N$14,MATCH(AM558,Mob_Demob!$A$6:$A$14,0))),0)),"")</f>
        <v>200</v>
      </c>
      <c r="AR558" s="16" t="n">
        <f aca="false">IF(AQ558="","",ROUND(AQ558*Settings!$B$18,0))</f>
        <v>200</v>
      </c>
      <c r="AS558" s="13" t="s">
        <v>3303</v>
      </c>
      <c r="AT558" s="14" t="s">
        <v>3366</v>
      </c>
      <c r="AU558" s="14" t="s">
        <v>199</v>
      </c>
    </row>
    <row r="559" customFormat="false" ht="64.15" hidden="false" customHeight="false" outlineLevel="0" collapsed="false">
      <c r="A559" s="11" t="s">
        <v>3367</v>
      </c>
      <c r="B559" s="11" t="s">
        <v>3297</v>
      </c>
      <c r="C559" s="11" t="s">
        <v>3298</v>
      </c>
      <c r="D559" s="11" t="s">
        <v>3356</v>
      </c>
      <c r="E559" s="12" t="s">
        <v>3368</v>
      </c>
      <c r="F559" s="13" t="s">
        <v>3301</v>
      </c>
      <c r="G559" s="13" t="n">
        <v>6</v>
      </c>
      <c r="H559" s="13" t="s">
        <v>1196</v>
      </c>
      <c r="I559" s="14"/>
      <c r="J559" s="15"/>
      <c r="K559" s="13"/>
      <c r="L559" s="13"/>
      <c r="M559" s="13"/>
      <c r="N559" s="13" t="s">
        <v>1737</v>
      </c>
      <c r="O559" s="13" t="s">
        <v>1164</v>
      </c>
      <c r="P559" s="13" t="s">
        <v>186</v>
      </c>
      <c r="Q559" s="16"/>
      <c r="R559" s="16"/>
      <c r="S559" s="16"/>
      <c r="T559" s="16"/>
      <c r="U559" s="16"/>
      <c r="V559" s="13" t="s">
        <v>187</v>
      </c>
      <c r="W559" s="17"/>
      <c r="X559" s="13"/>
      <c r="Y559" s="13"/>
      <c r="Z559" s="13"/>
      <c r="AA559" s="13" t="s">
        <v>188</v>
      </c>
      <c r="AB559" s="13" t="s">
        <v>3369</v>
      </c>
      <c r="AC559" s="18" t="n">
        <v>3.86</v>
      </c>
      <c r="AD559" s="13" t="s">
        <v>190</v>
      </c>
      <c r="AE559" s="19" t="n">
        <v>0</v>
      </c>
      <c r="AF559" s="19" t="n">
        <v>0</v>
      </c>
      <c r="AG559" s="19" t="n">
        <v>0</v>
      </c>
      <c r="AH559" s="13" t="s">
        <v>1739</v>
      </c>
      <c r="AI559" s="17" t="n">
        <f aca="false">IF(OR(AC559="",AF559="",Settings!$B$5=""),"",ROUND(AC559-AF559*Settings!$B$5,2))</f>
        <v>3.86</v>
      </c>
      <c r="AJ559" s="13" t="s">
        <v>192</v>
      </c>
      <c r="AK559" s="13" t="s">
        <v>193</v>
      </c>
      <c r="AL559" s="14" t="s">
        <v>194</v>
      </c>
      <c r="AM559" s="13" t="s">
        <v>1147</v>
      </c>
      <c r="AN559" s="15"/>
      <c r="AO559" s="13"/>
      <c r="AP559" s="13" t="s">
        <v>196</v>
      </c>
      <c r="AQ559" s="16" t="n">
        <f aca="false">IFERROR(IF(AND(INDEX(Mob_Demob!$D$6:$D$14,MATCH(AM559,Mob_Demob!$A$6:$A$14,0))="",INDEX(Mob_Demob!$G$6:$G$14,MATCH(AM559,Mob_Demob!$A$6:$A$14,0))=""),"",ROUND(MAX(N(INDEX(Mob_Demob!$G$6:$G$14,MATCH(AM559,Mob_Demob!$A$6:$A$14,0))),N(INDEX(Mob_Demob!$D$6:$D$14,MATCH(AM559,Mob_Demob!$A$6:$A$14,0)))*Settings!$B$6)+IF(AP559="Y",N(INDEX(Mob_Demob!$I$6:$I$14,MATCH(AM559,Mob_Demob!$A$6:$A$14,0)))*Settings!$B$19,0)+N(INDEX(Mob_Demob!$L$6:$L$14,MATCH(AM559,Mob_Demob!$A$6:$A$14,0)))*N(INDEX(Mob_Demob!$K$6:$K$14,MATCH(AM559,Mob_Demob!$A$6:$A$14,0)))*Settings!$B$6+N(INDEX(Mob_Demob!$M$6:$M$14,MATCH(AM559,Mob_Demob!$A$6:$A$14,0)))*N(INDEX(Mob_Demob!$N$6:$N$14,MATCH(AM559,Mob_Demob!$A$6:$A$14,0))),0)),"")</f>
        <v>200</v>
      </c>
      <c r="AR559" s="16" t="n">
        <f aca="false">IF(AQ559="","",ROUND(AQ559*Settings!$B$18,0))</f>
        <v>200</v>
      </c>
      <c r="AS559" s="13" t="s">
        <v>3303</v>
      </c>
      <c r="AT559" s="14" t="s">
        <v>3370</v>
      </c>
      <c r="AU559" s="14" t="s">
        <v>3371</v>
      </c>
    </row>
    <row r="560" customFormat="false" ht="64.15" hidden="false" customHeight="false" outlineLevel="0" collapsed="false">
      <c r="A560" s="11" t="s">
        <v>3372</v>
      </c>
      <c r="B560" s="11" t="s">
        <v>3297</v>
      </c>
      <c r="C560" s="11" t="s">
        <v>3298</v>
      </c>
      <c r="D560" s="11" t="s">
        <v>3373</v>
      </c>
      <c r="E560" s="12" t="s">
        <v>3374</v>
      </c>
      <c r="F560" s="13" t="s">
        <v>149</v>
      </c>
      <c r="G560" s="13" t="n">
        <v>1740</v>
      </c>
      <c r="H560" s="13" t="s">
        <v>3375</v>
      </c>
      <c r="I560" s="14" t="s">
        <v>3376</v>
      </c>
      <c r="J560" s="15"/>
      <c r="K560" s="13"/>
      <c r="L560" s="13"/>
      <c r="M560" s="13"/>
      <c r="N560" s="13" t="s">
        <v>184</v>
      </c>
      <c r="O560" s="13" t="s">
        <v>185</v>
      </c>
      <c r="P560" s="13" t="s">
        <v>186</v>
      </c>
      <c r="Q560" s="16"/>
      <c r="R560" s="16"/>
      <c r="S560" s="16"/>
      <c r="T560" s="16"/>
      <c r="U560" s="16"/>
      <c r="V560" s="13" t="s">
        <v>187</v>
      </c>
      <c r="W560" s="17"/>
      <c r="X560" s="13"/>
      <c r="Y560" s="13"/>
      <c r="Z560" s="13"/>
      <c r="AA560" s="13" t="s">
        <v>188</v>
      </c>
      <c r="AB560" s="13" t="s">
        <v>3377</v>
      </c>
      <c r="AC560" s="18" t="n">
        <v>1743.1</v>
      </c>
      <c r="AD560" s="13" t="s">
        <v>190</v>
      </c>
      <c r="AE560" s="19"/>
      <c r="AF560" s="19"/>
      <c r="AG560" s="19"/>
      <c r="AH560" s="13"/>
      <c r="AI560" s="17" t="str">
        <f aca="false">IF(OR(AC560="",AF560="",Settings!$B$5=""),"",ROUND(AC560-AF560*Settings!$B$5,2))</f>
        <v/>
      </c>
      <c r="AJ560" s="13" t="s">
        <v>192</v>
      </c>
      <c r="AK560" s="13" t="s">
        <v>193</v>
      </c>
      <c r="AL560" s="14" t="s">
        <v>194</v>
      </c>
      <c r="AM560" s="13" t="s">
        <v>286</v>
      </c>
      <c r="AN560" s="15"/>
      <c r="AO560" s="13"/>
      <c r="AP560" s="13" t="s">
        <v>269</v>
      </c>
      <c r="AQ560" s="16" t="n">
        <f aca="false">IFERROR(IF(AND(INDEX(Mob_Demob!$D$6:$D$14,MATCH(AM560,Mob_Demob!$A$6:$A$14,0))="",INDEX(Mob_Demob!$G$6:$G$14,MATCH(AM560,Mob_Demob!$A$6:$A$14,0))=""),"",ROUND(MAX(N(INDEX(Mob_Demob!$G$6:$G$14,MATCH(AM560,Mob_Demob!$A$6:$A$14,0))),N(INDEX(Mob_Demob!$D$6:$D$14,MATCH(AM560,Mob_Demob!$A$6:$A$14,0)))*Settings!$B$6)+IF(AP560="Y",N(INDEX(Mob_Demob!$I$6:$I$14,MATCH(AM560,Mob_Demob!$A$6:$A$14,0)))*Settings!$B$19,0)+N(INDEX(Mob_Demob!$L$6:$L$14,MATCH(AM560,Mob_Demob!$A$6:$A$14,0)))*N(INDEX(Mob_Demob!$K$6:$K$14,MATCH(AM560,Mob_Demob!$A$6:$A$14,0)))*Settings!$B$6+N(INDEX(Mob_Demob!$M$6:$M$14,MATCH(AM560,Mob_Demob!$A$6:$A$14,0)))*N(INDEX(Mob_Demob!$N$6:$N$14,MATCH(AM560,Mob_Demob!$A$6:$A$14,0))),0)),"")</f>
        <v>1913</v>
      </c>
      <c r="AR560" s="16" t="n">
        <f aca="false">IF(AQ560="","",ROUND(AQ560*Settings!$B$18,0))</f>
        <v>1913</v>
      </c>
      <c r="AS560" s="13"/>
      <c r="AT560" s="14" t="s">
        <v>3378</v>
      </c>
      <c r="AU560" s="14" t="s">
        <v>838</v>
      </c>
    </row>
    <row r="561" customFormat="false" ht="64.15" hidden="false" customHeight="false" outlineLevel="0" collapsed="false">
      <c r="A561" s="11" t="s">
        <v>3379</v>
      </c>
      <c r="B561" s="11" t="s">
        <v>3297</v>
      </c>
      <c r="C561" s="11" t="s">
        <v>3380</v>
      </c>
      <c r="D561" s="11" t="s">
        <v>3381</v>
      </c>
      <c r="E561" s="12" t="s">
        <v>3382</v>
      </c>
      <c r="F561" s="13" t="s">
        <v>3383</v>
      </c>
      <c r="G561" s="13" t="n">
        <v>3</v>
      </c>
      <c r="H561" s="13" t="s">
        <v>1196</v>
      </c>
      <c r="I561" s="14" t="s">
        <v>3384</v>
      </c>
      <c r="J561" s="15"/>
      <c r="K561" s="13"/>
      <c r="L561" s="13" t="s">
        <v>3385</v>
      </c>
      <c r="M561" s="13"/>
      <c r="N561" s="13" t="s">
        <v>1154</v>
      </c>
      <c r="O561" s="13" t="s">
        <v>504</v>
      </c>
      <c r="P561" s="13" t="s">
        <v>3386</v>
      </c>
      <c r="Q561" s="16"/>
      <c r="R561" s="16"/>
      <c r="S561" s="16"/>
      <c r="T561" s="16"/>
      <c r="U561" s="16"/>
      <c r="V561" s="13" t="s">
        <v>187</v>
      </c>
      <c r="W561" s="17"/>
      <c r="X561" s="13"/>
      <c r="Y561" s="13"/>
      <c r="Z561" s="13"/>
      <c r="AA561" s="13" t="s">
        <v>188</v>
      </c>
      <c r="AB561" s="13" t="s">
        <v>3387</v>
      </c>
      <c r="AC561" s="17"/>
      <c r="AD561" s="13"/>
      <c r="AE561" s="19" t="n">
        <v>0</v>
      </c>
      <c r="AF561" s="19" t="n">
        <v>0</v>
      </c>
      <c r="AG561" s="19" t="n">
        <v>0</v>
      </c>
      <c r="AH561" s="13" t="s">
        <v>506</v>
      </c>
      <c r="AI561" s="17"/>
      <c r="AJ561" s="13" t="s">
        <v>188</v>
      </c>
      <c r="AK561" s="13" t="s">
        <v>188</v>
      </c>
      <c r="AL561" s="14" t="s">
        <v>194</v>
      </c>
      <c r="AM561" s="13" t="s">
        <v>1147</v>
      </c>
      <c r="AN561" s="15"/>
      <c r="AO561" s="13"/>
      <c r="AP561" s="13" t="s">
        <v>196</v>
      </c>
      <c r="AQ561" s="16" t="n">
        <f aca="false">IFERROR(IF(AND(INDEX(Mob_Demob!$D$6:$D$14,MATCH(AM561,Mob_Demob!$A$6:$A$14,0))="",INDEX(Mob_Demob!$G$6:$G$14,MATCH(AM561,Mob_Demob!$A$6:$A$14,0))=""),"",ROUND(MAX(N(INDEX(Mob_Demob!$G$6:$G$14,MATCH(AM561,Mob_Demob!$A$6:$A$14,0))),N(INDEX(Mob_Demob!$D$6:$D$14,MATCH(AM561,Mob_Demob!$A$6:$A$14,0)))*Settings!$B$6)+IF(AP561="Y",N(INDEX(Mob_Demob!$I$6:$I$14,MATCH(AM561,Mob_Demob!$A$6:$A$14,0)))*Settings!$B$19,0)+N(INDEX(Mob_Demob!$L$6:$L$14,MATCH(AM561,Mob_Demob!$A$6:$A$14,0)))*N(INDEX(Mob_Demob!$K$6:$K$14,MATCH(AM561,Mob_Demob!$A$6:$A$14,0)))*Settings!$B$6+N(INDEX(Mob_Demob!$M$6:$M$14,MATCH(AM561,Mob_Demob!$A$6:$A$14,0)))*N(INDEX(Mob_Demob!$N$6:$N$14,MATCH(AM561,Mob_Demob!$A$6:$A$14,0))),0)),"")</f>
        <v>200</v>
      </c>
      <c r="AR561" s="16" t="n">
        <f aca="false">IF(AQ561="","",ROUND(AQ561*Settings!$B$18,0))</f>
        <v>200</v>
      </c>
      <c r="AS561" s="13"/>
      <c r="AT561" s="14" t="s">
        <v>3388</v>
      </c>
      <c r="AU561" s="14" t="s">
        <v>509</v>
      </c>
    </row>
    <row r="562" customFormat="false" ht="64.15" hidden="false" customHeight="false" outlineLevel="0" collapsed="false">
      <c r="A562" s="11" t="s">
        <v>3389</v>
      </c>
      <c r="B562" s="11" t="s">
        <v>3297</v>
      </c>
      <c r="C562" s="11" t="s">
        <v>3380</v>
      </c>
      <c r="D562" s="11" t="s">
        <v>3381</v>
      </c>
      <c r="E562" s="12" t="s">
        <v>3390</v>
      </c>
      <c r="F562" s="13" t="s">
        <v>3383</v>
      </c>
      <c r="G562" s="13" t="n">
        <v>4</v>
      </c>
      <c r="H562" s="13" t="s">
        <v>1196</v>
      </c>
      <c r="I562" s="14" t="s">
        <v>3384</v>
      </c>
      <c r="J562" s="15"/>
      <c r="K562" s="13"/>
      <c r="L562" s="13" t="s">
        <v>3385</v>
      </c>
      <c r="M562" s="13"/>
      <c r="N562" s="13" t="s">
        <v>1154</v>
      </c>
      <c r="O562" s="13" t="s">
        <v>504</v>
      </c>
      <c r="P562" s="13" t="s">
        <v>3386</v>
      </c>
      <c r="Q562" s="16"/>
      <c r="R562" s="16"/>
      <c r="S562" s="16"/>
      <c r="T562" s="16"/>
      <c r="U562" s="16"/>
      <c r="V562" s="13" t="s">
        <v>187</v>
      </c>
      <c r="W562" s="17"/>
      <c r="X562" s="13"/>
      <c r="Y562" s="13"/>
      <c r="Z562" s="13"/>
      <c r="AA562" s="13" t="s">
        <v>188</v>
      </c>
      <c r="AB562" s="13" t="s">
        <v>3387</v>
      </c>
      <c r="AC562" s="17"/>
      <c r="AD562" s="13"/>
      <c r="AE562" s="19" t="n">
        <v>0</v>
      </c>
      <c r="AF562" s="19" t="n">
        <v>0</v>
      </c>
      <c r="AG562" s="19" t="n">
        <v>0</v>
      </c>
      <c r="AH562" s="13" t="s">
        <v>506</v>
      </c>
      <c r="AI562" s="17"/>
      <c r="AJ562" s="13" t="s">
        <v>188</v>
      </c>
      <c r="AK562" s="13" t="s">
        <v>188</v>
      </c>
      <c r="AL562" s="14" t="s">
        <v>194</v>
      </c>
      <c r="AM562" s="13" t="s">
        <v>1147</v>
      </c>
      <c r="AN562" s="15"/>
      <c r="AO562" s="13"/>
      <c r="AP562" s="13" t="s">
        <v>196</v>
      </c>
      <c r="AQ562" s="16" t="n">
        <f aca="false">IFERROR(IF(AND(INDEX(Mob_Demob!$D$6:$D$14,MATCH(AM562,Mob_Demob!$A$6:$A$14,0))="",INDEX(Mob_Demob!$G$6:$G$14,MATCH(AM562,Mob_Demob!$A$6:$A$14,0))=""),"",ROUND(MAX(N(INDEX(Mob_Demob!$G$6:$G$14,MATCH(AM562,Mob_Demob!$A$6:$A$14,0))),N(INDEX(Mob_Demob!$D$6:$D$14,MATCH(AM562,Mob_Demob!$A$6:$A$14,0)))*Settings!$B$6)+IF(AP562="Y",N(INDEX(Mob_Demob!$I$6:$I$14,MATCH(AM562,Mob_Demob!$A$6:$A$14,0)))*Settings!$B$19,0)+N(INDEX(Mob_Demob!$L$6:$L$14,MATCH(AM562,Mob_Demob!$A$6:$A$14,0)))*N(INDEX(Mob_Demob!$K$6:$K$14,MATCH(AM562,Mob_Demob!$A$6:$A$14,0)))*Settings!$B$6+N(INDEX(Mob_Demob!$M$6:$M$14,MATCH(AM562,Mob_Demob!$A$6:$A$14,0)))*N(INDEX(Mob_Demob!$N$6:$N$14,MATCH(AM562,Mob_Demob!$A$6:$A$14,0))),0)),"")</f>
        <v>200</v>
      </c>
      <c r="AR562" s="16" t="n">
        <f aca="false">IF(AQ562="","",ROUND(AQ562*Settings!$B$18,0))</f>
        <v>200</v>
      </c>
      <c r="AS562" s="13"/>
      <c r="AT562" s="14" t="s">
        <v>3388</v>
      </c>
      <c r="AU562" s="14" t="s">
        <v>509</v>
      </c>
    </row>
    <row r="563" customFormat="false" ht="64.15" hidden="false" customHeight="false" outlineLevel="0" collapsed="false">
      <c r="A563" s="11" t="s">
        <v>3391</v>
      </c>
      <c r="B563" s="11" t="s">
        <v>3297</v>
      </c>
      <c r="C563" s="11" t="s">
        <v>3380</v>
      </c>
      <c r="D563" s="11" t="s">
        <v>3381</v>
      </c>
      <c r="E563" s="12" t="s">
        <v>3392</v>
      </c>
      <c r="F563" s="13" t="s">
        <v>3383</v>
      </c>
      <c r="G563" s="13" t="n">
        <v>6</v>
      </c>
      <c r="H563" s="13" t="s">
        <v>1196</v>
      </c>
      <c r="I563" s="14" t="s">
        <v>3384</v>
      </c>
      <c r="J563" s="15"/>
      <c r="K563" s="13"/>
      <c r="L563" s="13" t="s">
        <v>3385</v>
      </c>
      <c r="M563" s="13"/>
      <c r="N563" s="13" t="s">
        <v>1154</v>
      </c>
      <c r="O563" s="13" t="s">
        <v>504</v>
      </c>
      <c r="P563" s="13" t="s">
        <v>3386</v>
      </c>
      <c r="Q563" s="16"/>
      <c r="R563" s="16"/>
      <c r="S563" s="16"/>
      <c r="T563" s="16"/>
      <c r="U563" s="16"/>
      <c r="V563" s="13" t="s">
        <v>187</v>
      </c>
      <c r="W563" s="17"/>
      <c r="X563" s="13"/>
      <c r="Y563" s="13"/>
      <c r="Z563" s="13"/>
      <c r="AA563" s="13" t="s">
        <v>188</v>
      </c>
      <c r="AB563" s="13" t="s">
        <v>3387</v>
      </c>
      <c r="AC563" s="17"/>
      <c r="AD563" s="13"/>
      <c r="AE563" s="19" t="n">
        <v>0</v>
      </c>
      <c r="AF563" s="19" t="n">
        <v>0</v>
      </c>
      <c r="AG563" s="19" t="n">
        <v>0</v>
      </c>
      <c r="AH563" s="13" t="s">
        <v>506</v>
      </c>
      <c r="AI563" s="17"/>
      <c r="AJ563" s="13" t="s">
        <v>188</v>
      </c>
      <c r="AK563" s="13" t="s">
        <v>188</v>
      </c>
      <c r="AL563" s="14" t="s">
        <v>194</v>
      </c>
      <c r="AM563" s="13" t="s">
        <v>1147</v>
      </c>
      <c r="AN563" s="15"/>
      <c r="AO563" s="13"/>
      <c r="AP563" s="13" t="s">
        <v>196</v>
      </c>
      <c r="AQ563" s="16" t="n">
        <f aca="false">IFERROR(IF(AND(INDEX(Mob_Demob!$D$6:$D$14,MATCH(AM563,Mob_Demob!$A$6:$A$14,0))="",INDEX(Mob_Demob!$G$6:$G$14,MATCH(AM563,Mob_Demob!$A$6:$A$14,0))=""),"",ROUND(MAX(N(INDEX(Mob_Demob!$G$6:$G$14,MATCH(AM563,Mob_Demob!$A$6:$A$14,0))),N(INDEX(Mob_Demob!$D$6:$D$14,MATCH(AM563,Mob_Demob!$A$6:$A$14,0)))*Settings!$B$6)+IF(AP563="Y",N(INDEX(Mob_Demob!$I$6:$I$14,MATCH(AM563,Mob_Demob!$A$6:$A$14,0)))*Settings!$B$19,0)+N(INDEX(Mob_Demob!$L$6:$L$14,MATCH(AM563,Mob_Demob!$A$6:$A$14,0)))*N(INDEX(Mob_Demob!$K$6:$K$14,MATCH(AM563,Mob_Demob!$A$6:$A$14,0)))*Settings!$B$6+N(INDEX(Mob_Demob!$M$6:$M$14,MATCH(AM563,Mob_Demob!$A$6:$A$14,0)))*N(INDEX(Mob_Demob!$N$6:$N$14,MATCH(AM563,Mob_Demob!$A$6:$A$14,0))),0)),"")</f>
        <v>200</v>
      </c>
      <c r="AR563" s="16" t="n">
        <f aca="false">IF(AQ563="","",ROUND(AQ563*Settings!$B$18,0))</f>
        <v>200</v>
      </c>
      <c r="AS563" s="13"/>
      <c r="AT563" s="14" t="s">
        <v>3388</v>
      </c>
      <c r="AU563" s="14" t="s">
        <v>509</v>
      </c>
    </row>
    <row r="564" customFormat="false" ht="64.15" hidden="false" customHeight="false" outlineLevel="0" collapsed="false">
      <c r="A564" s="11" t="s">
        <v>3393</v>
      </c>
      <c r="B564" s="11" t="s">
        <v>3297</v>
      </c>
      <c r="C564" s="11" t="s">
        <v>3380</v>
      </c>
      <c r="D564" s="11" t="s">
        <v>3381</v>
      </c>
      <c r="E564" s="12" t="s">
        <v>3394</v>
      </c>
      <c r="F564" s="13" t="s">
        <v>3383</v>
      </c>
      <c r="G564" s="13" t="n">
        <v>8</v>
      </c>
      <c r="H564" s="13" t="s">
        <v>1196</v>
      </c>
      <c r="I564" s="14" t="s">
        <v>3384</v>
      </c>
      <c r="J564" s="15"/>
      <c r="K564" s="13"/>
      <c r="L564" s="13" t="s">
        <v>3385</v>
      </c>
      <c r="M564" s="13"/>
      <c r="N564" s="13" t="s">
        <v>1154</v>
      </c>
      <c r="O564" s="13" t="s">
        <v>504</v>
      </c>
      <c r="P564" s="13" t="s">
        <v>3386</v>
      </c>
      <c r="Q564" s="16"/>
      <c r="R564" s="16"/>
      <c r="S564" s="16"/>
      <c r="T564" s="16"/>
      <c r="U564" s="16"/>
      <c r="V564" s="13" t="s">
        <v>187</v>
      </c>
      <c r="W564" s="17"/>
      <c r="X564" s="13"/>
      <c r="Y564" s="13"/>
      <c r="Z564" s="13"/>
      <c r="AA564" s="13" t="s">
        <v>188</v>
      </c>
      <c r="AB564" s="13" t="s">
        <v>3387</v>
      </c>
      <c r="AC564" s="17"/>
      <c r="AD564" s="13"/>
      <c r="AE564" s="19" t="n">
        <v>0</v>
      </c>
      <c r="AF564" s="19" t="n">
        <v>0</v>
      </c>
      <c r="AG564" s="19" t="n">
        <v>0</v>
      </c>
      <c r="AH564" s="13" t="s">
        <v>506</v>
      </c>
      <c r="AI564" s="17"/>
      <c r="AJ564" s="13" t="s">
        <v>188</v>
      </c>
      <c r="AK564" s="13" t="s">
        <v>188</v>
      </c>
      <c r="AL564" s="14" t="s">
        <v>194</v>
      </c>
      <c r="AM564" s="13" t="s">
        <v>1147</v>
      </c>
      <c r="AN564" s="15"/>
      <c r="AO564" s="13"/>
      <c r="AP564" s="13" t="s">
        <v>196</v>
      </c>
      <c r="AQ564" s="16" t="n">
        <f aca="false">IFERROR(IF(AND(INDEX(Mob_Demob!$D$6:$D$14,MATCH(AM564,Mob_Demob!$A$6:$A$14,0))="",INDEX(Mob_Demob!$G$6:$G$14,MATCH(AM564,Mob_Demob!$A$6:$A$14,0))=""),"",ROUND(MAX(N(INDEX(Mob_Demob!$G$6:$G$14,MATCH(AM564,Mob_Demob!$A$6:$A$14,0))),N(INDEX(Mob_Demob!$D$6:$D$14,MATCH(AM564,Mob_Demob!$A$6:$A$14,0)))*Settings!$B$6)+IF(AP564="Y",N(INDEX(Mob_Demob!$I$6:$I$14,MATCH(AM564,Mob_Demob!$A$6:$A$14,0)))*Settings!$B$19,0)+N(INDEX(Mob_Demob!$L$6:$L$14,MATCH(AM564,Mob_Demob!$A$6:$A$14,0)))*N(INDEX(Mob_Demob!$K$6:$K$14,MATCH(AM564,Mob_Demob!$A$6:$A$14,0)))*Settings!$B$6+N(INDEX(Mob_Demob!$M$6:$M$14,MATCH(AM564,Mob_Demob!$A$6:$A$14,0)))*N(INDEX(Mob_Demob!$N$6:$N$14,MATCH(AM564,Mob_Demob!$A$6:$A$14,0))),0)),"")</f>
        <v>200</v>
      </c>
      <c r="AR564" s="16" t="n">
        <f aca="false">IF(AQ564="","",ROUND(AQ564*Settings!$B$18,0))</f>
        <v>200</v>
      </c>
      <c r="AS564" s="13"/>
      <c r="AT564" s="14" t="s">
        <v>3388</v>
      </c>
      <c r="AU564" s="14" t="s">
        <v>509</v>
      </c>
    </row>
    <row r="565" customFormat="false" ht="64.15" hidden="false" customHeight="false" outlineLevel="0" collapsed="false">
      <c r="A565" s="11" t="s">
        <v>3395</v>
      </c>
      <c r="B565" s="11" t="s">
        <v>3297</v>
      </c>
      <c r="C565" s="11" t="s">
        <v>3380</v>
      </c>
      <c r="D565" s="11" t="s">
        <v>3381</v>
      </c>
      <c r="E565" s="12" t="s">
        <v>3396</v>
      </c>
      <c r="F565" s="13" t="s">
        <v>3383</v>
      </c>
      <c r="G565" s="13" t="n">
        <v>12</v>
      </c>
      <c r="H565" s="13" t="s">
        <v>1196</v>
      </c>
      <c r="I565" s="14" t="s">
        <v>3384</v>
      </c>
      <c r="J565" s="15"/>
      <c r="K565" s="13"/>
      <c r="L565" s="13" t="s">
        <v>3385</v>
      </c>
      <c r="M565" s="13"/>
      <c r="N565" s="13" t="s">
        <v>1154</v>
      </c>
      <c r="O565" s="13" t="s">
        <v>504</v>
      </c>
      <c r="P565" s="13" t="s">
        <v>3386</v>
      </c>
      <c r="Q565" s="16"/>
      <c r="R565" s="16"/>
      <c r="S565" s="16"/>
      <c r="T565" s="16"/>
      <c r="U565" s="16"/>
      <c r="V565" s="13" t="s">
        <v>187</v>
      </c>
      <c r="W565" s="17"/>
      <c r="X565" s="13"/>
      <c r="Y565" s="13"/>
      <c r="Z565" s="13"/>
      <c r="AA565" s="13" t="s">
        <v>188</v>
      </c>
      <c r="AB565" s="13" t="s">
        <v>3387</v>
      </c>
      <c r="AC565" s="17"/>
      <c r="AD565" s="13"/>
      <c r="AE565" s="19" t="n">
        <v>0</v>
      </c>
      <c r="AF565" s="19" t="n">
        <v>0</v>
      </c>
      <c r="AG565" s="19" t="n">
        <v>0</v>
      </c>
      <c r="AH565" s="13" t="s">
        <v>506</v>
      </c>
      <c r="AI565" s="17"/>
      <c r="AJ565" s="13" t="s">
        <v>188</v>
      </c>
      <c r="AK565" s="13" t="s">
        <v>188</v>
      </c>
      <c r="AL565" s="14" t="s">
        <v>194</v>
      </c>
      <c r="AM565" s="13" t="s">
        <v>1147</v>
      </c>
      <c r="AN565" s="15"/>
      <c r="AO565" s="13"/>
      <c r="AP565" s="13" t="s">
        <v>196</v>
      </c>
      <c r="AQ565" s="16" t="n">
        <f aca="false">IFERROR(IF(AND(INDEX(Mob_Demob!$D$6:$D$14,MATCH(AM565,Mob_Demob!$A$6:$A$14,0))="",INDEX(Mob_Demob!$G$6:$G$14,MATCH(AM565,Mob_Demob!$A$6:$A$14,0))=""),"",ROUND(MAX(N(INDEX(Mob_Demob!$G$6:$G$14,MATCH(AM565,Mob_Demob!$A$6:$A$14,0))),N(INDEX(Mob_Demob!$D$6:$D$14,MATCH(AM565,Mob_Demob!$A$6:$A$14,0)))*Settings!$B$6)+IF(AP565="Y",N(INDEX(Mob_Demob!$I$6:$I$14,MATCH(AM565,Mob_Demob!$A$6:$A$14,0)))*Settings!$B$19,0)+N(INDEX(Mob_Demob!$L$6:$L$14,MATCH(AM565,Mob_Demob!$A$6:$A$14,0)))*N(INDEX(Mob_Demob!$K$6:$K$14,MATCH(AM565,Mob_Demob!$A$6:$A$14,0)))*Settings!$B$6+N(INDEX(Mob_Demob!$M$6:$M$14,MATCH(AM565,Mob_Demob!$A$6:$A$14,0)))*N(INDEX(Mob_Demob!$N$6:$N$14,MATCH(AM565,Mob_Demob!$A$6:$A$14,0))),0)),"")</f>
        <v>200</v>
      </c>
      <c r="AR565" s="16" t="n">
        <f aca="false">IF(AQ565="","",ROUND(AQ565*Settings!$B$18,0))</f>
        <v>200</v>
      </c>
      <c r="AS565" s="13"/>
      <c r="AT565" s="14" t="s">
        <v>3388</v>
      </c>
      <c r="AU565" s="14" t="s">
        <v>509</v>
      </c>
    </row>
    <row r="566" customFormat="false" ht="64.15" hidden="false" customHeight="false" outlineLevel="0" collapsed="false">
      <c r="A566" s="11" t="s">
        <v>3397</v>
      </c>
      <c r="B566" s="11" t="s">
        <v>3297</v>
      </c>
      <c r="C566" s="11" t="s">
        <v>3380</v>
      </c>
      <c r="D566" s="11" t="s">
        <v>3381</v>
      </c>
      <c r="E566" s="12" t="s">
        <v>3398</v>
      </c>
      <c r="F566" s="13" t="s">
        <v>3383</v>
      </c>
      <c r="G566" s="13" t="n">
        <v>16</v>
      </c>
      <c r="H566" s="13" t="s">
        <v>1196</v>
      </c>
      <c r="I566" s="14" t="s">
        <v>3384</v>
      </c>
      <c r="J566" s="15"/>
      <c r="K566" s="13"/>
      <c r="L566" s="13" t="s">
        <v>3385</v>
      </c>
      <c r="M566" s="13"/>
      <c r="N566" s="13" t="s">
        <v>1154</v>
      </c>
      <c r="O566" s="13" t="s">
        <v>504</v>
      </c>
      <c r="P566" s="13" t="s">
        <v>3386</v>
      </c>
      <c r="Q566" s="16"/>
      <c r="R566" s="16"/>
      <c r="S566" s="16"/>
      <c r="T566" s="16"/>
      <c r="U566" s="16"/>
      <c r="V566" s="13" t="s">
        <v>187</v>
      </c>
      <c r="W566" s="17"/>
      <c r="X566" s="13"/>
      <c r="Y566" s="13"/>
      <c r="Z566" s="13"/>
      <c r="AA566" s="13" t="s">
        <v>188</v>
      </c>
      <c r="AB566" s="13" t="s">
        <v>3387</v>
      </c>
      <c r="AC566" s="17"/>
      <c r="AD566" s="13"/>
      <c r="AE566" s="19" t="n">
        <v>0</v>
      </c>
      <c r="AF566" s="19" t="n">
        <v>0</v>
      </c>
      <c r="AG566" s="19" t="n">
        <v>0</v>
      </c>
      <c r="AH566" s="13" t="s">
        <v>506</v>
      </c>
      <c r="AI566" s="17"/>
      <c r="AJ566" s="13" t="s">
        <v>188</v>
      </c>
      <c r="AK566" s="13" t="s">
        <v>188</v>
      </c>
      <c r="AL566" s="14" t="s">
        <v>194</v>
      </c>
      <c r="AM566" s="13" t="s">
        <v>1147</v>
      </c>
      <c r="AN566" s="15"/>
      <c r="AO566" s="13"/>
      <c r="AP566" s="13" t="s">
        <v>196</v>
      </c>
      <c r="AQ566" s="16" t="n">
        <f aca="false">IFERROR(IF(AND(INDEX(Mob_Demob!$D$6:$D$14,MATCH(AM566,Mob_Demob!$A$6:$A$14,0))="",INDEX(Mob_Demob!$G$6:$G$14,MATCH(AM566,Mob_Demob!$A$6:$A$14,0))=""),"",ROUND(MAX(N(INDEX(Mob_Demob!$G$6:$G$14,MATCH(AM566,Mob_Demob!$A$6:$A$14,0))),N(INDEX(Mob_Demob!$D$6:$D$14,MATCH(AM566,Mob_Demob!$A$6:$A$14,0)))*Settings!$B$6)+IF(AP566="Y",N(INDEX(Mob_Demob!$I$6:$I$14,MATCH(AM566,Mob_Demob!$A$6:$A$14,0)))*Settings!$B$19,0)+N(INDEX(Mob_Demob!$L$6:$L$14,MATCH(AM566,Mob_Demob!$A$6:$A$14,0)))*N(INDEX(Mob_Demob!$K$6:$K$14,MATCH(AM566,Mob_Demob!$A$6:$A$14,0)))*Settings!$B$6+N(INDEX(Mob_Demob!$M$6:$M$14,MATCH(AM566,Mob_Demob!$A$6:$A$14,0)))*N(INDEX(Mob_Demob!$N$6:$N$14,MATCH(AM566,Mob_Demob!$A$6:$A$14,0))),0)),"")</f>
        <v>200</v>
      </c>
      <c r="AR566" s="16" t="n">
        <f aca="false">IF(AQ566="","",ROUND(AQ566*Settings!$B$18,0))</f>
        <v>200</v>
      </c>
      <c r="AS566" s="13"/>
      <c r="AT566" s="14" t="s">
        <v>3388</v>
      </c>
      <c r="AU566" s="14" t="s">
        <v>509</v>
      </c>
    </row>
    <row r="567" customFormat="false" ht="64.15" hidden="false" customHeight="false" outlineLevel="0" collapsed="false">
      <c r="A567" s="21" t="s">
        <v>3399</v>
      </c>
      <c r="B567" s="21" t="s">
        <v>3400</v>
      </c>
      <c r="C567" s="21" t="s">
        <v>3401</v>
      </c>
      <c r="D567" s="21" t="s">
        <v>3402</v>
      </c>
      <c r="E567" s="22" t="s">
        <v>3403</v>
      </c>
      <c r="F567" s="13" t="s">
        <v>3404</v>
      </c>
      <c r="G567" s="13" t="s">
        <v>3405</v>
      </c>
      <c r="H567" s="13" t="s">
        <v>926</v>
      </c>
      <c r="I567" s="14"/>
      <c r="J567" s="15"/>
      <c r="K567" s="13"/>
      <c r="L567" s="13"/>
      <c r="M567" s="13"/>
      <c r="N567" s="13" t="s">
        <v>1163</v>
      </c>
      <c r="O567" s="13" t="s">
        <v>1023</v>
      </c>
      <c r="P567" s="13" t="s">
        <v>3406</v>
      </c>
      <c r="Q567" s="16"/>
      <c r="R567" s="16"/>
      <c r="S567" s="16"/>
      <c r="T567" s="16"/>
      <c r="U567" s="16"/>
      <c r="V567" s="13" t="s">
        <v>187</v>
      </c>
      <c r="W567" s="17"/>
      <c r="X567" s="13"/>
      <c r="Y567" s="13"/>
      <c r="Z567" s="13"/>
      <c r="AA567" s="13" t="s">
        <v>188</v>
      </c>
      <c r="AB567" s="13" t="s">
        <v>3407</v>
      </c>
      <c r="AC567" s="18" t="n">
        <v>17.79</v>
      </c>
      <c r="AD567" s="13" t="s">
        <v>190</v>
      </c>
      <c r="AE567" s="19"/>
      <c r="AF567" s="19"/>
      <c r="AG567" s="19"/>
      <c r="AH567" s="13"/>
      <c r="AI567" s="17" t="str">
        <f aca="false">IF(OR(AC567="",AF567="",Settings!$B$10=""),"",ROUND(AC567-AF567*Settings!$B$10,2))</f>
        <v/>
      </c>
      <c r="AJ567" s="13" t="s">
        <v>192</v>
      </c>
      <c r="AK567" s="13" t="s">
        <v>193</v>
      </c>
      <c r="AL567" s="14" t="s">
        <v>194</v>
      </c>
      <c r="AM567" s="13" t="s">
        <v>484</v>
      </c>
      <c r="AN567" s="15"/>
      <c r="AO567" s="13"/>
      <c r="AP567" s="13" t="s">
        <v>196</v>
      </c>
      <c r="AQ567" s="16" t="str">
        <f aca="false">IFERROR(IF(AND(INDEX(Mob_Demob!$D$6:$D$14,MATCH(AM567,Mob_Demob!$A$6:$A$14,0))="",INDEX(Mob_Demob!$G$6:$G$14,MATCH(AM567,Mob_Demob!$A$6:$A$14,0))=""),"",ROUND(MAX(N(INDEX(Mob_Demob!$G$6:$G$14,MATCH(AM567,Mob_Demob!$A$6:$A$14,0))),N(INDEX(Mob_Demob!$D$6:$D$14,MATCH(AM567,Mob_Demob!$A$6:$A$14,0)))*Settings!$B$6)+IF(AP567="Y",N(INDEX(Mob_Demob!$I$6:$I$14,MATCH(AM567,Mob_Demob!$A$6:$A$14,0)))*Settings!$B$19,0)+N(INDEX(Mob_Demob!$L$6:$L$14,MATCH(AM567,Mob_Demob!$A$6:$A$14,0)))*N(INDEX(Mob_Demob!$K$6:$K$14,MATCH(AM567,Mob_Demob!$A$6:$A$14,0)))*Settings!$B$6+N(INDEX(Mob_Demob!$M$6:$M$14,MATCH(AM567,Mob_Demob!$A$6:$A$14,0)))*N(INDEX(Mob_Demob!$N$6:$N$14,MATCH(AM567,Mob_Demob!$A$6:$A$14,0))),0)),"")</f>
        <v/>
      </c>
      <c r="AR567" s="16" t="str">
        <f aca="false">IF(AQ567="","",ROUND(AQ567*Settings!$B$18,0))</f>
        <v/>
      </c>
      <c r="AS567" s="13"/>
      <c r="AT567" s="14" t="s">
        <v>3408</v>
      </c>
      <c r="AU567" s="14" t="s">
        <v>3409</v>
      </c>
    </row>
    <row r="568" customFormat="false" ht="64.15" hidden="false" customHeight="false" outlineLevel="0" collapsed="false">
      <c r="A568" s="21" t="s">
        <v>3410</v>
      </c>
      <c r="B568" s="21" t="s">
        <v>3400</v>
      </c>
      <c r="C568" s="21" t="s">
        <v>3401</v>
      </c>
      <c r="D568" s="21" t="s">
        <v>3402</v>
      </c>
      <c r="E568" s="22" t="s">
        <v>3411</v>
      </c>
      <c r="F568" s="13" t="s">
        <v>3404</v>
      </c>
      <c r="G568" s="13" t="s">
        <v>3412</v>
      </c>
      <c r="H568" s="13" t="s">
        <v>926</v>
      </c>
      <c r="I568" s="14"/>
      <c r="J568" s="15"/>
      <c r="K568" s="13"/>
      <c r="L568" s="13"/>
      <c r="M568" s="13"/>
      <c r="N568" s="13" t="s">
        <v>1163</v>
      </c>
      <c r="O568" s="13" t="s">
        <v>1023</v>
      </c>
      <c r="P568" s="13" t="s">
        <v>3406</v>
      </c>
      <c r="Q568" s="16"/>
      <c r="R568" s="16"/>
      <c r="S568" s="16"/>
      <c r="T568" s="16"/>
      <c r="U568" s="16"/>
      <c r="V568" s="13" t="s">
        <v>187</v>
      </c>
      <c r="W568" s="17"/>
      <c r="X568" s="13"/>
      <c r="Y568" s="13"/>
      <c r="Z568" s="13"/>
      <c r="AA568" s="13" t="s">
        <v>188</v>
      </c>
      <c r="AB568" s="13" t="s">
        <v>3413</v>
      </c>
      <c r="AC568" s="18" t="n">
        <v>15.74</v>
      </c>
      <c r="AD568" s="13" t="s">
        <v>190</v>
      </c>
      <c r="AE568" s="19"/>
      <c r="AF568" s="19"/>
      <c r="AG568" s="19"/>
      <c r="AH568" s="13"/>
      <c r="AI568" s="17" t="str">
        <f aca="false">IF(OR(AC568="",AF568="",Settings!$B$10=""),"",ROUND(AC568-AF568*Settings!$B$10,2))</f>
        <v/>
      </c>
      <c r="AJ568" s="13" t="s">
        <v>192</v>
      </c>
      <c r="AK568" s="13" t="s">
        <v>193</v>
      </c>
      <c r="AL568" s="14" t="s">
        <v>194</v>
      </c>
      <c r="AM568" s="13" t="s">
        <v>484</v>
      </c>
      <c r="AN568" s="15"/>
      <c r="AO568" s="13"/>
      <c r="AP568" s="13" t="s">
        <v>196</v>
      </c>
      <c r="AQ568" s="16" t="str">
        <f aca="false">IFERROR(IF(AND(INDEX(Mob_Demob!$D$6:$D$14,MATCH(AM568,Mob_Demob!$A$6:$A$14,0))="",INDEX(Mob_Demob!$G$6:$G$14,MATCH(AM568,Mob_Demob!$A$6:$A$14,0))=""),"",ROUND(MAX(N(INDEX(Mob_Demob!$G$6:$G$14,MATCH(AM568,Mob_Demob!$A$6:$A$14,0))),N(INDEX(Mob_Demob!$D$6:$D$14,MATCH(AM568,Mob_Demob!$A$6:$A$14,0)))*Settings!$B$6)+IF(AP568="Y",N(INDEX(Mob_Demob!$I$6:$I$14,MATCH(AM568,Mob_Demob!$A$6:$A$14,0)))*Settings!$B$19,0)+N(INDEX(Mob_Demob!$L$6:$L$14,MATCH(AM568,Mob_Demob!$A$6:$A$14,0)))*N(INDEX(Mob_Demob!$K$6:$K$14,MATCH(AM568,Mob_Demob!$A$6:$A$14,0)))*Settings!$B$6+N(INDEX(Mob_Demob!$M$6:$M$14,MATCH(AM568,Mob_Demob!$A$6:$A$14,0)))*N(INDEX(Mob_Demob!$N$6:$N$14,MATCH(AM568,Mob_Demob!$A$6:$A$14,0))),0)),"")</f>
        <v/>
      </c>
      <c r="AR568" s="16" t="str">
        <f aca="false">IF(AQ568="","",ROUND(AQ568*Settings!$B$18,0))</f>
        <v/>
      </c>
      <c r="AS568" s="13"/>
      <c r="AT568" s="14" t="s">
        <v>3408</v>
      </c>
      <c r="AU568" s="14" t="s">
        <v>3409</v>
      </c>
    </row>
    <row r="569" customFormat="false" ht="64.15" hidden="false" customHeight="false" outlineLevel="0" collapsed="false">
      <c r="A569" s="21" t="s">
        <v>3414</v>
      </c>
      <c r="B569" s="21" t="s">
        <v>3400</v>
      </c>
      <c r="C569" s="21" t="s">
        <v>3401</v>
      </c>
      <c r="D569" s="21" t="s">
        <v>3402</v>
      </c>
      <c r="E569" s="22" t="s">
        <v>3415</v>
      </c>
      <c r="F569" s="13" t="s">
        <v>3404</v>
      </c>
      <c r="G569" s="13" t="s">
        <v>3416</v>
      </c>
      <c r="H569" s="13" t="s">
        <v>926</v>
      </c>
      <c r="I569" s="14"/>
      <c r="J569" s="15"/>
      <c r="K569" s="13"/>
      <c r="L569" s="13"/>
      <c r="M569" s="13"/>
      <c r="N569" s="13" t="s">
        <v>1163</v>
      </c>
      <c r="O569" s="13" t="s">
        <v>1023</v>
      </c>
      <c r="P569" s="13" t="s">
        <v>3406</v>
      </c>
      <c r="Q569" s="16"/>
      <c r="R569" s="16"/>
      <c r="S569" s="16"/>
      <c r="T569" s="16"/>
      <c r="U569" s="16"/>
      <c r="V569" s="13" t="s">
        <v>187</v>
      </c>
      <c r="W569" s="17"/>
      <c r="X569" s="13"/>
      <c r="Y569" s="13"/>
      <c r="Z569" s="13"/>
      <c r="AA569" s="13" t="s">
        <v>188</v>
      </c>
      <c r="AB569" s="13" t="s">
        <v>3417</v>
      </c>
      <c r="AC569" s="18" t="n">
        <v>19.77</v>
      </c>
      <c r="AD569" s="13" t="s">
        <v>190</v>
      </c>
      <c r="AE569" s="19"/>
      <c r="AF569" s="19"/>
      <c r="AG569" s="19"/>
      <c r="AH569" s="13"/>
      <c r="AI569" s="17" t="str">
        <f aca="false">IF(OR(AC569="",AF569="",Settings!$B$10=""),"",ROUND(AC569-AF569*Settings!$B$10,2))</f>
        <v/>
      </c>
      <c r="AJ569" s="13" t="s">
        <v>192</v>
      </c>
      <c r="AK569" s="13" t="s">
        <v>193</v>
      </c>
      <c r="AL569" s="14" t="s">
        <v>194</v>
      </c>
      <c r="AM569" s="13" t="s">
        <v>484</v>
      </c>
      <c r="AN569" s="15"/>
      <c r="AO569" s="13"/>
      <c r="AP569" s="13" t="s">
        <v>196</v>
      </c>
      <c r="AQ569" s="16" t="str">
        <f aca="false">IFERROR(IF(AND(INDEX(Mob_Demob!$D$6:$D$14,MATCH(AM569,Mob_Demob!$A$6:$A$14,0))="",INDEX(Mob_Demob!$G$6:$G$14,MATCH(AM569,Mob_Demob!$A$6:$A$14,0))=""),"",ROUND(MAX(N(INDEX(Mob_Demob!$G$6:$G$14,MATCH(AM569,Mob_Demob!$A$6:$A$14,0))),N(INDEX(Mob_Demob!$D$6:$D$14,MATCH(AM569,Mob_Demob!$A$6:$A$14,0)))*Settings!$B$6)+IF(AP569="Y",N(INDEX(Mob_Demob!$I$6:$I$14,MATCH(AM569,Mob_Demob!$A$6:$A$14,0)))*Settings!$B$19,0)+N(INDEX(Mob_Demob!$L$6:$L$14,MATCH(AM569,Mob_Demob!$A$6:$A$14,0)))*N(INDEX(Mob_Demob!$K$6:$K$14,MATCH(AM569,Mob_Demob!$A$6:$A$14,0)))*Settings!$B$6+N(INDEX(Mob_Demob!$M$6:$M$14,MATCH(AM569,Mob_Demob!$A$6:$A$14,0)))*N(INDEX(Mob_Demob!$N$6:$N$14,MATCH(AM569,Mob_Demob!$A$6:$A$14,0))),0)),"")</f>
        <v/>
      </c>
      <c r="AR569" s="16" t="str">
        <f aca="false">IF(AQ569="","",ROUND(AQ569*Settings!$B$18,0))</f>
        <v/>
      </c>
      <c r="AS569" s="13"/>
      <c r="AT569" s="14" t="s">
        <v>3408</v>
      </c>
      <c r="AU569" s="14" t="s">
        <v>3409</v>
      </c>
    </row>
    <row r="570" customFormat="false" ht="64.15" hidden="false" customHeight="false" outlineLevel="0" collapsed="false">
      <c r="A570" s="21" t="s">
        <v>3418</v>
      </c>
      <c r="B570" s="21" t="s">
        <v>3400</v>
      </c>
      <c r="C570" s="21" t="s">
        <v>3401</v>
      </c>
      <c r="D570" s="21" t="s">
        <v>3402</v>
      </c>
      <c r="E570" s="22" t="s">
        <v>3419</v>
      </c>
      <c r="F570" s="13" t="s">
        <v>3404</v>
      </c>
      <c r="G570" s="13" t="s">
        <v>3420</v>
      </c>
      <c r="H570" s="13" t="s">
        <v>926</v>
      </c>
      <c r="I570" s="14"/>
      <c r="J570" s="15"/>
      <c r="K570" s="13"/>
      <c r="L570" s="13"/>
      <c r="M570" s="13"/>
      <c r="N570" s="13" t="s">
        <v>1163</v>
      </c>
      <c r="O570" s="13" t="s">
        <v>1023</v>
      </c>
      <c r="P570" s="13" t="s">
        <v>3406</v>
      </c>
      <c r="Q570" s="16"/>
      <c r="R570" s="16"/>
      <c r="S570" s="16"/>
      <c r="T570" s="16"/>
      <c r="U570" s="16"/>
      <c r="V570" s="13" t="s">
        <v>187</v>
      </c>
      <c r="W570" s="17"/>
      <c r="X570" s="13"/>
      <c r="Y570" s="13"/>
      <c r="Z570" s="13"/>
      <c r="AA570" s="13" t="s">
        <v>188</v>
      </c>
      <c r="AB570" s="13" t="s">
        <v>3421</v>
      </c>
      <c r="AC570" s="18" t="n">
        <v>31.37</v>
      </c>
      <c r="AD570" s="13" t="s">
        <v>190</v>
      </c>
      <c r="AE570" s="19"/>
      <c r="AF570" s="19"/>
      <c r="AG570" s="19"/>
      <c r="AH570" s="13"/>
      <c r="AI570" s="17" t="str">
        <f aca="false">IF(OR(AC570="",AF570="",Settings!$B$10=""),"",ROUND(AC570-AF570*Settings!$B$10,2))</f>
        <v/>
      </c>
      <c r="AJ570" s="13" t="s">
        <v>192</v>
      </c>
      <c r="AK570" s="13" t="s">
        <v>193</v>
      </c>
      <c r="AL570" s="14" t="s">
        <v>194</v>
      </c>
      <c r="AM570" s="13" t="s">
        <v>484</v>
      </c>
      <c r="AN570" s="15"/>
      <c r="AO570" s="13"/>
      <c r="AP570" s="13" t="s">
        <v>196</v>
      </c>
      <c r="AQ570" s="16" t="str">
        <f aca="false">IFERROR(IF(AND(INDEX(Mob_Demob!$D$6:$D$14,MATCH(AM570,Mob_Demob!$A$6:$A$14,0))="",INDEX(Mob_Demob!$G$6:$G$14,MATCH(AM570,Mob_Demob!$A$6:$A$14,0))=""),"",ROUND(MAX(N(INDEX(Mob_Demob!$G$6:$G$14,MATCH(AM570,Mob_Demob!$A$6:$A$14,0))),N(INDEX(Mob_Demob!$D$6:$D$14,MATCH(AM570,Mob_Demob!$A$6:$A$14,0)))*Settings!$B$6)+IF(AP570="Y",N(INDEX(Mob_Demob!$I$6:$I$14,MATCH(AM570,Mob_Demob!$A$6:$A$14,0)))*Settings!$B$19,0)+N(INDEX(Mob_Demob!$L$6:$L$14,MATCH(AM570,Mob_Demob!$A$6:$A$14,0)))*N(INDEX(Mob_Demob!$K$6:$K$14,MATCH(AM570,Mob_Demob!$A$6:$A$14,0)))*Settings!$B$6+N(INDEX(Mob_Demob!$M$6:$M$14,MATCH(AM570,Mob_Demob!$A$6:$A$14,0)))*N(INDEX(Mob_Demob!$N$6:$N$14,MATCH(AM570,Mob_Demob!$A$6:$A$14,0))),0)),"")</f>
        <v/>
      </c>
      <c r="AR570" s="16" t="str">
        <f aca="false">IF(AQ570="","",ROUND(AQ570*Settings!$B$18,0))</f>
        <v/>
      </c>
      <c r="AS570" s="13"/>
      <c r="AT570" s="14" t="s">
        <v>3408</v>
      </c>
      <c r="AU570" s="14" t="s">
        <v>3409</v>
      </c>
    </row>
    <row r="571" customFormat="false" ht="64.15" hidden="false" customHeight="false" outlineLevel="0" collapsed="false">
      <c r="A571" s="21" t="s">
        <v>3422</v>
      </c>
      <c r="B571" s="21" t="s">
        <v>3400</v>
      </c>
      <c r="C571" s="21" t="s">
        <v>3401</v>
      </c>
      <c r="D571" s="21" t="s">
        <v>3402</v>
      </c>
      <c r="E571" s="22" t="s">
        <v>3423</v>
      </c>
      <c r="F571" s="13" t="s">
        <v>3404</v>
      </c>
      <c r="G571" s="13" t="s">
        <v>3424</v>
      </c>
      <c r="H571" s="13" t="s">
        <v>926</v>
      </c>
      <c r="I571" s="14"/>
      <c r="J571" s="15"/>
      <c r="K571" s="13"/>
      <c r="L571" s="13"/>
      <c r="M571" s="13"/>
      <c r="N571" s="13" t="s">
        <v>1163</v>
      </c>
      <c r="O571" s="13" t="s">
        <v>1023</v>
      </c>
      <c r="P571" s="13" t="s">
        <v>3406</v>
      </c>
      <c r="Q571" s="16"/>
      <c r="R571" s="16"/>
      <c r="S571" s="16"/>
      <c r="T571" s="16"/>
      <c r="U571" s="16"/>
      <c r="V571" s="13" t="s">
        <v>187</v>
      </c>
      <c r="W571" s="17"/>
      <c r="X571" s="13"/>
      <c r="Y571" s="13"/>
      <c r="Z571" s="13"/>
      <c r="AA571" s="13" t="s">
        <v>188</v>
      </c>
      <c r="AB571" s="13" t="s">
        <v>3425</v>
      </c>
      <c r="AC571" s="18" t="n">
        <v>41.23</v>
      </c>
      <c r="AD571" s="13" t="s">
        <v>190</v>
      </c>
      <c r="AE571" s="19"/>
      <c r="AF571" s="19"/>
      <c r="AG571" s="19"/>
      <c r="AH571" s="13"/>
      <c r="AI571" s="17" t="str">
        <f aca="false">IF(OR(AC571="",AF571="",Settings!$B$10=""),"",ROUND(AC571-AF571*Settings!$B$10,2))</f>
        <v/>
      </c>
      <c r="AJ571" s="13" t="s">
        <v>192</v>
      </c>
      <c r="AK571" s="13" t="s">
        <v>193</v>
      </c>
      <c r="AL571" s="14" t="s">
        <v>194</v>
      </c>
      <c r="AM571" s="13" t="s">
        <v>484</v>
      </c>
      <c r="AN571" s="15"/>
      <c r="AO571" s="13"/>
      <c r="AP571" s="13" t="s">
        <v>196</v>
      </c>
      <c r="AQ571" s="16" t="str">
        <f aca="false">IFERROR(IF(AND(INDEX(Mob_Demob!$D$6:$D$14,MATCH(AM571,Mob_Demob!$A$6:$A$14,0))="",INDEX(Mob_Demob!$G$6:$G$14,MATCH(AM571,Mob_Demob!$A$6:$A$14,0))=""),"",ROUND(MAX(N(INDEX(Mob_Demob!$G$6:$G$14,MATCH(AM571,Mob_Demob!$A$6:$A$14,0))),N(INDEX(Mob_Demob!$D$6:$D$14,MATCH(AM571,Mob_Demob!$A$6:$A$14,0)))*Settings!$B$6)+IF(AP571="Y",N(INDEX(Mob_Demob!$I$6:$I$14,MATCH(AM571,Mob_Demob!$A$6:$A$14,0)))*Settings!$B$19,0)+N(INDEX(Mob_Demob!$L$6:$L$14,MATCH(AM571,Mob_Demob!$A$6:$A$14,0)))*N(INDEX(Mob_Demob!$K$6:$K$14,MATCH(AM571,Mob_Demob!$A$6:$A$14,0)))*Settings!$B$6+N(INDEX(Mob_Demob!$M$6:$M$14,MATCH(AM571,Mob_Demob!$A$6:$A$14,0)))*N(INDEX(Mob_Demob!$N$6:$N$14,MATCH(AM571,Mob_Demob!$A$6:$A$14,0))),0)),"")</f>
        <v/>
      </c>
      <c r="AR571" s="16" t="str">
        <f aca="false">IF(AQ571="","",ROUND(AQ571*Settings!$B$18,0))</f>
        <v/>
      </c>
      <c r="AS571" s="13"/>
      <c r="AT571" s="14" t="s">
        <v>3408</v>
      </c>
      <c r="AU571" s="14" t="s">
        <v>3409</v>
      </c>
    </row>
    <row r="572" customFormat="false" ht="64.15" hidden="false" customHeight="false" outlineLevel="0" collapsed="false">
      <c r="A572" s="21" t="s">
        <v>3426</v>
      </c>
      <c r="B572" s="21" t="s">
        <v>3400</v>
      </c>
      <c r="C572" s="21" t="s">
        <v>3401</v>
      </c>
      <c r="D572" s="21" t="s">
        <v>3402</v>
      </c>
      <c r="E572" s="22" t="s">
        <v>3427</v>
      </c>
      <c r="F572" s="13" t="s">
        <v>3404</v>
      </c>
      <c r="G572" s="13" t="s">
        <v>3428</v>
      </c>
      <c r="H572" s="13" t="s">
        <v>926</v>
      </c>
      <c r="I572" s="14"/>
      <c r="J572" s="15"/>
      <c r="K572" s="13"/>
      <c r="L572" s="13"/>
      <c r="M572" s="13"/>
      <c r="N572" s="13" t="s">
        <v>1163</v>
      </c>
      <c r="O572" s="13" t="s">
        <v>1023</v>
      </c>
      <c r="P572" s="13" t="s">
        <v>3406</v>
      </c>
      <c r="Q572" s="16"/>
      <c r="R572" s="16"/>
      <c r="S572" s="16"/>
      <c r="T572" s="16"/>
      <c r="U572" s="16"/>
      <c r="V572" s="13" t="s">
        <v>187</v>
      </c>
      <c r="W572" s="17"/>
      <c r="X572" s="13"/>
      <c r="Y572" s="13"/>
      <c r="Z572" s="13"/>
      <c r="AA572" s="13" t="s">
        <v>188</v>
      </c>
      <c r="AB572" s="13" t="s">
        <v>3429</v>
      </c>
      <c r="AC572" s="18" t="n">
        <v>47.36</v>
      </c>
      <c r="AD572" s="13" t="s">
        <v>190</v>
      </c>
      <c r="AE572" s="19"/>
      <c r="AF572" s="19"/>
      <c r="AG572" s="19"/>
      <c r="AH572" s="13"/>
      <c r="AI572" s="17" t="str">
        <f aca="false">IF(OR(AC572="",AF572="",Settings!$B$10=""),"",ROUND(AC572-AF572*Settings!$B$10,2))</f>
        <v/>
      </c>
      <c r="AJ572" s="13" t="s">
        <v>192</v>
      </c>
      <c r="AK572" s="13" t="s">
        <v>193</v>
      </c>
      <c r="AL572" s="14" t="s">
        <v>194</v>
      </c>
      <c r="AM572" s="13" t="s">
        <v>484</v>
      </c>
      <c r="AN572" s="15"/>
      <c r="AO572" s="13"/>
      <c r="AP572" s="13" t="s">
        <v>196</v>
      </c>
      <c r="AQ572" s="16" t="str">
        <f aca="false">IFERROR(IF(AND(INDEX(Mob_Demob!$D$6:$D$14,MATCH(AM572,Mob_Demob!$A$6:$A$14,0))="",INDEX(Mob_Demob!$G$6:$G$14,MATCH(AM572,Mob_Demob!$A$6:$A$14,0))=""),"",ROUND(MAX(N(INDEX(Mob_Demob!$G$6:$G$14,MATCH(AM572,Mob_Demob!$A$6:$A$14,0))),N(INDEX(Mob_Demob!$D$6:$D$14,MATCH(AM572,Mob_Demob!$A$6:$A$14,0)))*Settings!$B$6)+IF(AP572="Y",N(INDEX(Mob_Demob!$I$6:$I$14,MATCH(AM572,Mob_Demob!$A$6:$A$14,0)))*Settings!$B$19,0)+N(INDEX(Mob_Demob!$L$6:$L$14,MATCH(AM572,Mob_Demob!$A$6:$A$14,0)))*N(INDEX(Mob_Demob!$K$6:$K$14,MATCH(AM572,Mob_Demob!$A$6:$A$14,0)))*Settings!$B$6+N(INDEX(Mob_Demob!$M$6:$M$14,MATCH(AM572,Mob_Demob!$A$6:$A$14,0)))*N(INDEX(Mob_Demob!$N$6:$N$14,MATCH(AM572,Mob_Demob!$A$6:$A$14,0))),0)),"")</f>
        <v/>
      </c>
      <c r="AR572" s="16" t="str">
        <f aca="false">IF(AQ572="","",ROUND(AQ572*Settings!$B$18,0))</f>
        <v/>
      </c>
      <c r="AS572" s="13"/>
      <c r="AT572" s="14" t="s">
        <v>3408</v>
      </c>
      <c r="AU572" s="14" t="s">
        <v>3409</v>
      </c>
    </row>
    <row r="573" customFormat="false" ht="64.15" hidden="false" customHeight="false" outlineLevel="0" collapsed="false">
      <c r="A573" s="21" t="s">
        <v>3430</v>
      </c>
      <c r="B573" s="21" t="s">
        <v>3400</v>
      </c>
      <c r="C573" s="21" t="s">
        <v>3401</v>
      </c>
      <c r="D573" s="21" t="s">
        <v>3431</v>
      </c>
      <c r="E573" s="22" t="s">
        <v>3432</v>
      </c>
      <c r="F573" s="13" t="s">
        <v>3404</v>
      </c>
      <c r="G573" s="13" t="s">
        <v>3428</v>
      </c>
      <c r="H573" s="13" t="s">
        <v>926</v>
      </c>
      <c r="I573" s="14"/>
      <c r="J573" s="15"/>
      <c r="K573" s="13"/>
      <c r="L573" s="13"/>
      <c r="M573" s="13"/>
      <c r="N573" s="13" t="s">
        <v>1163</v>
      </c>
      <c r="O573" s="13" t="s">
        <v>1023</v>
      </c>
      <c r="P573" s="13" t="s">
        <v>3406</v>
      </c>
      <c r="Q573" s="16"/>
      <c r="R573" s="16"/>
      <c r="S573" s="16"/>
      <c r="T573" s="16"/>
      <c r="U573" s="16"/>
      <c r="V573" s="13" t="s">
        <v>187</v>
      </c>
      <c r="W573" s="17"/>
      <c r="X573" s="13"/>
      <c r="Y573" s="13"/>
      <c r="Z573" s="13"/>
      <c r="AA573" s="13" t="s">
        <v>188</v>
      </c>
      <c r="AB573" s="13" t="s">
        <v>3433</v>
      </c>
      <c r="AC573" s="18" t="n">
        <v>30.44</v>
      </c>
      <c r="AD573" s="13" t="s">
        <v>190</v>
      </c>
      <c r="AE573" s="19"/>
      <c r="AF573" s="19"/>
      <c r="AG573" s="19"/>
      <c r="AH573" s="13"/>
      <c r="AI573" s="17" t="str">
        <f aca="false">IF(OR(AC573="",AF573="",Settings!$B$10=""),"",ROUND(AC573-AF573*Settings!$B$10,2))</f>
        <v/>
      </c>
      <c r="AJ573" s="13" t="s">
        <v>192</v>
      </c>
      <c r="AK573" s="13" t="s">
        <v>193</v>
      </c>
      <c r="AL573" s="14" t="s">
        <v>194</v>
      </c>
      <c r="AM573" s="13" t="s">
        <v>484</v>
      </c>
      <c r="AN573" s="15"/>
      <c r="AO573" s="13"/>
      <c r="AP573" s="13" t="s">
        <v>196</v>
      </c>
      <c r="AQ573" s="16" t="str">
        <f aca="false">IFERROR(IF(AND(INDEX(Mob_Demob!$D$6:$D$14,MATCH(AM573,Mob_Demob!$A$6:$A$14,0))="",INDEX(Mob_Demob!$G$6:$G$14,MATCH(AM573,Mob_Demob!$A$6:$A$14,0))=""),"",ROUND(MAX(N(INDEX(Mob_Demob!$G$6:$G$14,MATCH(AM573,Mob_Demob!$A$6:$A$14,0))),N(INDEX(Mob_Demob!$D$6:$D$14,MATCH(AM573,Mob_Demob!$A$6:$A$14,0)))*Settings!$B$6)+IF(AP573="Y",N(INDEX(Mob_Demob!$I$6:$I$14,MATCH(AM573,Mob_Demob!$A$6:$A$14,0)))*Settings!$B$19,0)+N(INDEX(Mob_Demob!$L$6:$L$14,MATCH(AM573,Mob_Demob!$A$6:$A$14,0)))*N(INDEX(Mob_Demob!$K$6:$K$14,MATCH(AM573,Mob_Demob!$A$6:$A$14,0)))*Settings!$B$6+N(INDEX(Mob_Demob!$M$6:$M$14,MATCH(AM573,Mob_Demob!$A$6:$A$14,0)))*N(INDEX(Mob_Demob!$N$6:$N$14,MATCH(AM573,Mob_Demob!$A$6:$A$14,0))),0)),"")</f>
        <v/>
      </c>
      <c r="AR573" s="16" t="str">
        <f aca="false">IF(AQ573="","",ROUND(AQ573*Settings!$B$18,0))</f>
        <v/>
      </c>
      <c r="AS573" s="13"/>
      <c r="AT573" s="14" t="s">
        <v>3408</v>
      </c>
      <c r="AU573" s="14" t="s">
        <v>3409</v>
      </c>
    </row>
    <row r="574" customFormat="false" ht="64.15" hidden="false" customHeight="false" outlineLevel="0" collapsed="false">
      <c r="A574" s="21" t="s">
        <v>3434</v>
      </c>
      <c r="B574" s="21" t="s">
        <v>3400</v>
      </c>
      <c r="C574" s="21" t="s">
        <v>3401</v>
      </c>
      <c r="D574" s="21" t="s">
        <v>3431</v>
      </c>
      <c r="E574" s="22" t="s">
        <v>3435</v>
      </c>
      <c r="F574" s="13" t="s">
        <v>3404</v>
      </c>
      <c r="G574" s="13" t="s">
        <v>3412</v>
      </c>
      <c r="H574" s="13" t="s">
        <v>926</v>
      </c>
      <c r="I574" s="14"/>
      <c r="J574" s="15"/>
      <c r="K574" s="13"/>
      <c r="L574" s="13"/>
      <c r="M574" s="13"/>
      <c r="N574" s="13" t="s">
        <v>184</v>
      </c>
      <c r="O574" s="13" t="s">
        <v>1023</v>
      </c>
      <c r="P574" s="13" t="s">
        <v>3406</v>
      </c>
      <c r="Q574" s="16"/>
      <c r="R574" s="16"/>
      <c r="S574" s="16"/>
      <c r="T574" s="16"/>
      <c r="U574" s="16"/>
      <c r="V574" s="13" t="s">
        <v>187</v>
      </c>
      <c r="W574" s="17"/>
      <c r="X574" s="13"/>
      <c r="Y574" s="13"/>
      <c r="Z574" s="13"/>
      <c r="AA574" s="13" t="s">
        <v>188</v>
      </c>
      <c r="AB574" s="13" t="s">
        <v>3436</v>
      </c>
      <c r="AC574" s="18" t="n">
        <v>40.45</v>
      </c>
      <c r="AD574" s="13" t="s">
        <v>190</v>
      </c>
      <c r="AE574" s="19"/>
      <c r="AF574" s="19"/>
      <c r="AG574" s="19"/>
      <c r="AH574" s="13"/>
      <c r="AI574" s="17" t="str">
        <f aca="false">IF(OR(AC574="",AF574="",Settings!$B$5=""),"",ROUND(AC574-AF574*Settings!$B$5,2))</f>
        <v/>
      </c>
      <c r="AJ574" s="13" t="s">
        <v>192</v>
      </c>
      <c r="AK574" s="13" t="s">
        <v>193</v>
      </c>
      <c r="AL574" s="14" t="s">
        <v>194</v>
      </c>
      <c r="AM574" s="13" t="s">
        <v>484</v>
      </c>
      <c r="AN574" s="15"/>
      <c r="AO574" s="13"/>
      <c r="AP574" s="13" t="s">
        <v>196</v>
      </c>
      <c r="AQ574" s="16" t="str">
        <f aca="false">IFERROR(IF(AND(INDEX(Mob_Demob!$D$6:$D$14,MATCH(AM574,Mob_Demob!$A$6:$A$14,0))="",INDEX(Mob_Demob!$G$6:$G$14,MATCH(AM574,Mob_Demob!$A$6:$A$14,0))=""),"",ROUND(MAX(N(INDEX(Mob_Demob!$G$6:$G$14,MATCH(AM574,Mob_Demob!$A$6:$A$14,0))),N(INDEX(Mob_Demob!$D$6:$D$14,MATCH(AM574,Mob_Demob!$A$6:$A$14,0)))*Settings!$B$6)+IF(AP574="Y",N(INDEX(Mob_Demob!$I$6:$I$14,MATCH(AM574,Mob_Demob!$A$6:$A$14,0)))*Settings!$B$19,0)+N(INDEX(Mob_Demob!$L$6:$L$14,MATCH(AM574,Mob_Demob!$A$6:$A$14,0)))*N(INDEX(Mob_Demob!$K$6:$K$14,MATCH(AM574,Mob_Demob!$A$6:$A$14,0)))*Settings!$B$6+N(INDEX(Mob_Demob!$M$6:$M$14,MATCH(AM574,Mob_Demob!$A$6:$A$14,0)))*N(INDEX(Mob_Demob!$N$6:$N$14,MATCH(AM574,Mob_Demob!$A$6:$A$14,0))),0)),"")</f>
        <v/>
      </c>
      <c r="AR574" s="16" t="str">
        <f aca="false">IF(AQ574="","",ROUND(AQ574*Settings!$B$18,0))</f>
        <v/>
      </c>
      <c r="AS574" s="13"/>
      <c r="AT574" s="14" t="s">
        <v>3437</v>
      </c>
      <c r="AU574" s="14" t="s">
        <v>3409</v>
      </c>
    </row>
    <row r="575" customFormat="false" ht="64.15" hidden="false" customHeight="false" outlineLevel="0" collapsed="false">
      <c r="A575" s="21" t="s">
        <v>3438</v>
      </c>
      <c r="B575" s="21" t="s">
        <v>3400</v>
      </c>
      <c r="C575" s="21" t="s">
        <v>3401</v>
      </c>
      <c r="D575" s="21" t="s">
        <v>3431</v>
      </c>
      <c r="E575" s="22" t="s">
        <v>3439</v>
      </c>
      <c r="F575" s="13" t="s">
        <v>3404</v>
      </c>
      <c r="G575" s="13" t="s">
        <v>3416</v>
      </c>
      <c r="H575" s="13" t="s">
        <v>926</v>
      </c>
      <c r="I575" s="14"/>
      <c r="J575" s="15"/>
      <c r="K575" s="13"/>
      <c r="L575" s="13"/>
      <c r="M575" s="13"/>
      <c r="N575" s="13" t="s">
        <v>1163</v>
      </c>
      <c r="O575" s="13" t="s">
        <v>1023</v>
      </c>
      <c r="P575" s="13" t="s">
        <v>3406</v>
      </c>
      <c r="Q575" s="16"/>
      <c r="R575" s="16"/>
      <c r="S575" s="16"/>
      <c r="T575" s="16"/>
      <c r="U575" s="16"/>
      <c r="V575" s="13" t="s">
        <v>187</v>
      </c>
      <c r="W575" s="17"/>
      <c r="X575" s="13"/>
      <c r="Y575" s="13"/>
      <c r="Z575" s="13"/>
      <c r="AA575" s="13" t="s">
        <v>188</v>
      </c>
      <c r="AB575" s="13" t="s">
        <v>3440</v>
      </c>
      <c r="AC575" s="18" t="n">
        <v>48.61</v>
      </c>
      <c r="AD575" s="13" t="s">
        <v>190</v>
      </c>
      <c r="AE575" s="19"/>
      <c r="AF575" s="19"/>
      <c r="AG575" s="19"/>
      <c r="AH575" s="13"/>
      <c r="AI575" s="17" t="str">
        <f aca="false">IF(OR(AC575="",AF575="",Settings!$B$10=""),"",ROUND(AC575-AF575*Settings!$B$10,2))</f>
        <v/>
      </c>
      <c r="AJ575" s="13" t="s">
        <v>192</v>
      </c>
      <c r="AK575" s="13" t="s">
        <v>193</v>
      </c>
      <c r="AL575" s="14" t="s">
        <v>194</v>
      </c>
      <c r="AM575" s="13" t="s">
        <v>484</v>
      </c>
      <c r="AN575" s="15"/>
      <c r="AO575" s="13"/>
      <c r="AP575" s="13" t="s">
        <v>196</v>
      </c>
      <c r="AQ575" s="16" t="str">
        <f aca="false">IFERROR(IF(AND(INDEX(Mob_Demob!$D$6:$D$14,MATCH(AM575,Mob_Demob!$A$6:$A$14,0))="",INDEX(Mob_Demob!$G$6:$G$14,MATCH(AM575,Mob_Demob!$A$6:$A$14,0))=""),"",ROUND(MAX(N(INDEX(Mob_Demob!$G$6:$G$14,MATCH(AM575,Mob_Demob!$A$6:$A$14,0))),N(INDEX(Mob_Demob!$D$6:$D$14,MATCH(AM575,Mob_Demob!$A$6:$A$14,0)))*Settings!$B$6)+IF(AP575="Y",N(INDEX(Mob_Demob!$I$6:$I$14,MATCH(AM575,Mob_Demob!$A$6:$A$14,0)))*Settings!$B$19,0)+N(INDEX(Mob_Demob!$L$6:$L$14,MATCH(AM575,Mob_Demob!$A$6:$A$14,0)))*N(INDEX(Mob_Demob!$K$6:$K$14,MATCH(AM575,Mob_Demob!$A$6:$A$14,0)))*Settings!$B$6+N(INDEX(Mob_Demob!$M$6:$M$14,MATCH(AM575,Mob_Demob!$A$6:$A$14,0)))*N(INDEX(Mob_Demob!$N$6:$N$14,MATCH(AM575,Mob_Demob!$A$6:$A$14,0))),0)),"")</f>
        <v/>
      </c>
      <c r="AR575" s="16" t="str">
        <f aca="false">IF(AQ575="","",ROUND(AQ575*Settings!$B$18,0))</f>
        <v/>
      </c>
      <c r="AS575" s="13"/>
      <c r="AT575" s="14" t="s">
        <v>3408</v>
      </c>
      <c r="AU575" s="14" t="s">
        <v>3409</v>
      </c>
    </row>
    <row r="576" customFormat="false" ht="64.15" hidden="false" customHeight="false" outlineLevel="0" collapsed="false">
      <c r="A576" s="21" t="s">
        <v>3441</v>
      </c>
      <c r="B576" s="21" t="s">
        <v>3400</v>
      </c>
      <c r="C576" s="21" t="s">
        <v>3401</v>
      </c>
      <c r="D576" s="21" t="s">
        <v>3431</v>
      </c>
      <c r="E576" s="22" t="s">
        <v>3442</v>
      </c>
      <c r="F576" s="13" t="s">
        <v>3404</v>
      </c>
      <c r="G576" s="13" t="s">
        <v>3420</v>
      </c>
      <c r="H576" s="13" t="s">
        <v>926</v>
      </c>
      <c r="I576" s="14"/>
      <c r="J576" s="15"/>
      <c r="K576" s="13"/>
      <c r="L576" s="13"/>
      <c r="M576" s="13"/>
      <c r="N576" s="13" t="s">
        <v>1163</v>
      </c>
      <c r="O576" s="13" t="s">
        <v>1023</v>
      </c>
      <c r="P576" s="13" t="s">
        <v>3406</v>
      </c>
      <c r="Q576" s="16"/>
      <c r="R576" s="16"/>
      <c r="S576" s="16"/>
      <c r="T576" s="16"/>
      <c r="U576" s="16"/>
      <c r="V576" s="13" t="s">
        <v>187</v>
      </c>
      <c r="W576" s="17"/>
      <c r="X576" s="13"/>
      <c r="Y576" s="13"/>
      <c r="Z576" s="13"/>
      <c r="AA576" s="13" t="s">
        <v>188</v>
      </c>
      <c r="AB576" s="13" t="s">
        <v>3443</v>
      </c>
      <c r="AC576" s="18" t="n">
        <v>40.8</v>
      </c>
      <c r="AD576" s="13" t="s">
        <v>190</v>
      </c>
      <c r="AE576" s="19"/>
      <c r="AF576" s="19"/>
      <c r="AG576" s="19"/>
      <c r="AH576" s="13"/>
      <c r="AI576" s="17" t="str">
        <f aca="false">IF(OR(AC576="",AF576="",Settings!$B$10=""),"",ROUND(AC576-AF576*Settings!$B$10,2))</f>
        <v/>
      </c>
      <c r="AJ576" s="13" t="s">
        <v>192</v>
      </c>
      <c r="AK576" s="13" t="s">
        <v>193</v>
      </c>
      <c r="AL576" s="14" t="s">
        <v>194</v>
      </c>
      <c r="AM576" s="13" t="s">
        <v>484</v>
      </c>
      <c r="AN576" s="15"/>
      <c r="AO576" s="13"/>
      <c r="AP576" s="13" t="s">
        <v>196</v>
      </c>
      <c r="AQ576" s="16" t="str">
        <f aca="false">IFERROR(IF(AND(INDEX(Mob_Demob!$D$6:$D$14,MATCH(AM576,Mob_Demob!$A$6:$A$14,0))="",INDEX(Mob_Demob!$G$6:$G$14,MATCH(AM576,Mob_Demob!$A$6:$A$14,0))=""),"",ROUND(MAX(N(INDEX(Mob_Demob!$G$6:$G$14,MATCH(AM576,Mob_Demob!$A$6:$A$14,0))),N(INDEX(Mob_Demob!$D$6:$D$14,MATCH(AM576,Mob_Demob!$A$6:$A$14,0)))*Settings!$B$6)+IF(AP576="Y",N(INDEX(Mob_Demob!$I$6:$I$14,MATCH(AM576,Mob_Demob!$A$6:$A$14,0)))*Settings!$B$19,0)+N(INDEX(Mob_Demob!$L$6:$L$14,MATCH(AM576,Mob_Demob!$A$6:$A$14,0)))*N(INDEX(Mob_Demob!$K$6:$K$14,MATCH(AM576,Mob_Demob!$A$6:$A$14,0)))*Settings!$B$6+N(INDEX(Mob_Demob!$M$6:$M$14,MATCH(AM576,Mob_Demob!$A$6:$A$14,0)))*N(INDEX(Mob_Demob!$N$6:$N$14,MATCH(AM576,Mob_Demob!$A$6:$A$14,0))),0)),"")</f>
        <v/>
      </c>
      <c r="AR576" s="16" t="str">
        <f aca="false">IF(AQ576="","",ROUND(AQ576*Settings!$B$18,0))</f>
        <v/>
      </c>
      <c r="AS576" s="13"/>
      <c r="AT576" s="14" t="s">
        <v>3408</v>
      </c>
      <c r="AU576" s="14" t="s">
        <v>3409</v>
      </c>
    </row>
    <row r="577" customFormat="false" ht="64.15" hidden="false" customHeight="false" outlineLevel="0" collapsed="false">
      <c r="A577" s="21" t="s">
        <v>3444</v>
      </c>
      <c r="B577" s="21" t="s">
        <v>3400</v>
      </c>
      <c r="C577" s="21" t="s">
        <v>3401</v>
      </c>
      <c r="D577" s="21" t="s">
        <v>3431</v>
      </c>
      <c r="E577" s="22" t="s">
        <v>3445</v>
      </c>
      <c r="F577" s="13" t="s">
        <v>3404</v>
      </c>
      <c r="G577" s="13" t="s">
        <v>3424</v>
      </c>
      <c r="H577" s="13" t="s">
        <v>926</v>
      </c>
      <c r="I577" s="14"/>
      <c r="J577" s="15"/>
      <c r="K577" s="13"/>
      <c r="L577" s="13"/>
      <c r="M577" s="13"/>
      <c r="N577" s="13" t="s">
        <v>1163</v>
      </c>
      <c r="O577" s="13" t="s">
        <v>1023</v>
      </c>
      <c r="P577" s="13" t="s">
        <v>3406</v>
      </c>
      <c r="Q577" s="16"/>
      <c r="R577" s="16"/>
      <c r="S577" s="16"/>
      <c r="T577" s="16"/>
      <c r="U577" s="16"/>
      <c r="V577" s="13" t="s">
        <v>187</v>
      </c>
      <c r="W577" s="17"/>
      <c r="X577" s="13"/>
      <c r="Y577" s="13"/>
      <c r="Z577" s="13"/>
      <c r="AA577" s="13" t="s">
        <v>188</v>
      </c>
      <c r="AB577" s="13" t="s">
        <v>3446</v>
      </c>
      <c r="AC577" s="18" t="n">
        <v>28.72</v>
      </c>
      <c r="AD577" s="13" t="s">
        <v>190</v>
      </c>
      <c r="AE577" s="19"/>
      <c r="AF577" s="19"/>
      <c r="AG577" s="19"/>
      <c r="AH577" s="13"/>
      <c r="AI577" s="17" t="str">
        <f aca="false">IF(OR(AC577="",AF577="",Settings!$B$10=""),"",ROUND(AC577-AF577*Settings!$B$10,2))</f>
        <v/>
      </c>
      <c r="AJ577" s="13" t="s">
        <v>192</v>
      </c>
      <c r="AK577" s="13" t="s">
        <v>193</v>
      </c>
      <c r="AL577" s="14" t="s">
        <v>194</v>
      </c>
      <c r="AM577" s="13" t="s">
        <v>484</v>
      </c>
      <c r="AN577" s="15"/>
      <c r="AO577" s="13"/>
      <c r="AP577" s="13" t="s">
        <v>196</v>
      </c>
      <c r="AQ577" s="16" t="str">
        <f aca="false">IFERROR(IF(AND(INDEX(Mob_Demob!$D$6:$D$14,MATCH(AM577,Mob_Demob!$A$6:$A$14,0))="",INDEX(Mob_Demob!$G$6:$G$14,MATCH(AM577,Mob_Demob!$A$6:$A$14,0))=""),"",ROUND(MAX(N(INDEX(Mob_Demob!$G$6:$G$14,MATCH(AM577,Mob_Demob!$A$6:$A$14,0))),N(INDEX(Mob_Demob!$D$6:$D$14,MATCH(AM577,Mob_Demob!$A$6:$A$14,0)))*Settings!$B$6)+IF(AP577="Y",N(INDEX(Mob_Demob!$I$6:$I$14,MATCH(AM577,Mob_Demob!$A$6:$A$14,0)))*Settings!$B$19,0)+N(INDEX(Mob_Demob!$L$6:$L$14,MATCH(AM577,Mob_Demob!$A$6:$A$14,0)))*N(INDEX(Mob_Demob!$K$6:$K$14,MATCH(AM577,Mob_Demob!$A$6:$A$14,0)))*Settings!$B$6+N(INDEX(Mob_Demob!$M$6:$M$14,MATCH(AM577,Mob_Demob!$A$6:$A$14,0)))*N(INDEX(Mob_Demob!$N$6:$N$14,MATCH(AM577,Mob_Demob!$A$6:$A$14,0))),0)),"")</f>
        <v/>
      </c>
      <c r="AR577" s="16" t="str">
        <f aca="false">IF(AQ577="","",ROUND(AQ577*Settings!$B$18,0))</f>
        <v/>
      </c>
      <c r="AS577" s="13"/>
      <c r="AT577" s="14" t="s">
        <v>3408</v>
      </c>
      <c r="AU577" s="14" t="s">
        <v>3409</v>
      </c>
    </row>
    <row r="578" customFormat="false" ht="64.15" hidden="false" customHeight="false" outlineLevel="0" collapsed="false">
      <c r="A578" s="21" t="s">
        <v>3447</v>
      </c>
      <c r="B578" s="21" t="s">
        <v>3400</v>
      </c>
      <c r="C578" s="21" t="s">
        <v>3401</v>
      </c>
      <c r="D578" s="21" t="s">
        <v>3448</v>
      </c>
      <c r="E578" s="22" t="s">
        <v>3449</v>
      </c>
      <c r="F578" s="13" t="s">
        <v>3450</v>
      </c>
      <c r="G578" s="13" t="s">
        <v>3451</v>
      </c>
      <c r="H578" s="13"/>
      <c r="I578" s="14" t="s">
        <v>3452</v>
      </c>
      <c r="J578" s="15"/>
      <c r="K578" s="13"/>
      <c r="L578" s="13"/>
      <c r="M578" s="13"/>
      <c r="N578" s="13" t="s">
        <v>1163</v>
      </c>
      <c r="O578" s="13" t="s">
        <v>1023</v>
      </c>
      <c r="P578" s="13" t="s">
        <v>3451</v>
      </c>
      <c r="Q578" s="16"/>
      <c r="R578" s="16"/>
      <c r="S578" s="16"/>
      <c r="T578" s="16"/>
      <c r="U578" s="16"/>
      <c r="V578" s="13" t="s">
        <v>187</v>
      </c>
      <c r="W578" s="17"/>
      <c r="X578" s="13"/>
      <c r="Y578" s="13"/>
      <c r="Z578" s="13"/>
      <c r="AA578" s="13" t="s">
        <v>188</v>
      </c>
      <c r="AB578" s="13" t="s">
        <v>3453</v>
      </c>
      <c r="AC578" s="18" t="n">
        <v>0.7</v>
      </c>
      <c r="AD578" s="13" t="s">
        <v>3454</v>
      </c>
      <c r="AE578" s="19" t="n">
        <v>0</v>
      </c>
      <c r="AF578" s="19" t="n">
        <v>0</v>
      </c>
      <c r="AG578" s="19" t="n">
        <v>0</v>
      </c>
      <c r="AH578" s="13" t="s">
        <v>506</v>
      </c>
      <c r="AI578" s="17"/>
      <c r="AJ578" s="13" t="s">
        <v>192</v>
      </c>
      <c r="AK578" s="13" t="s">
        <v>188</v>
      </c>
      <c r="AL578" s="14" t="s">
        <v>194</v>
      </c>
      <c r="AM578" s="13" t="s">
        <v>484</v>
      </c>
      <c r="AN578" s="15"/>
      <c r="AO578" s="13"/>
      <c r="AP578" s="13" t="s">
        <v>196</v>
      </c>
      <c r="AQ578" s="16" t="str">
        <f aca="false">IFERROR(IF(AND(INDEX(Mob_Demob!$D$6:$D$14,MATCH(AM578,Mob_Demob!$A$6:$A$14,0))="",INDEX(Mob_Demob!$G$6:$G$14,MATCH(AM578,Mob_Demob!$A$6:$A$14,0))=""),"",ROUND(MAX(N(INDEX(Mob_Demob!$G$6:$G$14,MATCH(AM578,Mob_Demob!$A$6:$A$14,0))),N(INDEX(Mob_Demob!$D$6:$D$14,MATCH(AM578,Mob_Demob!$A$6:$A$14,0)))*Settings!$B$6)+IF(AP578="Y",N(INDEX(Mob_Demob!$I$6:$I$14,MATCH(AM578,Mob_Demob!$A$6:$A$14,0)))*Settings!$B$19,0)+N(INDEX(Mob_Demob!$L$6:$L$14,MATCH(AM578,Mob_Demob!$A$6:$A$14,0)))*N(INDEX(Mob_Demob!$K$6:$K$14,MATCH(AM578,Mob_Demob!$A$6:$A$14,0)))*Settings!$B$6+N(INDEX(Mob_Demob!$M$6:$M$14,MATCH(AM578,Mob_Demob!$A$6:$A$14,0)))*N(INDEX(Mob_Demob!$N$6:$N$14,MATCH(AM578,Mob_Demob!$A$6:$A$14,0))),0)),"")</f>
        <v/>
      </c>
      <c r="AR578" s="16" t="str">
        <f aca="false">IF(AQ578="","",ROUND(AQ578*Settings!$B$18,0))</f>
        <v/>
      </c>
      <c r="AS578" s="13"/>
      <c r="AT578" s="14" t="s">
        <v>3455</v>
      </c>
      <c r="AU578" s="14" t="s">
        <v>199</v>
      </c>
    </row>
    <row r="579" customFormat="false" ht="64.15" hidden="false" customHeight="false" outlineLevel="0" collapsed="false">
      <c r="A579" s="21" t="s">
        <v>3456</v>
      </c>
      <c r="B579" s="21" t="s">
        <v>3400</v>
      </c>
      <c r="C579" s="21" t="s">
        <v>3457</v>
      </c>
      <c r="D579" s="21" t="s">
        <v>3458</v>
      </c>
      <c r="E579" s="22" t="s">
        <v>3459</v>
      </c>
      <c r="F579" s="13" t="s">
        <v>3460</v>
      </c>
      <c r="G579" s="13" t="n">
        <v>15000</v>
      </c>
      <c r="H579" s="13" t="s">
        <v>334</v>
      </c>
      <c r="I579" s="14"/>
      <c r="J579" s="15"/>
      <c r="K579" s="13"/>
      <c r="L579" s="13"/>
      <c r="M579" s="13"/>
      <c r="N579" s="13" t="s">
        <v>184</v>
      </c>
      <c r="O579" s="13" t="s">
        <v>1023</v>
      </c>
      <c r="P579" s="13" t="s">
        <v>3406</v>
      </c>
      <c r="Q579" s="16"/>
      <c r="R579" s="16"/>
      <c r="S579" s="16"/>
      <c r="T579" s="16"/>
      <c r="U579" s="16"/>
      <c r="V579" s="13" t="s">
        <v>187</v>
      </c>
      <c r="W579" s="17"/>
      <c r="X579" s="13"/>
      <c r="Y579" s="13"/>
      <c r="Z579" s="13"/>
      <c r="AA579" s="13" t="s">
        <v>188</v>
      </c>
      <c r="AB579" s="13" t="s">
        <v>3461</v>
      </c>
      <c r="AC579" s="18" t="n">
        <v>60.54</v>
      </c>
      <c r="AD579" s="13" t="s">
        <v>190</v>
      </c>
      <c r="AE579" s="19"/>
      <c r="AF579" s="19"/>
      <c r="AG579" s="19"/>
      <c r="AH579" s="13"/>
      <c r="AI579" s="17" t="str">
        <f aca="false">IF(OR(AC579="",AF579="",Settings!$B$5=""),"",ROUND(AC579-AF579*Settings!$B$5,2))</f>
        <v/>
      </c>
      <c r="AJ579" s="13" t="s">
        <v>192</v>
      </c>
      <c r="AK579" s="13" t="s">
        <v>193</v>
      </c>
      <c r="AL579" s="14" t="s">
        <v>194</v>
      </c>
      <c r="AM579" s="13" t="s">
        <v>484</v>
      </c>
      <c r="AN579" s="15"/>
      <c r="AO579" s="13"/>
      <c r="AP579" s="13" t="s">
        <v>196</v>
      </c>
      <c r="AQ579" s="16" t="str">
        <f aca="false">IFERROR(IF(AND(INDEX(Mob_Demob!$D$6:$D$14,MATCH(AM579,Mob_Demob!$A$6:$A$14,0))="",INDEX(Mob_Demob!$G$6:$G$14,MATCH(AM579,Mob_Demob!$A$6:$A$14,0))=""),"",ROUND(MAX(N(INDEX(Mob_Demob!$G$6:$G$14,MATCH(AM579,Mob_Demob!$A$6:$A$14,0))),N(INDEX(Mob_Demob!$D$6:$D$14,MATCH(AM579,Mob_Demob!$A$6:$A$14,0)))*Settings!$B$6)+IF(AP579="Y",N(INDEX(Mob_Demob!$I$6:$I$14,MATCH(AM579,Mob_Demob!$A$6:$A$14,0)))*Settings!$B$19,0)+N(INDEX(Mob_Demob!$L$6:$L$14,MATCH(AM579,Mob_Demob!$A$6:$A$14,0)))*N(INDEX(Mob_Demob!$K$6:$K$14,MATCH(AM579,Mob_Demob!$A$6:$A$14,0)))*Settings!$B$6+N(INDEX(Mob_Demob!$M$6:$M$14,MATCH(AM579,Mob_Demob!$A$6:$A$14,0)))*N(INDEX(Mob_Demob!$N$6:$N$14,MATCH(AM579,Mob_Demob!$A$6:$A$14,0))),0)),"")</f>
        <v/>
      </c>
      <c r="AR579" s="16" t="str">
        <f aca="false">IF(AQ579="","",ROUND(AQ579*Settings!$B$18,0))</f>
        <v/>
      </c>
      <c r="AS579" s="13"/>
      <c r="AT579" s="14" t="s">
        <v>871</v>
      </c>
      <c r="AU579" s="14" t="s">
        <v>838</v>
      </c>
    </row>
    <row r="580" customFormat="false" ht="64.15" hidden="false" customHeight="false" outlineLevel="0" collapsed="false">
      <c r="A580" s="21" t="s">
        <v>3462</v>
      </c>
      <c r="B580" s="21" t="s">
        <v>3400</v>
      </c>
      <c r="C580" s="21" t="s">
        <v>3457</v>
      </c>
      <c r="D580" s="21" t="s">
        <v>3458</v>
      </c>
      <c r="E580" s="22" t="s">
        <v>3463</v>
      </c>
      <c r="F580" s="13" t="s">
        <v>3460</v>
      </c>
      <c r="G580" s="13" t="n">
        <v>25000</v>
      </c>
      <c r="H580" s="13" t="s">
        <v>334</v>
      </c>
      <c r="I580" s="14"/>
      <c r="J580" s="15"/>
      <c r="K580" s="13"/>
      <c r="L580" s="13"/>
      <c r="M580" s="13"/>
      <c r="N580" s="13" t="s">
        <v>1163</v>
      </c>
      <c r="O580" s="13" t="s">
        <v>1023</v>
      </c>
      <c r="P580" s="13" t="s">
        <v>3406</v>
      </c>
      <c r="Q580" s="16"/>
      <c r="R580" s="16"/>
      <c r="S580" s="16"/>
      <c r="T580" s="16"/>
      <c r="U580" s="16"/>
      <c r="V580" s="13" t="s">
        <v>187</v>
      </c>
      <c r="W580" s="17"/>
      <c r="X580" s="13"/>
      <c r="Y580" s="13"/>
      <c r="Z580" s="13"/>
      <c r="AA580" s="13" t="s">
        <v>188</v>
      </c>
      <c r="AB580" s="13" t="s">
        <v>3464</v>
      </c>
      <c r="AC580" s="18" t="n">
        <v>71.91</v>
      </c>
      <c r="AD580" s="13" t="s">
        <v>190</v>
      </c>
      <c r="AE580" s="19"/>
      <c r="AF580" s="19"/>
      <c r="AG580" s="19"/>
      <c r="AH580" s="13"/>
      <c r="AI580" s="17" t="str">
        <f aca="false">IF(OR(AC580="",AF580="",Settings!$B$10=""),"",ROUND(AC580-AF580*Settings!$B$10,2))</f>
        <v/>
      </c>
      <c r="AJ580" s="13" t="s">
        <v>192</v>
      </c>
      <c r="AK580" s="13" t="s">
        <v>193</v>
      </c>
      <c r="AL580" s="14" t="s">
        <v>194</v>
      </c>
      <c r="AM580" s="13" t="s">
        <v>484</v>
      </c>
      <c r="AN580" s="15"/>
      <c r="AO580" s="13"/>
      <c r="AP580" s="13" t="s">
        <v>196</v>
      </c>
      <c r="AQ580" s="16" t="str">
        <f aca="false">IFERROR(IF(AND(INDEX(Mob_Demob!$D$6:$D$14,MATCH(AM580,Mob_Demob!$A$6:$A$14,0))="",INDEX(Mob_Demob!$G$6:$G$14,MATCH(AM580,Mob_Demob!$A$6:$A$14,0))=""),"",ROUND(MAX(N(INDEX(Mob_Demob!$G$6:$G$14,MATCH(AM580,Mob_Demob!$A$6:$A$14,0))),N(INDEX(Mob_Demob!$D$6:$D$14,MATCH(AM580,Mob_Demob!$A$6:$A$14,0)))*Settings!$B$6)+IF(AP580="Y",N(INDEX(Mob_Demob!$I$6:$I$14,MATCH(AM580,Mob_Demob!$A$6:$A$14,0)))*Settings!$B$19,0)+N(INDEX(Mob_Demob!$L$6:$L$14,MATCH(AM580,Mob_Demob!$A$6:$A$14,0)))*N(INDEX(Mob_Demob!$K$6:$K$14,MATCH(AM580,Mob_Demob!$A$6:$A$14,0)))*Settings!$B$6+N(INDEX(Mob_Demob!$M$6:$M$14,MATCH(AM580,Mob_Demob!$A$6:$A$14,0)))*N(INDEX(Mob_Demob!$N$6:$N$14,MATCH(AM580,Mob_Demob!$A$6:$A$14,0))),0)),"")</f>
        <v/>
      </c>
      <c r="AR580" s="16" t="str">
        <f aca="false">IF(AQ580="","",ROUND(AQ580*Settings!$B$18,0))</f>
        <v/>
      </c>
      <c r="AS580" s="13"/>
      <c r="AT580" s="14" t="s">
        <v>3465</v>
      </c>
      <c r="AU580" s="14" t="s">
        <v>838</v>
      </c>
    </row>
    <row r="581" customFormat="false" ht="64.15" hidden="false" customHeight="false" outlineLevel="0" collapsed="false">
      <c r="A581" s="21" t="s">
        <v>3466</v>
      </c>
      <c r="B581" s="21" t="s">
        <v>3400</v>
      </c>
      <c r="C581" s="21" t="s">
        <v>3457</v>
      </c>
      <c r="D581" s="21" t="s">
        <v>3458</v>
      </c>
      <c r="E581" s="22" t="s">
        <v>3467</v>
      </c>
      <c r="F581" s="13" t="s">
        <v>3460</v>
      </c>
      <c r="G581" s="13" t="n">
        <v>25000</v>
      </c>
      <c r="H581" s="13" t="s">
        <v>334</v>
      </c>
      <c r="I581" s="14"/>
      <c r="J581" s="15"/>
      <c r="K581" s="13"/>
      <c r="L581" s="13"/>
      <c r="M581" s="13"/>
      <c r="N581" s="13" t="s">
        <v>184</v>
      </c>
      <c r="O581" s="13" t="s">
        <v>1023</v>
      </c>
      <c r="P581" s="13" t="s">
        <v>3406</v>
      </c>
      <c r="Q581" s="16"/>
      <c r="R581" s="16"/>
      <c r="S581" s="16"/>
      <c r="T581" s="16"/>
      <c r="U581" s="16"/>
      <c r="V581" s="13" t="s">
        <v>187</v>
      </c>
      <c r="W581" s="17"/>
      <c r="X581" s="13"/>
      <c r="Y581" s="13"/>
      <c r="Z581" s="13"/>
      <c r="AA581" s="13" t="s">
        <v>188</v>
      </c>
      <c r="AB581" s="13" t="s">
        <v>3468</v>
      </c>
      <c r="AC581" s="18" t="n">
        <v>49.04</v>
      </c>
      <c r="AD581" s="13" t="s">
        <v>190</v>
      </c>
      <c r="AE581" s="19"/>
      <c r="AF581" s="19"/>
      <c r="AG581" s="19"/>
      <c r="AH581" s="13"/>
      <c r="AI581" s="17" t="str">
        <f aca="false">IF(OR(AC581="",AF581="",Settings!$B$5=""),"",ROUND(AC581-AF581*Settings!$B$5,2))</f>
        <v/>
      </c>
      <c r="AJ581" s="13" t="s">
        <v>192</v>
      </c>
      <c r="AK581" s="13" t="s">
        <v>193</v>
      </c>
      <c r="AL581" s="14" t="s">
        <v>194</v>
      </c>
      <c r="AM581" s="13" t="s">
        <v>484</v>
      </c>
      <c r="AN581" s="15"/>
      <c r="AO581" s="13"/>
      <c r="AP581" s="13" t="s">
        <v>196</v>
      </c>
      <c r="AQ581" s="16" t="str">
        <f aca="false">IFERROR(IF(AND(INDEX(Mob_Demob!$D$6:$D$14,MATCH(AM581,Mob_Demob!$A$6:$A$14,0))="",INDEX(Mob_Demob!$G$6:$G$14,MATCH(AM581,Mob_Demob!$A$6:$A$14,0))=""),"",ROUND(MAX(N(INDEX(Mob_Demob!$G$6:$G$14,MATCH(AM581,Mob_Demob!$A$6:$A$14,0))),N(INDEX(Mob_Demob!$D$6:$D$14,MATCH(AM581,Mob_Demob!$A$6:$A$14,0)))*Settings!$B$6)+IF(AP581="Y",N(INDEX(Mob_Demob!$I$6:$I$14,MATCH(AM581,Mob_Demob!$A$6:$A$14,0)))*Settings!$B$19,0)+N(INDEX(Mob_Demob!$L$6:$L$14,MATCH(AM581,Mob_Demob!$A$6:$A$14,0)))*N(INDEX(Mob_Demob!$K$6:$K$14,MATCH(AM581,Mob_Demob!$A$6:$A$14,0)))*Settings!$B$6+N(INDEX(Mob_Demob!$M$6:$M$14,MATCH(AM581,Mob_Demob!$A$6:$A$14,0)))*N(INDEX(Mob_Demob!$N$6:$N$14,MATCH(AM581,Mob_Demob!$A$6:$A$14,0))),0)),"")</f>
        <v/>
      </c>
      <c r="AR581" s="16" t="str">
        <f aca="false">IF(AQ581="","",ROUND(AQ581*Settings!$B$18,0))</f>
        <v/>
      </c>
      <c r="AS581" s="13"/>
      <c r="AT581" s="14" t="s">
        <v>871</v>
      </c>
      <c r="AU581" s="14" t="s">
        <v>838</v>
      </c>
    </row>
    <row r="582" customFormat="false" ht="64.15" hidden="false" customHeight="false" outlineLevel="0" collapsed="false">
      <c r="A582" s="21" t="s">
        <v>3469</v>
      </c>
      <c r="B582" s="21" t="s">
        <v>3400</v>
      </c>
      <c r="C582" s="21" t="s">
        <v>3457</v>
      </c>
      <c r="D582" s="21" t="s">
        <v>3458</v>
      </c>
      <c r="E582" s="22" t="s">
        <v>3470</v>
      </c>
      <c r="F582" s="13" t="s">
        <v>3460</v>
      </c>
      <c r="G582" s="13" t="n">
        <v>30000</v>
      </c>
      <c r="H582" s="13" t="s">
        <v>334</v>
      </c>
      <c r="I582" s="14"/>
      <c r="J582" s="15"/>
      <c r="K582" s="13"/>
      <c r="L582" s="13"/>
      <c r="M582" s="13"/>
      <c r="N582" s="13" t="s">
        <v>184</v>
      </c>
      <c r="O582" s="13" t="s">
        <v>1023</v>
      </c>
      <c r="P582" s="13" t="s">
        <v>3406</v>
      </c>
      <c r="Q582" s="16"/>
      <c r="R582" s="16"/>
      <c r="S582" s="16"/>
      <c r="T582" s="16"/>
      <c r="U582" s="16"/>
      <c r="V582" s="13" t="s">
        <v>187</v>
      </c>
      <c r="W582" s="17"/>
      <c r="X582" s="13"/>
      <c r="Y582" s="13"/>
      <c r="Z582" s="13"/>
      <c r="AA582" s="13" t="s">
        <v>188</v>
      </c>
      <c r="AB582" s="13" t="s">
        <v>3471</v>
      </c>
      <c r="AC582" s="18" t="n">
        <v>81.87</v>
      </c>
      <c r="AD582" s="13" t="s">
        <v>190</v>
      </c>
      <c r="AE582" s="19"/>
      <c r="AF582" s="19"/>
      <c r="AG582" s="19"/>
      <c r="AH582" s="13"/>
      <c r="AI582" s="17" t="str">
        <f aca="false">IF(OR(AC582="",AF582="",Settings!$B$5=""),"",ROUND(AC582-AF582*Settings!$B$5,2))</f>
        <v/>
      </c>
      <c r="AJ582" s="13" t="s">
        <v>192</v>
      </c>
      <c r="AK582" s="13" t="s">
        <v>193</v>
      </c>
      <c r="AL582" s="14" t="s">
        <v>194</v>
      </c>
      <c r="AM582" s="13" t="s">
        <v>484</v>
      </c>
      <c r="AN582" s="15"/>
      <c r="AO582" s="13"/>
      <c r="AP582" s="13" t="s">
        <v>196</v>
      </c>
      <c r="AQ582" s="16" t="str">
        <f aca="false">IFERROR(IF(AND(INDEX(Mob_Demob!$D$6:$D$14,MATCH(AM582,Mob_Demob!$A$6:$A$14,0))="",INDEX(Mob_Demob!$G$6:$G$14,MATCH(AM582,Mob_Demob!$A$6:$A$14,0))=""),"",ROUND(MAX(N(INDEX(Mob_Demob!$G$6:$G$14,MATCH(AM582,Mob_Demob!$A$6:$A$14,0))),N(INDEX(Mob_Demob!$D$6:$D$14,MATCH(AM582,Mob_Demob!$A$6:$A$14,0)))*Settings!$B$6)+IF(AP582="Y",N(INDEX(Mob_Demob!$I$6:$I$14,MATCH(AM582,Mob_Demob!$A$6:$A$14,0)))*Settings!$B$19,0)+N(INDEX(Mob_Demob!$L$6:$L$14,MATCH(AM582,Mob_Demob!$A$6:$A$14,0)))*N(INDEX(Mob_Demob!$K$6:$K$14,MATCH(AM582,Mob_Demob!$A$6:$A$14,0)))*Settings!$B$6+N(INDEX(Mob_Demob!$M$6:$M$14,MATCH(AM582,Mob_Demob!$A$6:$A$14,0)))*N(INDEX(Mob_Demob!$N$6:$N$14,MATCH(AM582,Mob_Demob!$A$6:$A$14,0))),0)),"")</f>
        <v/>
      </c>
      <c r="AR582" s="16" t="str">
        <f aca="false">IF(AQ582="","",ROUND(AQ582*Settings!$B$18,0))</f>
        <v/>
      </c>
      <c r="AS582" s="13"/>
      <c r="AT582" s="14" t="s">
        <v>871</v>
      </c>
      <c r="AU582" s="14" t="s">
        <v>838</v>
      </c>
    </row>
    <row r="583" customFormat="false" ht="64.15" hidden="false" customHeight="false" outlineLevel="0" collapsed="false">
      <c r="A583" s="21" t="s">
        <v>3472</v>
      </c>
      <c r="B583" s="21" t="s">
        <v>3400</v>
      </c>
      <c r="C583" s="21" t="s">
        <v>3457</v>
      </c>
      <c r="D583" s="21" t="s">
        <v>3458</v>
      </c>
      <c r="E583" s="22" t="s">
        <v>3473</v>
      </c>
      <c r="F583" s="13" t="s">
        <v>3460</v>
      </c>
      <c r="G583" s="13" t="n">
        <v>45000</v>
      </c>
      <c r="H583" s="13" t="s">
        <v>334</v>
      </c>
      <c r="I583" s="14"/>
      <c r="J583" s="15"/>
      <c r="K583" s="13"/>
      <c r="L583" s="13"/>
      <c r="M583" s="13"/>
      <c r="N583" s="13" t="s">
        <v>184</v>
      </c>
      <c r="O583" s="13" t="s">
        <v>1023</v>
      </c>
      <c r="P583" s="13" t="s">
        <v>3406</v>
      </c>
      <c r="Q583" s="16"/>
      <c r="R583" s="16"/>
      <c r="S583" s="16"/>
      <c r="T583" s="16"/>
      <c r="U583" s="16"/>
      <c r="V583" s="13" t="s">
        <v>187</v>
      </c>
      <c r="W583" s="17"/>
      <c r="X583" s="13"/>
      <c r="Y583" s="13"/>
      <c r="Z583" s="13"/>
      <c r="AA583" s="13" t="s">
        <v>188</v>
      </c>
      <c r="AB583" s="13" t="s">
        <v>3474</v>
      </c>
      <c r="AC583" s="18" t="n">
        <v>88.03</v>
      </c>
      <c r="AD583" s="13" t="s">
        <v>190</v>
      </c>
      <c r="AE583" s="19"/>
      <c r="AF583" s="19"/>
      <c r="AG583" s="19"/>
      <c r="AH583" s="13"/>
      <c r="AI583" s="17" t="str">
        <f aca="false">IF(OR(AC583="",AF583="",Settings!$B$5=""),"",ROUND(AC583-AF583*Settings!$B$5,2))</f>
        <v/>
      </c>
      <c r="AJ583" s="13" t="s">
        <v>192</v>
      </c>
      <c r="AK583" s="13" t="s">
        <v>193</v>
      </c>
      <c r="AL583" s="14" t="s">
        <v>194</v>
      </c>
      <c r="AM583" s="13" t="s">
        <v>484</v>
      </c>
      <c r="AN583" s="15"/>
      <c r="AO583" s="13"/>
      <c r="AP583" s="13" t="s">
        <v>196</v>
      </c>
      <c r="AQ583" s="16" t="str">
        <f aca="false">IFERROR(IF(AND(INDEX(Mob_Demob!$D$6:$D$14,MATCH(AM583,Mob_Demob!$A$6:$A$14,0))="",INDEX(Mob_Demob!$G$6:$G$14,MATCH(AM583,Mob_Demob!$A$6:$A$14,0))=""),"",ROUND(MAX(N(INDEX(Mob_Demob!$G$6:$G$14,MATCH(AM583,Mob_Demob!$A$6:$A$14,0))),N(INDEX(Mob_Demob!$D$6:$D$14,MATCH(AM583,Mob_Demob!$A$6:$A$14,0)))*Settings!$B$6)+IF(AP583="Y",N(INDEX(Mob_Demob!$I$6:$I$14,MATCH(AM583,Mob_Demob!$A$6:$A$14,0)))*Settings!$B$19,0)+N(INDEX(Mob_Demob!$L$6:$L$14,MATCH(AM583,Mob_Demob!$A$6:$A$14,0)))*N(INDEX(Mob_Demob!$K$6:$K$14,MATCH(AM583,Mob_Demob!$A$6:$A$14,0)))*Settings!$B$6+N(INDEX(Mob_Demob!$M$6:$M$14,MATCH(AM583,Mob_Demob!$A$6:$A$14,0)))*N(INDEX(Mob_Demob!$N$6:$N$14,MATCH(AM583,Mob_Demob!$A$6:$A$14,0))),0)),"")</f>
        <v/>
      </c>
      <c r="AR583" s="16" t="str">
        <f aca="false">IF(AQ583="","",ROUND(AQ583*Settings!$B$18,0))</f>
        <v/>
      </c>
      <c r="AS583" s="13"/>
      <c r="AT583" s="14" t="s">
        <v>871</v>
      </c>
      <c r="AU583" s="14" t="s">
        <v>838</v>
      </c>
    </row>
    <row r="584" customFormat="false" ht="64.15" hidden="false" customHeight="false" outlineLevel="0" collapsed="false">
      <c r="A584" s="21" t="s">
        <v>3475</v>
      </c>
      <c r="B584" s="21" t="s">
        <v>3400</v>
      </c>
      <c r="C584" s="21" t="s">
        <v>3476</v>
      </c>
      <c r="D584" s="21" t="s">
        <v>3402</v>
      </c>
      <c r="E584" s="22" t="s">
        <v>3477</v>
      </c>
      <c r="F584" s="13" t="s">
        <v>3460</v>
      </c>
      <c r="G584" s="13" t="s">
        <v>3478</v>
      </c>
      <c r="H584" s="13" t="s">
        <v>334</v>
      </c>
      <c r="I584" s="14" t="s">
        <v>3479</v>
      </c>
      <c r="J584" s="15"/>
      <c r="K584" s="13"/>
      <c r="L584" s="13"/>
      <c r="M584" s="13"/>
      <c r="N584" s="13" t="s">
        <v>184</v>
      </c>
      <c r="O584" s="13" t="s">
        <v>1023</v>
      </c>
      <c r="P584" s="13" t="s">
        <v>3406</v>
      </c>
      <c r="Q584" s="16"/>
      <c r="R584" s="16"/>
      <c r="S584" s="16"/>
      <c r="T584" s="16"/>
      <c r="U584" s="16"/>
      <c r="V584" s="13" t="s">
        <v>187</v>
      </c>
      <c r="W584" s="17"/>
      <c r="X584" s="13"/>
      <c r="Y584" s="13"/>
      <c r="Z584" s="13"/>
      <c r="AA584" s="13" t="s">
        <v>188</v>
      </c>
      <c r="AB584" s="13" t="s">
        <v>3480</v>
      </c>
      <c r="AC584" s="18" t="n">
        <v>75.13</v>
      </c>
      <c r="AD584" s="13" t="s">
        <v>190</v>
      </c>
      <c r="AE584" s="19"/>
      <c r="AF584" s="19"/>
      <c r="AG584" s="19"/>
      <c r="AH584" s="13"/>
      <c r="AI584" s="17" t="str">
        <f aca="false">IF(OR(AC584="",AF584="",Settings!$B$5=""),"",ROUND(AC584-AF584*Settings!$B$5,2))</f>
        <v/>
      </c>
      <c r="AJ584" s="13" t="s">
        <v>192</v>
      </c>
      <c r="AK584" s="13" t="s">
        <v>193</v>
      </c>
      <c r="AL584" s="14" t="s">
        <v>194</v>
      </c>
      <c r="AM584" s="13" t="s">
        <v>484</v>
      </c>
      <c r="AN584" s="15"/>
      <c r="AO584" s="13"/>
      <c r="AP584" s="13" t="s">
        <v>196</v>
      </c>
      <c r="AQ584" s="16" t="str">
        <f aca="false">IFERROR(IF(AND(INDEX(Mob_Demob!$D$6:$D$14,MATCH(AM584,Mob_Demob!$A$6:$A$14,0))="",INDEX(Mob_Demob!$G$6:$G$14,MATCH(AM584,Mob_Demob!$A$6:$A$14,0))=""),"",ROUND(MAX(N(INDEX(Mob_Demob!$G$6:$G$14,MATCH(AM584,Mob_Demob!$A$6:$A$14,0))),N(INDEX(Mob_Demob!$D$6:$D$14,MATCH(AM584,Mob_Demob!$A$6:$A$14,0)))*Settings!$B$6)+IF(AP584="Y",N(INDEX(Mob_Demob!$I$6:$I$14,MATCH(AM584,Mob_Demob!$A$6:$A$14,0)))*Settings!$B$19,0)+N(INDEX(Mob_Demob!$L$6:$L$14,MATCH(AM584,Mob_Demob!$A$6:$A$14,0)))*N(INDEX(Mob_Demob!$K$6:$K$14,MATCH(AM584,Mob_Demob!$A$6:$A$14,0)))*Settings!$B$6+N(INDEX(Mob_Demob!$M$6:$M$14,MATCH(AM584,Mob_Demob!$A$6:$A$14,0)))*N(INDEX(Mob_Demob!$N$6:$N$14,MATCH(AM584,Mob_Demob!$A$6:$A$14,0))),0)),"")</f>
        <v/>
      </c>
      <c r="AR584" s="16" t="str">
        <f aca="false">IF(AQ584="","",ROUND(AQ584*Settings!$B$18,0))</f>
        <v/>
      </c>
      <c r="AS584" s="13" t="s">
        <v>3481</v>
      </c>
      <c r="AT584" s="14" t="s">
        <v>871</v>
      </c>
      <c r="AU584" s="14" t="s">
        <v>838</v>
      </c>
    </row>
    <row r="585" customFormat="false" ht="64.15" hidden="false" customHeight="false" outlineLevel="0" collapsed="false">
      <c r="A585" s="21" t="s">
        <v>3482</v>
      </c>
      <c r="B585" s="21" t="s">
        <v>3400</v>
      </c>
      <c r="C585" s="21" t="s">
        <v>3476</v>
      </c>
      <c r="D585" s="21" t="s">
        <v>3483</v>
      </c>
      <c r="E585" s="22" t="s">
        <v>3484</v>
      </c>
      <c r="F585" s="13" t="s">
        <v>3460</v>
      </c>
      <c r="G585" s="13" t="s">
        <v>3485</v>
      </c>
      <c r="H585" s="13" t="s">
        <v>334</v>
      </c>
      <c r="I585" s="14" t="s">
        <v>3479</v>
      </c>
      <c r="J585" s="15"/>
      <c r="K585" s="13"/>
      <c r="L585" s="13"/>
      <c r="M585" s="13"/>
      <c r="N585" s="13" t="s">
        <v>184</v>
      </c>
      <c r="O585" s="13" t="s">
        <v>1023</v>
      </c>
      <c r="P585" s="13" t="s">
        <v>3406</v>
      </c>
      <c r="Q585" s="16"/>
      <c r="R585" s="16"/>
      <c r="S585" s="16"/>
      <c r="T585" s="16"/>
      <c r="U585" s="16"/>
      <c r="V585" s="13" t="s">
        <v>187</v>
      </c>
      <c r="W585" s="17"/>
      <c r="X585" s="13"/>
      <c r="Y585" s="13"/>
      <c r="Z585" s="13"/>
      <c r="AA585" s="13" t="s">
        <v>188</v>
      </c>
      <c r="AB585" s="13" t="s">
        <v>3486</v>
      </c>
      <c r="AC585" s="18" t="n">
        <v>91.1</v>
      </c>
      <c r="AD585" s="13" t="s">
        <v>190</v>
      </c>
      <c r="AE585" s="19"/>
      <c r="AF585" s="19"/>
      <c r="AG585" s="19"/>
      <c r="AH585" s="13"/>
      <c r="AI585" s="17" t="str">
        <f aca="false">IF(OR(AC585="",AF585="",Settings!$B$5=""),"",ROUND(AC585-AF585*Settings!$B$5,2))</f>
        <v/>
      </c>
      <c r="AJ585" s="13" t="s">
        <v>192</v>
      </c>
      <c r="AK585" s="13" t="s">
        <v>193</v>
      </c>
      <c r="AL585" s="14" t="s">
        <v>194</v>
      </c>
      <c r="AM585" s="13" t="s">
        <v>484</v>
      </c>
      <c r="AN585" s="15"/>
      <c r="AO585" s="13"/>
      <c r="AP585" s="13" t="s">
        <v>196</v>
      </c>
      <c r="AQ585" s="16" t="str">
        <f aca="false">IFERROR(IF(AND(INDEX(Mob_Demob!$D$6:$D$14,MATCH(AM585,Mob_Demob!$A$6:$A$14,0))="",INDEX(Mob_Demob!$G$6:$G$14,MATCH(AM585,Mob_Demob!$A$6:$A$14,0))=""),"",ROUND(MAX(N(INDEX(Mob_Demob!$G$6:$G$14,MATCH(AM585,Mob_Demob!$A$6:$A$14,0))),N(INDEX(Mob_Demob!$D$6:$D$14,MATCH(AM585,Mob_Demob!$A$6:$A$14,0)))*Settings!$B$6)+IF(AP585="Y",N(INDEX(Mob_Demob!$I$6:$I$14,MATCH(AM585,Mob_Demob!$A$6:$A$14,0)))*Settings!$B$19,0)+N(INDEX(Mob_Demob!$L$6:$L$14,MATCH(AM585,Mob_Demob!$A$6:$A$14,0)))*N(INDEX(Mob_Demob!$K$6:$K$14,MATCH(AM585,Mob_Demob!$A$6:$A$14,0)))*Settings!$B$6+N(INDEX(Mob_Demob!$M$6:$M$14,MATCH(AM585,Mob_Demob!$A$6:$A$14,0)))*N(INDEX(Mob_Demob!$N$6:$N$14,MATCH(AM585,Mob_Demob!$A$6:$A$14,0))),0)),"")</f>
        <v/>
      </c>
      <c r="AR585" s="16" t="str">
        <f aca="false">IF(AQ585="","",ROUND(AQ585*Settings!$B$18,0))</f>
        <v/>
      </c>
      <c r="AS585" s="13" t="s">
        <v>3481</v>
      </c>
      <c r="AT585" s="14" t="s">
        <v>871</v>
      </c>
      <c r="AU585" s="14" t="s">
        <v>838</v>
      </c>
    </row>
    <row r="586" customFormat="false" ht="64.15" hidden="false" customHeight="false" outlineLevel="0" collapsed="false">
      <c r="A586" s="21" t="s">
        <v>3487</v>
      </c>
      <c r="B586" s="21" t="s">
        <v>3400</v>
      </c>
      <c r="C586" s="21" t="s">
        <v>3488</v>
      </c>
      <c r="D586" s="21" t="s">
        <v>3489</v>
      </c>
      <c r="E586" s="22" t="s">
        <v>3488</v>
      </c>
      <c r="F586" s="13" t="s">
        <v>1461</v>
      </c>
      <c r="G586" s="13" t="s">
        <v>3490</v>
      </c>
      <c r="H586" s="13"/>
      <c r="I586" s="14"/>
      <c r="J586" s="15"/>
      <c r="K586" s="13"/>
      <c r="L586" s="13"/>
      <c r="M586" s="13"/>
      <c r="N586" s="13" t="s">
        <v>184</v>
      </c>
      <c r="O586" s="13" t="s">
        <v>1023</v>
      </c>
      <c r="P586" s="13" t="s">
        <v>3406</v>
      </c>
      <c r="Q586" s="16"/>
      <c r="R586" s="16"/>
      <c r="S586" s="16"/>
      <c r="T586" s="16"/>
      <c r="U586" s="16"/>
      <c r="V586" s="13" t="s">
        <v>187</v>
      </c>
      <c r="W586" s="17"/>
      <c r="X586" s="13"/>
      <c r="Y586" s="13"/>
      <c r="Z586" s="13"/>
      <c r="AA586" s="13" t="s">
        <v>188</v>
      </c>
      <c r="AB586" s="13" t="s">
        <v>3490</v>
      </c>
      <c r="AC586" s="17"/>
      <c r="AD586" s="13"/>
      <c r="AE586" s="19"/>
      <c r="AF586" s="19"/>
      <c r="AG586" s="19"/>
      <c r="AH586" s="13"/>
      <c r="AI586" s="17"/>
      <c r="AJ586" s="13" t="s">
        <v>188</v>
      </c>
      <c r="AK586" s="13" t="s">
        <v>188</v>
      </c>
      <c r="AL586" s="14" t="s">
        <v>194</v>
      </c>
      <c r="AM586" s="13" t="s">
        <v>484</v>
      </c>
      <c r="AN586" s="15"/>
      <c r="AO586" s="13"/>
      <c r="AP586" s="13" t="s">
        <v>196</v>
      </c>
      <c r="AQ586" s="16" t="str">
        <f aca="false">IFERROR(IF(AND(INDEX(Mob_Demob!$D$6:$D$14,MATCH(AM586,Mob_Demob!$A$6:$A$14,0))="",INDEX(Mob_Demob!$G$6:$G$14,MATCH(AM586,Mob_Demob!$A$6:$A$14,0))=""),"",ROUND(MAX(N(INDEX(Mob_Demob!$G$6:$G$14,MATCH(AM586,Mob_Demob!$A$6:$A$14,0))),N(INDEX(Mob_Demob!$D$6:$D$14,MATCH(AM586,Mob_Demob!$A$6:$A$14,0)))*Settings!$B$6)+IF(AP586="Y",N(INDEX(Mob_Demob!$I$6:$I$14,MATCH(AM586,Mob_Demob!$A$6:$A$14,0)))*Settings!$B$19,0)+N(INDEX(Mob_Demob!$L$6:$L$14,MATCH(AM586,Mob_Demob!$A$6:$A$14,0)))*N(INDEX(Mob_Demob!$K$6:$K$14,MATCH(AM586,Mob_Demob!$A$6:$A$14,0)))*Settings!$B$6+N(INDEX(Mob_Demob!$M$6:$M$14,MATCH(AM586,Mob_Demob!$A$6:$A$14,0)))*N(INDEX(Mob_Demob!$N$6:$N$14,MATCH(AM586,Mob_Demob!$A$6:$A$14,0))),0)),"")</f>
        <v/>
      </c>
      <c r="AR586" s="16" t="str">
        <f aca="false">IF(AQ586="","",ROUND(AQ586*Settings!$B$18,0))</f>
        <v/>
      </c>
      <c r="AS586" s="13"/>
      <c r="AT586" s="14" t="s">
        <v>3491</v>
      </c>
      <c r="AU586" s="14" t="s">
        <v>1381</v>
      </c>
    </row>
    <row r="587" customFormat="false" ht="64.15" hidden="false" customHeight="false" outlineLevel="0" collapsed="false">
      <c r="A587" s="21" t="s">
        <v>3492</v>
      </c>
      <c r="B587" s="21" t="s">
        <v>3400</v>
      </c>
      <c r="C587" s="21" t="s">
        <v>3493</v>
      </c>
      <c r="D587" s="21" t="s">
        <v>3489</v>
      </c>
      <c r="E587" s="22" t="s">
        <v>3493</v>
      </c>
      <c r="F587" s="13" t="s">
        <v>1461</v>
      </c>
      <c r="G587" s="13" t="s">
        <v>3494</v>
      </c>
      <c r="H587" s="13"/>
      <c r="I587" s="14"/>
      <c r="J587" s="15"/>
      <c r="K587" s="13"/>
      <c r="L587" s="13"/>
      <c r="M587" s="13"/>
      <c r="N587" s="13" t="s">
        <v>184</v>
      </c>
      <c r="O587" s="13" t="s">
        <v>1023</v>
      </c>
      <c r="P587" s="13" t="s">
        <v>3406</v>
      </c>
      <c r="Q587" s="16"/>
      <c r="R587" s="16"/>
      <c r="S587" s="16"/>
      <c r="T587" s="16"/>
      <c r="U587" s="16"/>
      <c r="V587" s="13" t="s">
        <v>187</v>
      </c>
      <c r="W587" s="17"/>
      <c r="X587" s="13"/>
      <c r="Y587" s="13"/>
      <c r="Z587" s="13"/>
      <c r="AA587" s="13" t="s">
        <v>188</v>
      </c>
      <c r="AB587" s="13" t="s">
        <v>3494</v>
      </c>
      <c r="AC587" s="17"/>
      <c r="AD587" s="13"/>
      <c r="AE587" s="19"/>
      <c r="AF587" s="19"/>
      <c r="AG587" s="19"/>
      <c r="AH587" s="13"/>
      <c r="AI587" s="17"/>
      <c r="AJ587" s="13" t="s">
        <v>188</v>
      </c>
      <c r="AK587" s="13" t="s">
        <v>188</v>
      </c>
      <c r="AL587" s="14" t="s">
        <v>194</v>
      </c>
      <c r="AM587" s="13" t="s">
        <v>484</v>
      </c>
      <c r="AN587" s="15"/>
      <c r="AO587" s="13"/>
      <c r="AP587" s="13" t="s">
        <v>196</v>
      </c>
      <c r="AQ587" s="16" t="str">
        <f aca="false">IFERROR(IF(AND(INDEX(Mob_Demob!$D$6:$D$14,MATCH(AM587,Mob_Demob!$A$6:$A$14,0))="",INDEX(Mob_Demob!$G$6:$G$14,MATCH(AM587,Mob_Demob!$A$6:$A$14,0))=""),"",ROUND(MAX(N(INDEX(Mob_Demob!$G$6:$G$14,MATCH(AM587,Mob_Demob!$A$6:$A$14,0))),N(INDEX(Mob_Demob!$D$6:$D$14,MATCH(AM587,Mob_Demob!$A$6:$A$14,0)))*Settings!$B$6)+IF(AP587="Y",N(INDEX(Mob_Demob!$I$6:$I$14,MATCH(AM587,Mob_Demob!$A$6:$A$14,0)))*Settings!$B$19,0)+N(INDEX(Mob_Demob!$L$6:$L$14,MATCH(AM587,Mob_Demob!$A$6:$A$14,0)))*N(INDEX(Mob_Demob!$K$6:$K$14,MATCH(AM587,Mob_Demob!$A$6:$A$14,0)))*Settings!$B$6+N(INDEX(Mob_Demob!$M$6:$M$14,MATCH(AM587,Mob_Demob!$A$6:$A$14,0)))*N(INDEX(Mob_Demob!$N$6:$N$14,MATCH(AM587,Mob_Demob!$A$6:$A$14,0))),0)),"")</f>
        <v/>
      </c>
      <c r="AR587" s="16" t="str">
        <f aca="false">IF(AQ587="","",ROUND(AQ587*Settings!$B$18,0))</f>
        <v/>
      </c>
      <c r="AS587" s="13"/>
      <c r="AT587" s="14" t="s">
        <v>3495</v>
      </c>
      <c r="AU587" s="14" t="s">
        <v>1381</v>
      </c>
    </row>
    <row r="588" customFormat="false" ht="64.15" hidden="false" customHeight="false" outlineLevel="0" collapsed="false">
      <c r="A588" s="21" t="s">
        <v>3496</v>
      </c>
      <c r="B588" s="21" t="s">
        <v>3400</v>
      </c>
      <c r="C588" s="21" t="s">
        <v>3497</v>
      </c>
      <c r="D588" s="21" t="s">
        <v>3489</v>
      </c>
      <c r="E588" s="22" t="s">
        <v>3497</v>
      </c>
      <c r="F588" s="13" t="s">
        <v>1461</v>
      </c>
      <c r="G588" s="13" t="s">
        <v>3498</v>
      </c>
      <c r="H588" s="13"/>
      <c r="I588" s="14"/>
      <c r="J588" s="15"/>
      <c r="K588" s="13"/>
      <c r="L588" s="13"/>
      <c r="M588" s="13"/>
      <c r="N588" s="13" t="s">
        <v>184</v>
      </c>
      <c r="O588" s="13" t="s">
        <v>1023</v>
      </c>
      <c r="P588" s="13" t="s">
        <v>3406</v>
      </c>
      <c r="Q588" s="16"/>
      <c r="R588" s="16"/>
      <c r="S588" s="16"/>
      <c r="T588" s="16"/>
      <c r="U588" s="16"/>
      <c r="V588" s="13" t="s">
        <v>187</v>
      </c>
      <c r="W588" s="17"/>
      <c r="X588" s="13"/>
      <c r="Y588" s="13"/>
      <c r="Z588" s="13"/>
      <c r="AA588" s="13" t="s">
        <v>188</v>
      </c>
      <c r="AB588" s="13" t="s">
        <v>3498</v>
      </c>
      <c r="AC588" s="17"/>
      <c r="AD588" s="13"/>
      <c r="AE588" s="19"/>
      <c r="AF588" s="19"/>
      <c r="AG588" s="19"/>
      <c r="AH588" s="13"/>
      <c r="AI588" s="17"/>
      <c r="AJ588" s="13" t="s">
        <v>188</v>
      </c>
      <c r="AK588" s="13" t="s">
        <v>188</v>
      </c>
      <c r="AL588" s="14" t="s">
        <v>194</v>
      </c>
      <c r="AM588" s="13" t="s">
        <v>484</v>
      </c>
      <c r="AN588" s="15"/>
      <c r="AO588" s="13"/>
      <c r="AP588" s="13" t="s">
        <v>196</v>
      </c>
      <c r="AQ588" s="16" t="str">
        <f aca="false">IFERROR(IF(AND(INDEX(Mob_Demob!$D$6:$D$14,MATCH(AM588,Mob_Demob!$A$6:$A$14,0))="",INDEX(Mob_Demob!$G$6:$G$14,MATCH(AM588,Mob_Demob!$A$6:$A$14,0))=""),"",ROUND(MAX(N(INDEX(Mob_Demob!$G$6:$G$14,MATCH(AM588,Mob_Demob!$A$6:$A$14,0))),N(INDEX(Mob_Demob!$D$6:$D$14,MATCH(AM588,Mob_Demob!$A$6:$A$14,0)))*Settings!$B$6)+IF(AP588="Y",N(INDEX(Mob_Demob!$I$6:$I$14,MATCH(AM588,Mob_Demob!$A$6:$A$14,0)))*Settings!$B$19,0)+N(INDEX(Mob_Demob!$L$6:$L$14,MATCH(AM588,Mob_Demob!$A$6:$A$14,0)))*N(INDEX(Mob_Demob!$K$6:$K$14,MATCH(AM588,Mob_Demob!$A$6:$A$14,0)))*Settings!$B$6+N(INDEX(Mob_Demob!$M$6:$M$14,MATCH(AM588,Mob_Demob!$A$6:$A$14,0)))*N(INDEX(Mob_Demob!$N$6:$N$14,MATCH(AM588,Mob_Demob!$A$6:$A$14,0))),0)),"")</f>
        <v/>
      </c>
      <c r="AR588" s="16" t="str">
        <f aca="false">IF(AQ588="","",ROUND(AQ588*Settings!$B$18,0))</f>
        <v/>
      </c>
      <c r="AS588" s="13"/>
      <c r="AT588" s="14" t="s">
        <v>3499</v>
      </c>
      <c r="AU588" s="14" t="s">
        <v>1381</v>
      </c>
    </row>
    <row r="589" customFormat="false" ht="64.15" hidden="false" customHeight="false" outlineLevel="0" collapsed="false">
      <c r="A589" s="21" t="s">
        <v>3500</v>
      </c>
      <c r="B589" s="21" t="s">
        <v>3400</v>
      </c>
      <c r="C589" s="21" t="s">
        <v>3501</v>
      </c>
      <c r="D589" s="21" t="s">
        <v>3489</v>
      </c>
      <c r="E589" s="22" t="s">
        <v>3501</v>
      </c>
      <c r="F589" s="13" t="s">
        <v>1461</v>
      </c>
      <c r="G589" s="13" t="s">
        <v>3502</v>
      </c>
      <c r="H589" s="13"/>
      <c r="I589" s="14"/>
      <c r="J589" s="15"/>
      <c r="K589" s="13"/>
      <c r="L589" s="13"/>
      <c r="M589" s="13"/>
      <c r="N589" s="13" t="s">
        <v>184</v>
      </c>
      <c r="O589" s="13" t="s">
        <v>1023</v>
      </c>
      <c r="P589" s="13" t="s">
        <v>3406</v>
      </c>
      <c r="Q589" s="16"/>
      <c r="R589" s="16"/>
      <c r="S589" s="16"/>
      <c r="T589" s="16"/>
      <c r="U589" s="16"/>
      <c r="V589" s="13" t="s">
        <v>187</v>
      </c>
      <c r="W589" s="17"/>
      <c r="X589" s="13"/>
      <c r="Y589" s="13"/>
      <c r="Z589" s="13"/>
      <c r="AA589" s="13" t="s">
        <v>188</v>
      </c>
      <c r="AB589" s="13" t="s">
        <v>3502</v>
      </c>
      <c r="AC589" s="17"/>
      <c r="AD589" s="13"/>
      <c r="AE589" s="19"/>
      <c r="AF589" s="19"/>
      <c r="AG589" s="19"/>
      <c r="AH589" s="13"/>
      <c r="AI589" s="17"/>
      <c r="AJ589" s="13" t="s">
        <v>188</v>
      </c>
      <c r="AK589" s="13" t="s">
        <v>188</v>
      </c>
      <c r="AL589" s="14" t="s">
        <v>194</v>
      </c>
      <c r="AM589" s="13" t="s">
        <v>484</v>
      </c>
      <c r="AN589" s="15"/>
      <c r="AO589" s="13"/>
      <c r="AP589" s="13" t="s">
        <v>196</v>
      </c>
      <c r="AQ589" s="16" t="str">
        <f aca="false">IFERROR(IF(AND(INDEX(Mob_Demob!$D$6:$D$14,MATCH(AM589,Mob_Demob!$A$6:$A$14,0))="",INDEX(Mob_Demob!$G$6:$G$14,MATCH(AM589,Mob_Demob!$A$6:$A$14,0))=""),"",ROUND(MAX(N(INDEX(Mob_Demob!$G$6:$G$14,MATCH(AM589,Mob_Demob!$A$6:$A$14,0))),N(INDEX(Mob_Demob!$D$6:$D$14,MATCH(AM589,Mob_Demob!$A$6:$A$14,0)))*Settings!$B$6)+IF(AP589="Y",N(INDEX(Mob_Demob!$I$6:$I$14,MATCH(AM589,Mob_Demob!$A$6:$A$14,0)))*Settings!$B$19,0)+N(INDEX(Mob_Demob!$L$6:$L$14,MATCH(AM589,Mob_Demob!$A$6:$A$14,0)))*N(INDEX(Mob_Demob!$K$6:$K$14,MATCH(AM589,Mob_Demob!$A$6:$A$14,0)))*Settings!$B$6+N(INDEX(Mob_Demob!$M$6:$M$14,MATCH(AM589,Mob_Demob!$A$6:$A$14,0)))*N(INDEX(Mob_Demob!$N$6:$N$14,MATCH(AM589,Mob_Demob!$A$6:$A$14,0))),0)),"")</f>
        <v/>
      </c>
      <c r="AR589" s="16" t="str">
        <f aca="false">IF(AQ589="","",ROUND(AQ589*Settings!$B$18,0))</f>
        <v/>
      </c>
      <c r="AS589" s="13"/>
      <c r="AT589" s="14" t="s">
        <v>3503</v>
      </c>
      <c r="AU589" s="14" t="s">
        <v>1381</v>
      </c>
    </row>
    <row r="590" customFormat="false" ht="64.15" hidden="false" customHeight="false" outlineLevel="0" collapsed="false">
      <c r="A590" s="11" t="s">
        <v>3504</v>
      </c>
      <c r="B590" s="11" t="s">
        <v>3505</v>
      </c>
      <c r="C590" s="11" t="s">
        <v>3506</v>
      </c>
      <c r="D590" s="11" t="s">
        <v>3489</v>
      </c>
      <c r="E590" s="12" t="s">
        <v>3507</v>
      </c>
      <c r="F590" s="13" t="s">
        <v>1461</v>
      </c>
      <c r="G590" s="13" t="s">
        <v>3508</v>
      </c>
      <c r="H590" s="13"/>
      <c r="I590" s="14"/>
      <c r="J590" s="15"/>
      <c r="K590" s="13"/>
      <c r="L590" s="13"/>
      <c r="M590" s="13"/>
      <c r="N590" s="13" t="s">
        <v>184</v>
      </c>
      <c r="O590" s="13" t="s">
        <v>1023</v>
      </c>
      <c r="P590" s="13" t="s">
        <v>3406</v>
      </c>
      <c r="Q590" s="16"/>
      <c r="R590" s="16"/>
      <c r="S590" s="16"/>
      <c r="T590" s="16"/>
      <c r="U590" s="16"/>
      <c r="V590" s="13" t="s">
        <v>187</v>
      </c>
      <c r="W590" s="17"/>
      <c r="X590" s="13"/>
      <c r="Y590" s="13"/>
      <c r="Z590" s="13"/>
      <c r="AA590" s="13" t="s">
        <v>188</v>
      </c>
      <c r="AB590" s="13" t="s">
        <v>3508</v>
      </c>
      <c r="AC590" s="17"/>
      <c r="AD590" s="13"/>
      <c r="AE590" s="19"/>
      <c r="AF590" s="19"/>
      <c r="AG590" s="19"/>
      <c r="AH590" s="13"/>
      <c r="AI590" s="17"/>
      <c r="AJ590" s="13" t="s">
        <v>188</v>
      </c>
      <c r="AK590" s="13" t="s">
        <v>188</v>
      </c>
      <c r="AL590" s="14" t="s">
        <v>194</v>
      </c>
      <c r="AM590" s="13" t="s">
        <v>484</v>
      </c>
      <c r="AN590" s="15"/>
      <c r="AO590" s="13"/>
      <c r="AP590" s="13" t="s">
        <v>196</v>
      </c>
      <c r="AQ590" s="16" t="str">
        <f aca="false">IFERROR(IF(AND(INDEX(Mob_Demob!$D$6:$D$14,MATCH(AM590,Mob_Demob!$A$6:$A$14,0))="",INDEX(Mob_Demob!$G$6:$G$14,MATCH(AM590,Mob_Demob!$A$6:$A$14,0))=""),"",ROUND(MAX(N(INDEX(Mob_Demob!$G$6:$G$14,MATCH(AM590,Mob_Demob!$A$6:$A$14,0))),N(INDEX(Mob_Demob!$D$6:$D$14,MATCH(AM590,Mob_Demob!$A$6:$A$14,0)))*Settings!$B$6)+IF(AP590="Y",N(INDEX(Mob_Demob!$I$6:$I$14,MATCH(AM590,Mob_Demob!$A$6:$A$14,0)))*Settings!$B$19,0)+N(INDEX(Mob_Demob!$L$6:$L$14,MATCH(AM590,Mob_Demob!$A$6:$A$14,0)))*N(INDEX(Mob_Demob!$K$6:$K$14,MATCH(AM590,Mob_Demob!$A$6:$A$14,0)))*Settings!$B$6+N(INDEX(Mob_Demob!$M$6:$M$14,MATCH(AM590,Mob_Demob!$A$6:$A$14,0)))*N(INDEX(Mob_Demob!$N$6:$N$14,MATCH(AM590,Mob_Demob!$A$6:$A$14,0))),0)),"")</f>
        <v/>
      </c>
      <c r="AR590" s="16" t="str">
        <f aca="false">IF(AQ590="","",ROUND(AQ590*Settings!$B$18,0))</f>
        <v/>
      </c>
      <c r="AS590" s="13"/>
      <c r="AT590" s="14" t="s">
        <v>3509</v>
      </c>
      <c r="AU590" s="14" t="s">
        <v>1381</v>
      </c>
    </row>
    <row r="591" customFormat="false" ht="64.15" hidden="false" customHeight="false" outlineLevel="0" collapsed="false">
      <c r="A591" s="11" t="s">
        <v>3510</v>
      </c>
      <c r="B591" s="11" t="s">
        <v>3505</v>
      </c>
      <c r="C591" s="11" t="s">
        <v>3511</v>
      </c>
      <c r="D591" s="11" t="s">
        <v>3489</v>
      </c>
      <c r="E591" s="12" t="s">
        <v>3511</v>
      </c>
      <c r="F591" s="13" t="s">
        <v>1461</v>
      </c>
      <c r="G591" s="13" t="s">
        <v>3512</v>
      </c>
      <c r="H591" s="13"/>
      <c r="I591" s="14"/>
      <c r="J591" s="15"/>
      <c r="K591" s="13"/>
      <c r="L591" s="13"/>
      <c r="M591" s="13"/>
      <c r="N591" s="13" t="s">
        <v>184</v>
      </c>
      <c r="O591" s="13" t="s">
        <v>1023</v>
      </c>
      <c r="P591" s="13" t="s">
        <v>3406</v>
      </c>
      <c r="Q591" s="16"/>
      <c r="R591" s="16"/>
      <c r="S591" s="16"/>
      <c r="T591" s="16"/>
      <c r="U591" s="16"/>
      <c r="V591" s="13" t="s">
        <v>187</v>
      </c>
      <c r="W591" s="17"/>
      <c r="X591" s="13"/>
      <c r="Y591" s="13"/>
      <c r="Z591" s="13"/>
      <c r="AA591" s="13" t="s">
        <v>188</v>
      </c>
      <c r="AB591" s="13" t="s">
        <v>3512</v>
      </c>
      <c r="AC591" s="17"/>
      <c r="AD591" s="13"/>
      <c r="AE591" s="19"/>
      <c r="AF591" s="19"/>
      <c r="AG591" s="19"/>
      <c r="AH591" s="13"/>
      <c r="AI591" s="17"/>
      <c r="AJ591" s="13" t="s">
        <v>188</v>
      </c>
      <c r="AK591" s="13" t="s">
        <v>188</v>
      </c>
      <c r="AL591" s="14" t="s">
        <v>194</v>
      </c>
      <c r="AM591" s="13" t="s">
        <v>484</v>
      </c>
      <c r="AN591" s="15"/>
      <c r="AO591" s="13"/>
      <c r="AP591" s="13" t="s">
        <v>196</v>
      </c>
      <c r="AQ591" s="16" t="str">
        <f aca="false">IFERROR(IF(AND(INDEX(Mob_Demob!$D$6:$D$14,MATCH(AM591,Mob_Demob!$A$6:$A$14,0))="",INDEX(Mob_Demob!$G$6:$G$14,MATCH(AM591,Mob_Demob!$A$6:$A$14,0))=""),"",ROUND(MAX(N(INDEX(Mob_Demob!$G$6:$G$14,MATCH(AM591,Mob_Demob!$A$6:$A$14,0))),N(INDEX(Mob_Demob!$D$6:$D$14,MATCH(AM591,Mob_Demob!$A$6:$A$14,0)))*Settings!$B$6)+IF(AP591="Y",N(INDEX(Mob_Demob!$I$6:$I$14,MATCH(AM591,Mob_Demob!$A$6:$A$14,0)))*Settings!$B$19,0)+N(INDEX(Mob_Demob!$L$6:$L$14,MATCH(AM591,Mob_Demob!$A$6:$A$14,0)))*N(INDEX(Mob_Demob!$K$6:$K$14,MATCH(AM591,Mob_Demob!$A$6:$A$14,0)))*Settings!$B$6+N(INDEX(Mob_Demob!$M$6:$M$14,MATCH(AM591,Mob_Demob!$A$6:$A$14,0)))*N(INDEX(Mob_Demob!$N$6:$N$14,MATCH(AM591,Mob_Demob!$A$6:$A$14,0))),0)),"")</f>
        <v/>
      </c>
      <c r="AR591" s="16" t="str">
        <f aca="false">IF(AQ591="","",ROUND(AQ591*Settings!$B$18,0))</f>
        <v/>
      </c>
      <c r="AS591" s="13"/>
      <c r="AT591" s="14" t="s">
        <v>3513</v>
      </c>
      <c r="AU591" s="14" t="s">
        <v>1381</v>
      </c>
    </row>
    <row r="592" customFormat="false" ht="64.15" hidden="false" customHeight="false" outlineLevel="0" collapsed="false">
      <c r="A592" s="21" t="s">
        <v>3514</v>
      </c>
      <c r="B592" s="21" t="s">
        <v>3400</v>
      </c>
      <c r="C592" s="21" t="s">
        <v>3515</v>
      </c>
      <c r="D592" s="21" t="s">
        <v>3516</v>
      </c>
      <c r="E592" s="22" t="s">
        <v>3517</v>
      </c>
      <c r="F592" s="13" t="s">
        <v>3518</v>
      </c>
      <c r="G592" s="13"/>
      <c r="H592" s="13" t="s">
        <v>3519</v>
      </c>
      <c r="I592" s="14" t="s">
        <v>3520</v>
      </c>
      <c r="J592" s="15"/>
      <c r="K592" s="13"/>
      <c r="L592" s="13"/>
      <c r="M592" s="13"/>
      <c r="N592" s="13" t="s">
        <v>1163</v>
      </c>
      <c r="O592" s="13" t="s">
        <v>1844</v>
      </c>
      <c r="P592" s="13" t="s">
        <v>186</v>
      </c>
      <c r="Q592" s="16"/>
      <c r="R592" s="16"/>
      <c r="S592" s="16"/>
      <c r="T592" s="16"/>
      <c r="U592" s="16"/>
      <c r="V592" s="13" t="s">
        <v>187</v>
      </c>
      <c r="W592" s="17"/>
      <c r="X592" s="13"/>
      <c r="Y592" s="13"/>
      <c r="Z592" s="13"/>
      <c r="AA592" s="13" t="s">
        <v>188</v>
      </c>
      <c r="AB592" s="13" t="s">
        <v>3521</v>
      </c>
      <c r="AC592" s="17"/>
      <c r="AD592" s="13"/>
      <c r="AE592" s="19"/>
      <c r="AF592" s="19"/>
      <c r="AG592" s="19"/>
      <c r="AH592" s="13"/>
      <c r="AI592" s="17"/>
      <c r="AJ592" s="13" t="s">
        <v>188</v>
      </c>
      <c r="AK592" s="13" t="s">
        <v>188</v>
      </c>
      <c r="AL592" s="14" t="s">
        <v>194</v>
      </c>
      <c r="AM592" s="13" t="s">
        <v>1147</v>
      </c>
      <c r="AN592" s="15"/>
      <c r="AO592" s="13"/>
      <c r="AP592" s="13" t="s">
        <v>196</v>
      </c>
      <c r="AQ592" s="16" t="n">
        <f aca="false">IFERROR(IF(AND(INDEX(Mob_Demob!$D$6:$D$14,MATCH(AM592,Mob_Demob!$A$6:$A$14,0))="",INDEX(Mob_Demob!$G$6:$G$14,MATCH(AM592,Mob_Demob!$A$6:$A$14,0))=""),"",ROUND(MAX(N(INDEX(Mob_Demob!$G$6:$G$14,MATCH(AM592,Mob_Demob!$A$6:$A$14,0))),N(INDEX(Mob_Demob!$D$6:$D$14,MATCH(AM592,Mob_Demob!$A$6:$A$14,0)))*Settings!$B$6)+IF(AP592="Y",N(INDEX(Mob_Demob!$I$6:$I$14,MATCH(AM592,Mob_Demob!$A$6:$A$14,0)))*Settings!$B$19,0)+N(INDEX(Mob_Demob!$L$6:$L$14,MATCH(AM592,Mob_Demob!$A$6:$A$14,0)))*N(INDEX(Mob_Demob!$K$6:$K$14,MATCH(AM592,Mob_Demob!$A$6:$A$14,0)))*Settings!$B$6+N(INDEX(Mob_Demob!$M$6:$M$14,MATCH(AM592,Mob_Demob!$A$6:$A$14,0)))*N(INDEX(Mob_Demob!$N$6:$N$14,MATCH(AM592,Mob_Demob!$A$6:$A$14,0))),0)),"")</f>
        <v>200</v>
      </c>
      <c r="AR592" s="16" t="n">
        <f aca="false">IF(AQ592="","",ROUND(AQ592*Settings!$B$18,0))</f>
        <v>200</v>
      </c>
      <c r="AS592" s="13"/>
      <c r="AT592" s="14" t="s">
        <v>3522</v>
      </c>
      <c r="AU592" s="14" t="s">
        <v>1381</v>
      </c>
    </row>
    <row r="593" customFormat="false" ht="64.15" hidden="false" customHeight="false" outlineLevel="0" collapsed="false">
      <c r="A593" s="21" t="s">
        <v>3523</v>
      </c>
      <c r="B593" s="21" t="s">
        <v>3524</v>
      </c>
      <c r="C593" s="21" t="s">
        <v>3525</v>
      </c>
      <c r="D593" s="21" t="s">
        <v>1368</v>
      </c>
      <c r="E593" s="22" t="s">
        <v>3526</v>
      </c>
      <c r="F593" s="13" t="s">
        <v>1461</v>
      </c>
      <c r="G593" s="13" t="s">
        <v>3527</v>
      </c>
      <c r="H593" s="13"/>
      <c r="I593" s="14"/>
      <c r="J593" s="15"/>
      <c r="K593" s="13"/>
      <c r="L593" s="13"/>
      <c r="M593" s="13"/>
      <c r="N593" s="13" t="s">
        <v>851</v>
      </c>
      <c r="O593" s="13" t="s">
        <v>504</v>
      </c>
      <c r="P593" s="13" t="s">
        <v>186</v>
      </c>
      <c r="Q593" s="16"/>
      <c r="R593" s="16"/>
      <c r="S593" s="16"/>
      <c r="T593" s="16"/>
      <c r="U593" s="16"/>
      <c r="V593" s="13" t="s">
        <v>187</v>
      </c>
      <c r="W593" s="17"/>
      <c r="X593" s="13"/>
      <c r="Y593" s="13"/>
      <c r="Z593" s="13"/>
      <c r="AA593" s="13" t="s">
        <v>188</v>
      </c>
      <c r="AB593" s="13" t="s">
        <v>3527</v>
      </c>
      <c r="AC593" s="17"/>
      <c r="AD593" s="13"/>
      <c r="AE593" s="19" t="n">
        <v>0</v>
      </c>
      <c r="AF593" s="19" t="n">
        <v>0</v>
      </c>
      <c r="AG593" s="19" t="n">
        <v>0</v>
      </c>
      <c r="AH593" s="13" t="s">
        <v>506</v>
      </c>
      <c r="AI593" s="17"/>
      <c r="AJ593" s="13" t="s">
        <v>188</v>
      </c>
      <c r="AK593" s="13" t="s">
        <v>188</v>
      </c>
      <c r="AL593" s="14" t="s">
        <v>194</v>
      </c>
      <c r="AM593" s="13" t="s">
        <v>484</v>
      </c>
      <c r="AN593" s="15"/>
      <c r="AO593" s="13"/>
      <c r="AP593" s="13" t="s">
        <v>196</v>
      </c>
      <c r="AQ593" s="16" t="str">
        <f aca="false">IFERROR(IF(AND(INDEX(Mob_Demob!$D$6:$D$14,MATCH(AM593,Mob_Demob!$A$6:$A$14,0))="",INDEX(Mob_Demob!$G$6:$G$14,MATCH(AM593,Mob_Demob!$A$6:$A$14,0))=""),"",ROUND(MAX(N(INDEX(Mob_Demob!$G$6:$G$14,MATCH(AM593,Mob_Demob!$A$6:$A$14,0))),N(INDEX(Mob_Demob!$D$6:$D$14,MATCH(AM593,Mob_Demob!$A$6:$A$14,0)))*Settings!$B$6)+IF(AP593="Y",N(INDEX(Mob_Demob!$I$6:$I$14,MATCH(AM593,Mob_Demob!$A$6:$A$14,0)))*Settings!$B$19,0)+N(INDEX(Mob_Demob!$L$6:$L$14,MATCH(AM593,Mob_Demob!$A$6:$A$14,0)))*N(INDEX(Mob_Demob!$K$6:$K$14,MATCH(AM593,Mob_Demob!$A$6:$A$14,0)))*Settings!$B$6+N(INDEX(Mob_Demob!$M$6:$M$14,MATCH(AM593,Mob_Demob!$A$6:$A$14,0)))*N(INDEX(Mob_Demob!$N$6:$N$14,MATCH(AM593,Mob_Demob!$A$6:$A$14,0))),0)),"")</f>
        <v/>
      </c>
      <c r="AR593" s="16" t="str">
        <f aca="false">IF(AQ593="","",ROUND(AQ593*Settings!$B$18,0))</f>
        <v/>
      </c>
      <c r="AS593" s="13"/>
      <c r="AT593" s="14" t="s">
        <v>3528</v>
      </c>
      <c r="AU593" s="14" t="s">
        <v>509</v>
      </c>
    </row>
    <row r="594" customFormat="false" ht="64.15" hidden="false" customHeight="false" outlineLevel="0" collapsed="false">
      <c r="A594" s="21" t="s">
        <v>3529</v>
      </c>
      <c r="B594" s="21" t="s">
        <v>3524</v>
      </c>
      <c r="C594" s="21" t="s">
        <v>3525</v>
      </c>
      <c r="D594" s="21" t="s">
        <v>1368</v>
      </c>
      <c r="E594" s="22" t="s">
        <v>3530</v>
      </c>
      <c r="F594" s="13" t="s">
        <v>1461</v>
      </c>
      <c r="G594" s="13" t="s">
        <v>3531</v>
      </c>
      <c r="H594" s="13"/>
      <c r="I594" s="14"/>
      <c r="J594" s="15"/>
      <c r="K594" s="13"/>
      <c r="L594" s="13"/>
      <c r="M594" s="13"/>
      <c r="N594" s="13" t="s">
        <v>851</v>
      </c>
      <c r="O594" s="13" t="s">
        <v>504</v>
      </c>
      <c r="P594" s="13" t="s">
        <v>186</v>
      </c>
      <c r="Q594" s="16"/>
      <c r="R594" s="16"/>
      <c r="S594" s="16"/>
      <c r="T594" s="16"/>
      <c r="U594" s="16"/>
      <c r="V594" s="13" t="s">
        <v>187</v>
      </c>
      <c r="W594" s="17"/>
      <c r="X594" s="13"/>
      <c r="Y594" s="13"/>
      <c r="Z594" s="13"/>
      <c r="AA594" s="13" t="s">
        <v>188</v>
      </c>
      <c r="AB594" s="13" t="s">
        <v>3531</v>
      </c>
      <c r="AC594" s="17"/>
      <c r="AD594" s="13"/>
      <c r="AE594" s="19" t="n">
        <v>0</v>
      </c>
      <c r="AF594" s="19" t="n">
        <v>0</v>
      </c>
      <c r="AG594" s="19" t="n">
        <v>0</v>
      </c>
      <c r="AH594" s="13" t="s">
        <v>506</v>
      </c>
      <c r="AI594" s="17"/>
      <c r="AJ594" s="13" t="s">
        <v>188</v>
      </c>
      <c r="AK594" s="13" t="s">
        <v>188</v>
      </c>
      <c r="AL594" s="14" t="s">
        <v>194</v>
      </c>
      <c r="AM594" s="13" t="s">
        <v>484</v>
      </c>
      <c r="AN594" s="15"/>
      <c r="AO594" s="13"/>
      <c r="AP594" s="13" t="s">
        <v>196</v>
      </c>
      <c r="AQ594" s="16" t="str">
        <f aca="false">IFERROR(IF(AND(INDEX(Mob_Demob!$D$6:$D$14,MATCH(AM594,Mob_Demob!$A$6:$A$14,0))="",INDEX(Mob_Demob!$G$6:$G$14,MATCH(AM594,Mob_Demob!$A$6:$A$14,0))=""),"",ROUND(MAX(N(INDEX(Mob_Demob!$G$6:$G$14,MATCH(AM594,Mob_Demob!$A$6:$A$14,0))),N(INDEX(Mob_Demob!$D$6:$D$14,MATCH(AM594,Mob_Demob!$A$6:$A$14,0)))*Settings!$B$6)+IF(AP594="Y",N(INDEX(Mob_Demob!$I$6:$I$14,MATCH(AM594,Mob_Demob!$A$6:$A$14,0)))*Settings!$B$19,0)+N(INDEX(Mob_Demob!$L$6:$L$14,MATCH(AM594,Mob_Demob!$A$6:$A$14,0)))*N(INDEX(Mob_Demob!$K$6:$K$14,MATCH(AM594,Mob_Demob!$A$6:$A$14,0)))*Settings!$B$6+N(INDEX(Mob_Demob!$M$6:$M$14,MATCH(AM594,Mob_Demob!$A$6:$A$14,0)))*N(INDEX(Mob_Demob!$N$6:$N$14,MATCH(AM594,Mob_Demob!$A$6:$A$14,0))),0)),"")</f>
        <v/>
      </c>
      <c r="AR594" s="16" t="str">
        <f aca="false">IF(AQ594="","",ROUND(AQ594*Settings!$B$18,0))</f>
        <v/>
      </c>
      <c r="AS594" s="13"/>
      <c r="AT594" s="14" t="s">
        <v>3532</v>
      </c>
      <c r="AU594" s="14" t="s">
        <v>509</v>
      </c>
    </row>
    <row r="595" customFormat="false" ht="64.15" hidden="false" customHeight="false" outlineLevel="0" collapsed="false">
      <c r="A595" s="21" t="s">
        <v>3533</v>
      </c>
      <c r="B595" s="21" t="s">
        <v>3524</v>
      </c>
      <c r="C595" s="21" t="s">
        <v>3534</v>
      </c>
      <c r="D595" s="21" t="s">
        <v>1368</v>
      </c>
      <c r="E595" s="22" t="s">
        <v>3534</v>
      </c>
      <c r="F595" s="13" t="s">
        <v>1461</v>
      </c>
      <c r="G595" s="13" t="s">
        <v>3535</v>
      </c>
      <c r="H595" s="13"/>
      <c r="I595" s="14"/>
      <c r="J595" s="15"/>
      <c r="K595" s="13"/>
      <c r="L595" s="13"/>
      <c r="M595" s="13"/>
      <c r="N595" s="13" t="s">
        <v>851</v>
      </c>
      <c r="O595" s="13" t="s">
        <v>504</v>
      </c>
      <c r="P595" s="13" t="s">
        <v>186</v>
      </c>
      <c r="Q595" s="16"/>
      <c r="R595" s="16"/>
      <c r="S595" s="16"/>
      <c r="T595" s="16"/>
      <c r="U595" s="16"/>
      <c r="V595" s="13" t="s">
        <v>187</v>
      </c>
      <c r="W595" s="17"/>
      <c r="X595" s="13"/>
      <c r="Y595" s="13"/>
      <c r="Z595" s="13"/>
      <c r="AA595" s="13" t="s">
        <v>188</v>
      </c>
      <c r="AB595" s="13" t="s">
        <v>3535</v>
      </c>
      <c r="AC595" s="17"/>
      <c r="AD595" s="13"/>
      <c r="AE595" s="19" t="n">
        <v>0</v>
      </c>
      <c r="AF595" s="19" t="n">
        <v>0</v>
      </c>
      <c r="AG595" s="19" t="n">
        <v>0</v>
      </c>
      <c r="AH595" s="13" t="s">
        <v>506</v>
      </c>
      <c r="AI595" s="17"/>
      <c r="AJ595" s="13" t="s">
        <v>188</v>
      </c>
      <c r="AK595" s="13" t="s">
        <v>188</v>
      </c>
      <c r="AL595" s="14" t="s">
        <v>194</v>
      </c>
      <c r="AM595" s="13" t="s">
        <v>484</v>
      </c>
      <c r="AN595" s="15"/>
      <c r="AO595" s="13"/>
      <c r="AP595" s="13" t="s">
        <v>196</v>
      </c>
      <c r="AQ595" s="16" t="str">
        <f aca="false">IFERROR(IF(AND(INDEX(Mob_Demob!$D$6:$D$14,MATCH(AM595,Mob_Demob!$A$6:$A$14,0))="",INDEX(Mob_Demob!$G$6:$G$14,MATCH(AM595,Mob_Demob!$A$6:$A$14,0))=""),"",ROUND(MAX(N(INDEX(Mob_Demob!$G$6:$G$14,MATCH(AM595,Mob_Demob!$A$6:$A$14,0))),N(INDEX(Mob_Demob!$D$6:$D$14,MATCH(AM595,Mob_Demob!$A$6:$A$14,0)))*Settings!$B$6)+IF(AP595="Y",N(INDEX(Mob_Demob!$I$6:$I$14,MATCH(AM595,Mob_Demob!$A$6:$A$14,0)))*Settings!$B$19,0)+N(INDEX(Mob_Demob!$L$6:$L$14,MATCH(AM595,Mob_Demob!$A$6:$A$14,0)))*N(INDEX(Mob_Demob!$K$6:$K$14,MATCH(AM595,Mob_Demob!$A$6:$A$14,0)))*Settings!$B$6+N(INDEX(Mob_Demob!$M$6:$M$14,MATCH(AM595,Mob_Demob!$A$6:$A$14,0)))*N(INDEX(Mob_Demob!$N$6:$N$14,MATCH(AM595,Mob_Demob!$A$6:$A$14,0))),0)),"")</f>
        <v/>
      </c>
      <c r="AR595" s="16" t="str">
        <f aca="false">IF(AQ595="","",ROUND(AQ595*Settings!$B$18,0))</f>
        <v/>
      </c>
      <c r="AS595" s="13"/>
      <c r="AT595" s="14" t="s">
        <v>3536</v>
      </c>
      <c r="AU595" s="14" t="s">
        <v>509</v>
      </c>
    </row>
    <row r="596" customFormat="false" ht="64.15" hidden="false" customHeight="false" outlineLevel="0" collapsed="false">
      <c r="A596" s="21" t="s">
        <v>3537</v>
      </c>
      <c r="B596" s="21" t="s">
        <v>3524</v>
      </c>
      <c r="C596" s="21" t="s">
        <v>3538</v>
      </c>
      <c r="D596" s="21" t="s">
        <v>1368</v>
      </c>
      <c r="E596" s="22" t="s">
        <v>3538</v>
      </c>
      <c r="F596" s="13" t="s">
        <v>1461</v>
      </c>
      <c r="G596" s="13" t="s">
        <v>3539</v>
      </c>
      <c r="H596" s="13"/>
      <c r="I596" s="14"/>
      <c r="J596" s="15"/>
      <c r="K596" s="13"/>
      <c r="L596" s="13"/>
      <c r="M596" s="13"/>
      <c r="N596" s="13" t="s">
        <v>851</v>
      </c>
      <c r="O596" s="13" t="s">
        <v>504</v>
      </c>
      <c r="P596" s="13" t="s">
        <v>186</v>
      </c>
      <c r="Q596" s="16"/>
      <c r="R596" s="16"/>
      <c r="S596" s="16"/>
      <c r="T596" s="16"/>
      <c r="U596" s="16"/>
      <c r="V596" s="13" t="s">
        <v>187</v>
      </c>
      <c r="W596" s="17"/>
      <c r="X596" s="13"/>
      <c r="Y596" s="13"/>
      <c r="Z596" s="13"/>
      <c r="AA596" s="13" t="s">
        <v>188</v>
      </c>
      <c r="AB596" s="13" t="s">
        <v>3539</v>
      </c>
      <c r="AC596" s="17"/>
      <c r="AD596" s="13"/>
      <c r="AE596" s="19" t="n">
        <v>0</v>
      </c>
      <c r="AF596" s="19" t="n">
        <v>0</v>
      </c>
      <c r="AG596" s="19" t="n">
        <v>0</v>
      </c>
      <c r="AH596" s="13" t="s">
        <v>506</v>
      </c>
      <c r="AI596" s="17"/>
      <c r="AJ596" s="13" t="s">
        <v>188</v>
      </c>
      <c r="AK596" s="13" t="s">
        <v>188</v>
      </c>
      <c r="AL596" s="14" t="s">
        <v>194</v>
      </c>
      <c r="AM596" s="13" t="s">
        <v>484</v>
      </c>
      <c r="AN596" s="15"/>
      <c r="AO596" s="13"/>
      <c r="AP596" s="13" t="s">
        <v>196</v>
      </c>
      <c r="AQ596" s="16" t="str">
        <f aca="false">IFERROR(IF(AND(INDEX(Mob_Demob!$D$6:$D$14,MATCH(AM596,Mob_Demob!$A$6:$A$14,0))="",INDEX(Mob_Demob!$G$6:$G$14,MATCH(AM596,Mob_Demob!$A$6:$A$14,0))=""),"",ROUND(MAX(N(INDEX(Mob_Demob!$G$6:$G$14,MATCH(AM596,Mob_Demob!$A$6:$A$14,0))),N(INDEX(Mob_Demob!$D$6:$D$14,MATCH(AM596,Mob_Demob!$A$6:$A$14,0)))*Settings!$B$6)+IF(AP596="Y",N(INDEX(Mob_Demob!$I$6:$I$14,MATCH(AM596,Mob_Demob!$A$6:$A$14,0)))*Settings!$B$19,0)+N(INDEX(Mob_Demob!$L$6:$L$14,MATCH(AM596,Mob_Demob!$A$6:$A$14,0)))*N(INDEX(Mob_Demob!$K$6:$K$14,MATCH(AM596,Mob_Demob!$A$6:$A$14,0)))*Settings!$B$6+N(INDEX(Mob_Demob!$M$6:$M$14,MATCH(AM596,Mob_Demob!$A$6:$A$14,0)))*N(INDEX(Mob_Demob!$N$6:$N$14,MATCH(AM596,Mob_Demob!$A$6:$A$14,0))),0)),"")</f>
        <v/>
      </c>
      <c r="AR596" s="16" t="str">
        <f aca="false">IF(AQ596="","",ROUND(AQ596*Settings!$B$18,0))</f>
        <v/>
      </c>
      <c r="AS596" s="13"/>
      <c r="AT596" s="14" t="s">
        <v>3540</v>
      </c>
      <c r="AU596" s="14" t="s">
        <v>509</v>
      </c>
    </row>
    <row r="597" customFormat="false" ht="64.15" hidden="false" customHeight="false" outlineLevel="0" collapsed="false">
      <c r="A597" s="21" t="s">
        <v>3541</v>
      </c>
      <c r="B597" s="21" t="s">
        <v>3524</v>
      </c>
      <c r="C597" s="21" t="s">
        <v>3542</v>
      </c>
      <c r="D597" s="21" t="s">
        <v>1368</v>
      </c>
      <c r="E597" s="22" t="s">
        <v>3543</v>
      </c>
      <c r="F597" s="13" t="s">
        <v>1461</v>
      </c>
      <c r="G597" s="13" t="s">
        <v>3544</v>
      </c>
      <c r="H597" s="13"/>
      <c r="I597" s="14"/>
      <c r="J597" s="15"/>
      <c r="K597" s="13"/>
      <c r="L597" s="13"/>
      <c r="M597" s="13"/>
      <c r="N597" s="13" t="s">
        <v>851</v>
      </c>
      <c r="O597" s="13" t="s">
        <v>504</v>
      </c>
      <c r="P597" s="13" t="s">
        <v>186</v>
      </c>
      <c r="Q597" s="16"/>
      <c r="R597" s="16"/>
      <c r="S597" s="16"/>
      <c r="T597" s="16"/>
      <c r="U597" s="16"/>
      <c r="V597" s="13" t="s">
        <v>187</v>
      </c>
      <c r="W597" s="17"/>
      <c r="X597" s="13"/>
      <c r="Y597" s="13"/>
      <c r="Z597" s="13"/>
      <c r="AA597" s="13" t="s">
        <v>188</v>
      </c>
      <c r="AB597" s="13" t="s">
        <v>3544</v>
      </c>
      <c r="AC597" s="17"/>
      <c r="AD597" s="13"/>
      <c r="AE597" s="19" t="n">
        <v>0</v>
      </c>
      <c r="AF597" s="19" t="n">
        <v>0</v>
      </c>
      <c r="AG597" s="19" t="n">
        <v>0</v>
      </c>
      <c r="AH597" s="13" t="s">
        <v>506</v>
      </c>
      <c r="AI597" s="17"/>
      <c r="AJ597" s="13" t="s">
        <v>188</v>
      </c>
      <c r="AK597" s="13" t="s">
        <v>188</v>
      </c>
      <c r="AL597" s="14" t="s">
        <v>194</v>
      </c>
      <c r="AM597" s="13" t="s">
        <v>484</v>
      </c>
      <c r="AN597" s="15"/>
      <c r="AO597" s="13"/>
      <c r="AP597" s="13" t="s">
        <v>196</v>
      </c>
      <c r="AQ597" s="16" t="str">
        <f aca="false">IFERROR(IF(AND(INDEX(Mob_Demob!$D$6:$D$14,MATCH(AM597,Mob_Demob!$A$6:$A$14,0))="",INDEX(Mob_Demob!$G$6:$G$14,MATCH(AM597,Mob_Demob!$A$6:$A$14,0))=""),"",ROUND(MAX(N(INDEX(Mob_Demob!$G$6:$G$14,MATCH(AM597,Mob_Demob!$A$6:$A$14,0))),N(INDEX(Mob_Demob!$D$6:$D$14,MATCH(AM597,Mob_Demob!$A$6:$A$14,0)))*Settings!$B$6)+IF(AP597="Y",N(INDEX(Mob_Demob!$I$6:$I$14,MATCH(AM597,Mob_Demob!$A$6:$A$14,0)))*Settings!$B$19,0)+N(INDEX(Mob_Demob!$L$6:$L$14,MATCH(AM597,Mob_Demob!$A$6:$A$14,0)))*N(INDEX(Mob_Demob!$K$6:$K$14,MATCH(AM597,Mob_Demob!$A$6:$A$14,0)))*Settings!$B$6+N(INDEX(Mob_Demob!$M$6:$M$14,MATCH(AM597,Mob_Demob!$A$6:$A$14,0)))*N(INDEX(Mob_Demob!$N$6:$N$14,MATCH(AM597,Mob_Demob!$A$6:$A$14,0))),0)),"")</f>
        <v/>
      </c>
      <c r="AR597" s="16" t="str">
        <f aca="false">IF(AQ597="","",ROUND(AQ597*Settings!$B$18,0))</f>
        <v/>
      </c>
      <c r="AS597" s="13"/>
      <c r="AT597" s="14" t="s">
        <v>3545</v>
      </c>
      <c r="AU597" s="14" t="s">
        <v>509</v>
      </c>
    </row>
    <row r="598" customFormat="false" ht="64.15" hidden="false" customHeight="false" outlineLevel="0" collapsed="false">
      <c r="A598" s="21" t="s">
        <v>3546</v>
      </c>
      <c r="B598" s="21" t="s">
        <v>3524</v>
      </c>
      <c r="C598" s="21" t="s">
        <v>3547</v>
      </c>
      <c r="D598" s="21" t="s">
        <v>1368</v>
      </c>
      <c r="E598" s="22" t="s">
        <v>3547</v>
      </c>
      <c r="F598" s="13" t="s">
        <v>1461</v>
      </c>
      <c r="G598" s="13" t="s">
        <v>3548</v>
      </c>
      <c r="H598" s="13"/>
      <c r="I598" s="14"/>
      <c r="J598" s="15"/>
      <c r="K598" s="13"/>
      <c r="L598" s="13"/>
      <c r="M598" s="13"/>
      <c r="N598" s="13" t="s">
        <v>851</v>
      </c>
      <c r="O598" s="13" t="s">
        <v>504</v>
      </c>
      <c r="P598" s="13" t="s">
        <v>186</v>
      </c>
      <c r="Q598" s="16"/>
      <c r="R598" s="16"/>
      <c r="S598" s="16"/>
      <c r="T598" s="16"/>
      <c r="U598" s="16"/>
      <c r="V598" s="13" t="s">
        <v>187</v>
      </c>
      <c r="W598" s="17"/>
      <c r="X598" s="13"/>
      <c r="Y598" s="13"/>
      <c r="Z598" s="13"/>
      <c r="AA598" s="13" t="s">
        <v>188</v>
      </c>
      <c r="AB598" s="13" t="s">
        <v>3548</v>
      </c>
      <c r="AC598" s="17"/>
      <c r="AD598" s="13"/>
      <c r="AE598" s="19" t="n">
        <v>0</v>
      </c>
      <c r="AF598" s="19" t="n">
        <v>0</v>
      </c>
      <c r="AG598" s="19" t="n">
        <v>0</v>
      </c>
      <c r="AH598" s="13" t="s">
        <v>506</v>
      </c>
      <c r="AI598" s="17"/>
      <c r="AJ598" s="13" t="s">
        <v>188</v>
      </c>
      <c r="AK598" s="13" t="s">
        <v>188</v>
      </c>
      <c r="AL598" s="14" t="s">
        <v>194</v>
      </c>
      <c r="AM598" s="13" t="s">
        <v>484</v>
      </c>
      <c r="AN598" s="15"/>
      <c r="AO598" s="13"/>
      <c r="AP598" s="13" t="s">
        <v>196</v>
      </c>
      <c r="AQ598" s="16" t="str">
        <f aca="false">IFERROR(IF(AND(INDEX(Mob_Demob!$D$6:$D$14,MATCH(AM598,Mob_Demob!$A$6:$A$14,0))="",INDEX(Mob_Demob!$G$6:$G$14,MATCH(AM598,Mob_Demob!$A$6:$A$14,0))=""),"",ROUND(MAX(N(INDEX(Mob_Demob!$G$6:$G$14,MATCH(AM598,Mob_Demob!$A$6:$A$14,0))),N(INDEX(Mob_Demob!$D$6:$D$14,MATCH(AM598,Mob_Demob!$A$6:$A$14,0)))*Settings!$B$6)+IF(AP598="Y",N(INDEX(Mob_Demob!$I$6:$I$14,MATCH(AM598,Mob_Demob!$A$6:$A$14,0)))*Settings!$B$19,0)+N(INDEX(Mob_Demob!$L$6:$L$14,MATCH(AM598,Mob_Demob!$A$6:$A$14,0)))*N(INDEX(Mob_Demob!$K$6:$K$14,MATCH(AM598,Mob_Demob!$A$6:$A$14,0)))*Settings!$B$6+N(INDEX(Mob_Demob!$M$6:$M$14,MATCH(AM598,Mob_Demob!$A$6:$A$14,0)))*N(INDEX(Mob_Demob!$N$6:$N$14,MATCH(AM598,Mob_Demob!$A$6:$A$14,0))),0)),"")</f>
        <v/>
      </c>
      <c r="AR598" s="16" t="str">
        <f aca="false">IF(AQ598="","",ROUND(AQ598*Settings!$B$18,0))</f>
        <v/>
      </c>
      <c r="AS598" s="13"/>
      <c r="AT598" s="14" t="s">
        <v>3549</v>
      </c>
      <c r="AU598" s="14" t="s">
        <v>509</v>
      </c>
    </row>
    <row r="599" customFormat="false" ht="64.15" hidden="false" customHeight="false" outlineLevel="0" collapsed="false">
      <c r="A599" s="21" t="s">
        <v>3550</v>
      </c>
      <c r="B599" s="21" t="s">
        <v>3524</v>
      </c>
      <c r="C599" s="21" t="s">
        <v>3551</v>
      </c>
      <c r="D599" s="21" t="s">
        <v>1368</v>
      </c>
      <c r="E599" s="22" t="s">
        <v>3551</v>
      </c>
      <c r="F599" s="13" t="s">
        <v>1461</v>
      </c>
      <c r="G599" s="13" t="s">
        <v>3552</v>
      </c>
      <c r="H599" s="13"/>
      <c r="I599" s="14"/>
      <c r="J599" s="15"/>
      <c r="K599" s="13"/>
      <c r="L599" s="13"/>
      <c r="M599" s="13"/>
      <c r="N599" s="13" t="s">
        <v>851</v>
      </c>
      <c r="O599" s="13" t="s">
        <v>504</v>
      </c>
      <c r="P599" s="13" t="s">
        <v>186</v>
      </c>
      <c r="Q599" s="16"/>
      <c r="R599" s="16"/>
      <c r="S599" s="16"/>
      <c r="T599" s="16"/>
      <c r="U599" s="16"/>
      <c r="V599" s="13" t="s">
        <v>187</v>
      </c>
      <c r="W599" s="17"/>
      <c r="X599" s="13"/>
      <c r="Y599" s="13"/>
      <c r="Z599" s="13"/>
      <c r="AA599" s="13" t="s">
        <v>188</v>
      </c>
      <c r="AB599" s="13" t="s">
        <v>3552</v>
      </c>
      <c r="AC599" s="17"/>
      <c r="AD599" s="13"/>
      <c r="AE599" s="19" t="n">
        <v>0</v>
      </c>
      <c r="AF599" s="19" t="n">
        <v>0</v>
      </c>
      <c r="AG599" s="19" t="n">
        <v>0</v>
      </c>
      <c r="AH599" s="13" t="s">
        <v>506</v>
      </c>
      <c r="AI599" s="17"/>
      <c r="AJ599" s="13" t="s">
        <v>188</v>
      </c>
      <c r="AK599" s="13" t="s">
        <v>188</v>
      </c>
      <c r="AL599" s="14" t="s">
        <v>194</v>
      </c>
      <c r="AM599" s="13" t="s">
        <v>484</v>
      </c>
      <c r="AN599" s="15"/>
      <c r="AO599" s="13"/>
      <c r="AP599" s="13" t="s">
        <v>196</v>
      </c>
      <c r="AQ599" s="16" t="str">
        <f aca="false">IFERROR(IF(AND(INDEX(Mob_Demob!$D$6:$D$14,MATCH(AM599,Mob_Demob!$A$6:$A$14,0))="",INDEX(Mob_Demob!$G$6:$G$14,MATCH(AM599,Mob_Demob!$A$6:$A$14,0))=""),"",ROUND(MAX(N(INDEX(Mob_Demob!$G$6:$G$14,MATCH(AM599,Mob_Demob!$A$6:$A$14,0))),N(INDEX(Mob_Demob!$D$6:$D$14,MATCH(AM599,Mob_Demob!$A$6:$A$14,0)))*Settings!$B$6)+IF(AP599="Y",N(INDEX(Mob_Demob!$I$6:$I$14,MATCH(AM599,Mob_Demob!$A$6:$A$14,0)))*Settings!$B$19,0)+N(INDEX(Mob_Demob!$L$6:$L$14,MATCH(AM599,Mob_Demob!$A$6:$A$14,0)))*N(INDEX(Mob_Demob!$K$6:$K$14,MATCH(AM599,Mob_Demob!$A$6:$A$14,0)))*Settings!$B$6+N(INDEX(Mob_Demob!$M$6:$M$14,MATCH(AM599,Mob_Demob!$A$6:$A$14,0)))*N(INDEX(Mob_Demob!$N$6:$N$14,MATCH(AM599,Mob_Demob!$A$6:$A$14,0))),0)),"")</f>
        <v/>
      </c>
      <c r="AR599" s="16" t="str">
        <f aca="false">IF(AQ599="","",ROUND(AQ599*Settings!$B$18,0))</f>
        <v/>
      </c>
      <c r="AS599" s="13"/>
      <c r="AT599" s="14" t="s">
        <v>3553</v>
      </c>
      <c r="AU599" s="14" t="s">
        <v>509</v>
      </c>
    </row>
    <row r="600" customFormat="false" ht="64.15" hidden="false" customHeight="false" outlineLevel="0" collapsed="false">
      <c r="A600" s="21" t="s">
        <v>3554</v>
      </c>
      <c r="B600" s="21" t="s">
        <v>3524</v>
      </c>
      <c r="C600" s="21" t="s">
        <v>3555</v>
      </c>
      <c r="D600" s="21" t="s">
        <v>1368</v>
      </c>
      <c r="E600" s="22" t="s">
        <v>3556</v>
      </c>
      <c r="F600" s="13" t="s">
        <v>1461</v>
      </c>
      <c r="G600" s="13" t="s">
        <v>3557</v>
      </c>
      <c r="H600" s="13"/>
      <c r="I600" s="14"/>
      <c r="J600" s="15"/>
      <c r="K600" s="13"/>
      <c r="L600" s="13"/>
      <c r="M600" s="13"/>
      <c r="N600" s="13" t="s">
        <v>851</v>
      </c>
      <c r="O600" s="13" t="s">
        <v>504</v>
      </c>
      <c r="P600" s="13" t="s">
        <v>186</v>
      </c>
      <c r="Q600" s="16"/>
      <c r="R600" s="16"/>
      <c r="S600" s="16"/>
      <c r="T600" s="16"/>
      <c r="U600" s="16"/>
      <c r="V600" s="13" t="s">
        <v>187</v>
      </c>
      <c r="W600" s="17"/>
      <c r="X600" s="13"/>
      <c r="Y600" s="13"/>
      <c r="Z600" s="13"/>
      <c r="AA600" s="13" t="s">
        <v>188</v>
      </c>
      <c r="AB600" s="13" t="s">
        <v>3557</v>
      </c>
      <c r="AC600" s="17"/>
      <c r="AD600" s="13"/>
      <c r="AE600" s="19" t="n">
        <v>0</v>
      </c>
      <c r="AF600" s="19" t="n">
        <v>0</v>
      </c>
      <c r="AG600" s="19" t="n">
        <v>0</v>
      </c>
      <c r="AH600" s="13" t="s">
        <v>506</v>
      </c>
      <c r="AI600" s="17"/>
      <c r="AJ600" s="13" t="s">
        <v>188</v>
      </c>
      <c r="AK600" s="13" t="s">
        <v>188</v>
      </c>
      <c r="AL600" s="14" t="s">
        <v>194</v>
      </c>
      <c r="AM600" s="13" t="s">
        <v>484</v>
      </c>
      <c r="AN600" s="15"/>
      <c r="AO600" s="13"/>
      <c r="AP600" s="13" t="s">
        <v>196</v>
      </c>
      <c r="AQ600" s="16" t="str">
        <f aca="false">IFERROR(IF(AND(INDEX(Mob_Demob!$D$6:$D$14,MATCH(AM600,Mob_Demob!$A$6:$A$14,0))="",INDEX(Mob_Demob!$G$6:$G$14,MATCH(AM600,Mob_Demob!$A$6:$A$14,0))=""),"",ROUND(MAX(N(INDEX(Mob_Demob!$G$6:$G$14,MATCH(AM600,Mob_Demob!$A$6:$A$14,0))),N(INDEX(Mob_Demob!$D$6:$D$14,MATCH(AM600,Mob_Demob!$A$6:$A$14,0)))*Settings!$B$6)+IF(AP600="Y",N(INDEX(Mob_Demob!$I$6:$I$14,MATCH(AM600,Mob_Demob!$A$6:$A$14,0)))*Settings!$B$19,0)+N(INDEX(Mob_Demob!$L$6:$L$14,MATCH(AM600,Mob_Demob!$A$6:$A$14,0)))*N(INDEX(Mob_Demob!$K$6:$K$14,MATCH(AM600,Mob_Demob!$A$6:$A$14,0)))*Settings!$B$6+N(INDEX(Mob_Demob!$M$6:$M$14,MATCH(AM600,Mob_Demob!$A$6:$A$14,0)))*N(INDEX(Mob_Demob!$N$6:$N$14,MATCH(AM600,Mob_Demob!$A$6:$A$14,0))),0)),"")</f>
        <v/>
      </c>
      <c r="AR600" s="16" t="str">
        <f aca="false">IF(AQ600="","",ROUND(AQ600*Settings!$B$18,0))</f>
        <v/>
      </c>
      <c r="AS600" s="13"/>
      <c r="AT600" s="14" t="s">
        <v>3558</v>
      </c>
      <c r="AU600" s="14" t="s">
        <v>509</v>
      </c>
    </row>
    <row r="601" customFormat="false" ht="22.35" hidden="false" customHeight="false" outlineLevel="0" collapsed="false">
      <c r="A601" s="11" t="s">
        <v>3559</v>
      </c>
      <c r="B601" s="11" t="s">
        <v>3560</v>
      </c>
      <c r="C601" s="11" t="s">
        <v>3561</v>
      </c>
      <c r="D601" s="11" t="s">
        <v>3562</v>
      </c>
      <c r="E601" s="12" t="s">
        <v>3563</v>
      </c>
      <c r="F601" s="13" t="s">
        <v>1549</v>
      </c>
      <c r="G601" s="13" t="s">
        <v>2674</v>
      </c>
      <c r="H601" s="13" t="s">
        <v>462</v>
      </c>
      <c r="I601" s="14"/>
      <c r="J601" s="15"/>
      <c r="K601" s="13"/>
      <c r="L601" s="13"/>
      <c r="M601" s="13"/>
      <c r="N601" s="13" t="s">
        <v>3564</v>
      </c>
      <c r="O601" s="13" t="s">
        <v>504</v>
      </c>
      <c r="P601" s="13" t="s">
        <v>2451</v>
      </c>
      <c r="Q601" s="16"/>
      <c r="R601" s="16"/>
      <c r="S601" s="20" t="n">
        <v>350</v>
      </c>
      <c r="T601" s="20" t="n">
        <v>200</v>
      </c>
      <c r="U601" s="20" t="n">
        <v>500</v>
      </c>
      <c r="V601" s="13" t="s">
        <v>187</v>
      </c>
      <c r="W601" s="17"/>
      <c r="X601" s="13"/>
      <c r="Y601" s="13" t="s">
        <v>3565</v>
      </c>
      <c r="Z601" s="13" t="s">
        <v>3566</v>
      </c>
      <c r="AA601" s="13" t="s">
        <v>192</v>
      </c>
      <c r="AB601" s="13"/>
      <c r="AC601" s="17"/>
      <c r="AD601" s="13"/>
      <c r="AE601" s="19" t="n">
        <v>0</v>
      </c>
      <c r="AF601" s="19" t="n">
        <v>0</v>
      </c>
      <c r="AG601" s="19" t="n">
        <v>0</v>
      </c>
      <c r="AH601" s="13" t="s">
        <v>506</v>
      </c>
      <c r="AI601" s="17"/>
      <c r="AJ601" s="13" t="s">
        <v>188</v>
      </c>
      <c r="AK601" s="13" t="s">
        <v>188</v>
      </c>
      <c r="AL601" s="14" t="s">
        <v>3567</v>
      </c>
      <c r="AM601" s="13" t="s">
        <v>1155</v>
      </c>
      <c r="AN601" s="15"/>
      <c r="AO601" s="13"/>
      <c r="AP601" s="13" t="s">
        <v>196</v>
      </c>
      <c r="AQ601" s="16" t="n">
        <f aca="false">IFERROR(IF(AND(INDEX(Mob_Demob!$D$6:$D$14,MATCH(AM601,Mob_Demob!$A$6:$A$14,0))="",INDEX(Mob_Demob!$G$6:$G$14,MATCH(AM601,Mob_Demob!$A$6:$A$14,0))=""),"",ROUND(MAX(N(INDEX(Mob_Demob!$G$6:$G$14,MATCH(AM601,Mob_Demob!$A$6:$A$14,0))),N(INDEX(Mob_Demob!$D$6:$D$14,MATCH(AM601,Mob_Demob!$A$6:$A$14,0)))*Settings!$B$6)+IF(AP601="Y",N(INDEX(Mob_Demob!$I$6:$I$14,MATCH(AM601,Mob_Demob!$A$6:$A$14,0)))*Settings!$B$19,0)+N(INDEX(Mob_Demob!$L$6:$L$14,MATCH(AM601,Mob_Demob!$A$6:$A$14,0)))*N(INDEX(Mob_Demob!$K$6:$K$14,MATCH(AM601,Mob_Demob!$A$6:$A$14,0)))*Settings!$B$6+N(INDEX(Mob_Demob!$M$6:$M$14,MATCH(AM601,Mob_Demob!$A$6:$A$14,0)))*N(INDEX(Mob_Demob!$N$6:$N$14,MATCH(AM601,Mob_Demob!$A$6:$A$14,0))),0)),"")</f>
        <v>200</v>
      </c>
      <c r="AR601" s="16" t="n">
        <f aca="false">IF(AQ601="","",ROUND(AQ601*Settings!$B$18,0))</f>
        <v>200</v>
      </c>
      <c r="AS601" s="13" t="s">
        <v>3568</v>
      </c>
      <c r="AT601" s="14" t="s">
        <v>3569</v>
      </c>
      <c r="AU601" s="14" t="s">
        <v>341</v>
      </c>
    </row>
    <row r="602" customFormat="false" ht="22.35" hidden="false" customHeight="false" outlineLevel="0" collapsed="false">
      <c r="A602" s="11" t="s">
        <v>3570</v>
      </c>
      <c r="B602" s="11" t="s">
        <v>3560</v>
      </c>
      <c r="C602" s="11" t="s">
        <v>3561</v>
      </c>
      <c r="D602" s="11" t="s">
        <v>3562</v>
      </c>
      <c r="E602" s="12" t="s">
        <v>3571</v>
      </c>
      <c r="F602" s="13" t="s">
        <v>1549</v>
      </c>
      <c r="G602" s="13" t="s">
        <v>3572</v>
      </c>
      <c r="H602" s="13" t="s">
        <v>462</v>
      </c>
      <c r="I602" s="14"/>
      <c r="J602" s="15"/>
      <c r="K602" s="13"/>
      <c r="L602" s="13"/>
      <c r="M602" s="13"/>
      <c r="N602" s="13" t="s">
        <v>3564</v>
      </c>
      <c r="O602" s="13" t="s">
        <v>504</v>
      </c>
      <c r="P602" s="13" t="s">
        <v>2451</v>
      </c>
      <c r="Q602" s="16"/>
      <c r="R602" s="16"/>
      <c r="S602" s="20" t="n">
        <v>500</v>
      </c>
      <c r="T602" s="20" t="n">
        <v>300</v>
      </c>
      <c r="U602" s="20" t="n">
        <v>700</v>
      </c>
      <c r="V602" s="13" t="s">
        <v>187</v>
      </c>
      <c r="W602" s="17"/>
      <c r="X602" s="13"/>
      <c r="Y602" s="13" t="s">
        <v>3565</v>
      </c>
      <c r="Z602" s="13" t="s">
        <v>3566</v>
      </c>
      <c r="AA602" s="13" t="s">
        <v>192</v>
      </c>
      <c r="AB602" s="13"/>
      <c r="AC602" s="17"/>
      <c r="AD602" s="13"/>
      <c r="AE602" s="19" t="n">
        <v>0</v>
      </c>
      <c r="AF602" s="19" t="n">
        <v>0</v>
      </c>
      <c r="AG602" s="19" t="n">
        <v>0</v>
      </c>
      <c r="AH602" s="13" t="s">
        <v>506</v>
      </c>
      <c r="AI602" s="17"/>
      <c r="AJ602" s="13" t="s">
        <v>188</v>
      </c>
      <c r="AK602" s="13" t="s">
        <v>188</v>
      </c>
      <c r="AL602" s="14" t="s">
        <v>3567</v>
      </c>
      <c r="AM602" s="13" t="s">
        <v>1155</v>
      </c>
      <c r="AN602" s="15"/>
      <c r="AO602" s="13"/>
      <c r="AP602" s="13" t="s">
        <v>196</v>
      </c>
      <c r="AQ602" s="16" t="n">
        <f aca="false">IFERROR(IF(AND(INDEX(Mob_Demob!$D$6:$D$14,MATCH(AM602,Mob_Demob!$A$6:$A$14,0))="",INDEX(Mob_Demob!$G$6:$G$14,MATCH(AM602,Mob_Demob!$A$6:$A$14,0))=""),"",ROUND(MAX(N(INDEX(Mob_Demob!$G$6:$G$14,MATCH(AM602,Mob_Demob!$A$6:$A$14,0))),N(INDEX(Mob_Demob!$D$6:$D$14,MATCH(AM602,Mob_Demob!$A$6:$A$14,0)))*Settings!$B$6)+IF(AP602="Y",N(INDEX(Mob_Demob!$I$6:$I$14,MATCH(AM602,Mob_Demob!$A$6:$A$14,0)))*Settings!$B$19,0)+N(INDEX(Mob_Demob!$L$6:$L$14,MATCH(AM602,Mob_Demob!$A$6:$A$14,0)))*N(INDEX(Mob_Demob!$K$6:$K$14,MATCH(AM602,Mob_Demob!$A$6:$A$14,0)))*Settings!$B$6+N(INDEX(Mob_Demob!$M$6:$M$14,MATCH(AM602,Mob_Demob!$A$6:$A$14,0)))*N(INDEX(Mob_Demob!$N$6:$N$14,MATCH(AM602,Mob_Demob!$A$6:$A$14,0))),0)),"")</f>
        <v>200</v>
      </c>
      <c r="AR602" s="16" t="n">
        <f aca="false">IF(AQ602="","",ROUND(AQ602*Settings!$B$18,0))</f>
        <v>200</v>
      </c>
      <c r="AS602" s="13" t="s">
        <v>3568</v>
      </c>
      <c r="AT602" s="14" t="s">
        <v>3573</v>
      </c>
      <c r="AU602" s="14" t="s">
        <v>341</v>
      </c>
    </row>
    <row r="603" customFormat="false" ht="22.35" hidden="false" customHeight="false" outlineLevel="0" collapsed="false">
      <c r="A603" s="11" t="s">
        <v>3574</v>
      </c>
      <c r="B603" s="11" t="s">
        <v>3560</v>
      </c>
      <c r="C603" s="11" t="s">
        <v>3561</v>
      </c>
      <c r="D603" s="11" t="s">
        <v>3575</v>
      </c>
      <c r="E603" s="12" t="s">
        <v>3576</v>
      </c>
      <c r="F603" s="13" t="s">
        <v>1549</v>
      </c>
      <c r="G603" s="13" t="s">
        <v>3577</v>
      </c>
      <c r="H603" s="13" t="s">
        <v>462</v>
      </c>
      <c r="I603" s="14"/>
      <c r="J603" s="15"/>
      <c r="K603" s="13"/>
      <c r="L603" s="13"/>
      <c r="M603" s="13"/>
      <c r="N603" s="13" t="s">
        <v>3564</v>
      </c>
      <c r="O603" s="13" t="s">
        <v>504</v>
      </c>
      <c r="P603" s="13" t="s">
        <v>2451</v>
      </c>
      <c r="Q603" s="16"/>
      <c r="R603" s="16"/>
      <c r="S603" s="20" t="n">
        <v>675</v>
      </c>
      <c r="T603" s="20" t="n">
        <v>450</v>
      </c>
      <c r="U603" s="20" t="n">
        <v>900</v>
      </c>
      <c r="V603" s="13" t="s">
        <v>187</v>
      </c>
      <c r="W603" s="17"/>
      <c r="X603" s="13"/>
      <c r="Y603" s="13" t="s">
        <v>3565</v>
      </c>
      <c r="Z603" s="13" t="s">
        <v>3566</v>
      </c>
      <c r="AA603" s="13" t="s">
        <v>192</v>
      </c>
      <c r="AB603" s="13"/>
      <c r="AC603" s="17"/>
      <c r="AD603" s="13"/>
      <c r="AE603" s="19" t="n">
        <v>0</v>
      </c>
      <c r="AF603" s="19" t="n">
        <v>0</v>
      </c>
      <c r="AG603" s="19" t="n">
        <v>0</v>
      </c>
      <c r="AH603" s="13" t="s">
        <v>506</v>
      </c>
      <c r="AI603" s="17"/>
      <c r="AJ603" s="13" t="s">
        <v>188</v>
      </c>
      <c r="AK603" s="13" t="s">
        <v>188</v>
      </c>
      <c r="AL603" s="14" t="s">
        <v>3567</v>
      </c>
      <c r="AM603" s="13" t="s">
        <v>1155</v>
      </c>
      <c r="AN603" s="15"/>
      <c r="AO603" s="13"/>
      <c r="AP603" s="13" t="s">
        <v>196</v>
      </c>
      <c r="AQ603" s="16" t="n">
        <f aca="false">IFERROR(IF(AND(INDEX(Mob_Demob!$D$6:$D$14,MATCH(AM603,Mob_Demob!$A$6:$A$14,0))="",INDEX(Mob_Demob!$G$6:$G$14,MATCH(AM603,Mob_Demob!$A$6:$A$14,0))=""),"",ROUND(MAX(N(INDEX(Mob_Demob!$G$6:$G$14,MATCH(AM603,Mob_Demob!$A$6:$A$14,0))),N(INDEX(Mob_Demob!$D$6:$D$14,MATCH(AM603,Mob_Demob!$A$6:$A$14,0)))*Settings!$B$6)+IF(AP603="Y",N(INDEX(Mob_Demob!$I$6:$I$14,MATCH(AM603,Mob_Demob!$A$6:$A$14,0)))*Settings!$B$19,0)+N(INDEX(Mob_Demob!$L$6:$L$14,MATCH(AM603,Mob_Demob!$A$6:$A$14,0)))*N(INDEX(Mob_Demob!$K$6:$K$14,MATCH(AM603,Mob_Demob!$A$6:$A$14,0)))*Settings!$B$6+N(INDEX(Mob_Demob!$M$6:$M$14,MATCH(AM603,Mob_Demob!$A$6:$A$14,0)))*N(INDEX(Mob_Demob!$N$6:$N$14,MATCH(AM603,Mob_Demob!$A$6:$A$14,0))),0)),"")</f>
        <v>200</v>
      </c>
      <c r="AR603" s="16" t="n">
        <f aca="false">IF(AQ603="","",ROUND(AQ603*Settings!$B$18,0))</f>
        <v>200</v>
      </c>
      <c r="AS603" s="13" t="s">
        <v>3568</v>
      </c>
      <c r="AT603" s="14" t="s">
        <v>3578</v>
      </c>
      <c r="AU603" s="14" t="s">
        <v>341</v>
      </c>
    </row>
    <row r="604" customFormat="false" ht="22.35" hidden="false" customHeight="false" outlineLevel="0" collapsed="false">
      <c r="A604" s="11" t="s">
        <v>3579</v>
      </c>
      <c r="B604" s="11" t="s">
        <v>3560</v>
      </c>
      <c r="C604" s="11" t="s">
        <v>3561</v>
      </c>
      <c r="D604" s="11" t="s">
        <v>3580</v>
      </c>
      <c r="E604" s="12" t="s">
        <v>3581</v>
      </c>
      <c r="F604" s="13" t="s">
        <v>1549</v>
      </c>
      <c r="G604" s="13" t="s">
        <v>3582</v>
      </c>
      <c r="H604" s="13" t="s">
        <v>462</v>
      </c>
      <c r="I604" s="14"/>
      <c r="J604" s="15"/>
      <c r="K604" s="13"/>
      <c r="L604" s="13"/>
      <c r="M604" s="13"/>
      <c r="N604" s="13" t="s">
        <v>3564</v>
      </c>
      <c r="O604" s="13" t="s">
        <v>504</v>
      </c>
      <c r="P604" s="13" t="s">
        <v>2451</v>
      </c>
      <c r="Q604" s="16"/>
      <c r="R604" s="16"/>
      <c r="S604" s="20" t="n">
        <v>1300</v>
      </c>
      <c r="T604" s="20" t="n">
        <v>800</v>
      </c>
      <c r="U604" s="20" t="n">
        <v>1800</v>
      </c>
      <c r="V604" s="13" t="s">
        <v>187</v>
      </c>
      <c r="W604" s="17"/>
      <c r="X604" s="13"/>
      <c r="Y604" s="13" t="s">
        <v>3565</v>
      </c>
      <c r="Z604" s="13" t="s">
        <v>3566</v>
      </c>
      <c r="AA604" s="13" t="s">
        <v>192</v>
      </c>
      <c r="AB604" s="13"/>
      <c r="AC604" s="17"/>
      <c r="AD604" s="13"/>
      <c r="AE604" s="19" t="n">
        <v>0</v>
      </c>
      <c r="AF604" s="19" t="n">
        <v>0</v>
      </c>
      <c r="AG604" s="19" t="n">
        <v>0</v>
      </c>
      <c r="AH604" s="13" t="s">
        <v>506</v>
      </c>
      <c r="AI604" s="17"/>
      <c r="AJ604" s="13" t="s">
        <v>188</v>
      </c>
      <c r="AK604" s="13" t="s">
        <v>188</v>
      </c>
      <c r="AL604" s="14" t="s">
        <v>3567</v>
      </c>
      <c r="AM604" s="13" t="s">
        <v>1155</v>
      </c>
      <c r="AN604" s="15"/>
      <c r="AO604" s="13"/>
      <c r="AP604" s="13" t="s">
        <v>196</v>
      </c>
      <c r="AQ604" s="16" t="n">
        <f aca="false">IFERROR(IF(AND(INDEX(Mob_Demob!$D$6:$D$14,MATCH(AM604,Mob_Demob!$A$6:$A$14,0))="",INDEX(Mob_Demob!$G$6:$G$14,MATCH(AM604,Mob_Demob!$A$6:$A$14,0))=""),"",ROUND(MAX(N(INDEX(Mob_Demob!$G$6:$G$14,MATCH(AM604,Mob_Demob!$A$6:$A$14,0))),N(INDEX(Mob_Demob!$D$6:$D$14,MATCH(AM604,Mob_Demob!$A$6:$A$14,0)))*Settings!$B$6)+IF(AP604="Y",N(INDEX(Mob_Demob!$I$6:$I$14,MATCH(AM604,Mob_Demob!$A$6:$A$14,0)))*Settings!$B$19,0)+N(INDEX(Mob_Demob!$L$6:$L$14,MATCH(AM604,Mob_Demob!$A$6:$A$14,0)))*N(INDEX(Mob_Demob!$K$6:$K$14,MATCH(AM604,Mob_Demob!$A$6:$A$14,0)))*Settings!$B$6+N(INDEX(Mob_Demob!$M$6:$M$14,MATCH(AM604,Mob_Demob!$A$6:$A$14,0)))*N(INDEX(Mob_Demob!$N$6:$N$14,MATCH(AM604,Mob_Demob!$A$6:$A$14,0))),0)),"")</f>
        <v>200</v>
      </c>
      <c r="AR604" s="16" t="n">
        <f aca="false">IF(AQ604="","",ROUND(AQ604*Settings!$B$18,0))</f>
        <v>200</v>
      </c>
      <c r="AS604" s="13" t="s">
        <v>3568</v>
      </c>
      <c r="AT604" s="14" t="s">
        <v>3583</v>
      </c>
      <c r="AU604" s="14" t="s">
        <v>341</v>
      </c>
    </row>
    <row r="605" customFormat="false" ht="22.35" hidden="false" customHeight="false" outlineLevel="0" collapsed="false">
      <c r="A605" s="11" t="s">
        <v>3584</v>
      </c>
      <c r="B605" s="11" t="s">
        <v>3560</v>
      </c>
      <c r="C605" s="11" t="s">
        <v>3585</v>
      </c>
      <c r="D605" s="11" t="s">
        <v>3586</v>
      </c>
      <c r="E605" s="12" t="s">
        <v>3587</v>
      </c>
      <c r="F605" s="13" t="s">
        <v>1461</v>
      </c>
      <c r="G605" s="13" t="s">
        <v>3588</v>
      </c>
      <c r="H605" s="13"/>
      <c r="I605" s="14"/>
      <c r="J605" s="15"/>
      <c r="K605" s="13"/>
      <c r="L605" s="13"/>
      <c r="M605" s="13"/>
      <c r="N605" s="13" t="s">
        <v>1154</v>
      </c>
      <c r="O605" s="13" t="s">
        <v>504</v>
      </c>
      <c r="P605" s="13" t="s">
        <v>186</v>
      </c>
      <c r="Q605" s="16"/>
      <c r="R605" s="16"/>
      <c r="S605" s="16"/>
      <c r="T605" s="16"/>
      <c r="U605" s="16"/>
      <c r="V605" s="13" t="s">
        <v>187</v>
      </c>
      <c r="W605" s="17"/>
      <c r="X605" s="13"/>
      <c r="Y605" s="13"/>
      <c r="Z605" s="13"/>
      <c r="AA605" s="13" t="s">
        <v>188</v>
      </c>
      <c r="AB605" s="13" t="s">
        <v>3588</v>
      </c>
      <c r="AC605" s="17"/>
      <c r="AD605" s="13"/>
      <c r="AE605" s="19" t="n">
        <v>0</v>
      </c>
      <c r="AF605" s="19" t="n">
        <v>0</v>
      </c>
      <c r="AG605" s="19" t="n">
        <v>0</v>
      </c>
      <c r="AH605" s="13" t="s">
        <v>506</v>
      </c>
      <c r="AI605" s="17"/>
      <c r="AJ605" s="13" t="s">
        <v>188</v>
      </c>
      <c r="AK605" s="13" t="s">
        <v>188</v>
      </c>
      <c r="AL605" s="14"/>
      <c r="AM605" s="13" t="s">
        <v>1155</v>
      </c>
      <c r="AN605" s="15"/>
      <c r="AO605" s="13"/>
      <c r="AP605" s="13" t="s">
        <v>196</v>
      </c>
      <c r="AQ605" s="16" t="n">
        <f aca="false">IFERROR(IF(AND(INDEX(Mob_Demob!$D$6:$D$14,MATCH(AM605,Mob_Demob!$A$6:$A$14,0))="",INDEX(Mob_Demob!$G$6:$G$14,MATCH(AM605,Mob_Demob!$A$6:$A$14,0))=""),"",ROUND(MAX(N(INDEX(Mob_Demob!$G$6:$G$14,MATCH(AM605,Mob_Demob!$A$6:$A$14,0))),N(INDEX(Mob_Demob!$D$6:$D$14,MATCH(AM605,Mob_Demob!$A$6:$A$14,0)))*Settings!$B$6)+IF(AP605="Y",N(INDEX(Mob_Demob!$I$6:$I$14,MATCH(AM605,Mob_Demob!$A$6:$A$14,0)))*Settings!$B$19,0)+N(INDEX(Mob_Demob!$L$6:$L$14,MATCH(AM605,Mob_Demob!$A$6:$A$14,0)))*N(INDEX(Mob_Demob!$K$6:$K$14,MATCH(AM605,Mob_Demob!$A$6:$A$14,0)))*Settings!$B$6+N(INDEX(Mob_Demob!$M$6:$M$14,MATCH(AM605,Mob_Demob!$A$6:$A$14,0)))*N(INDEX(Mob_Demob!$N$6:$N$14,MATCH(AM605,Mob_Demob!$A$6:$A$14,0))),0)),"")</f>
        <v>200</v>
      </c>
      <c r="AR605" s="16" t="n">
        <f aca="false">IF(AQ605="","",ROUND(AQ605*Settings!$B$18,0))</f>
        <v>200</v>
      </c>
      <c r="AS605" s="13" t="s">
        <v>3568</v>
      </c>
      <c r="AT605" s="14" t="s">
        <v>3589</v>
      </c>
      <c r="AU605" s="14" t="s">
        <v>509</v>
      </c>
    </row>
    <row r="606" customFormat="false" ht="22.35" hidden="false" customHeight="false" outlineLevel="0" collapsed="false">
      <c r="A606" s="11" t="s">
        <v>3590</v>
      </c>
      <c r="B606" s="11" t="s">
        <v>3560</v>
      </c>
      <c r="C606" s="11" t="s">
        <v>3585</v>
      </c>
      <c r="D606" s="11" t="s">
        <v>3586</v>
      </c>
      <c r="E606" s="12" t="s">
        <v>3591</v>
      </c>
      <c r="F606" s="13" t="s">
        <v>1461</v>
      </c>
      <c r="G606" s="13" t="s">
        <v>3592</v>
      </c>
      <c r="H606" s="13"/>
      <c r="I606" s="14"/>
      <c r="J606" s="15"/>
      <c r="K606" s="13"/>
      <c r="L606" s="13"/>
      <c r="M606" s="13"/>
      <c r="N606" s="13" t="s">
        <v>1154</v>
      </c>
      <c r="O606" s="13" t="s">
        <v>504</v>
      </c>
      <c r="P606" s="13" t="s">
        <v>186</v>
      </c>
      <c r="Q606" s="16"/>
      <c r="R606" s="16"/>
      <c r="S606" s="16"/>
      <c r="T606" s="16"/>
      <c r="U606" s="16"/>
      <c r="V606" s="13" t="s">
        <v>187</v>
      </c>
      <c r="W606" s="17"/>
      <c r="X606" s="13"/>
      <c r="Y606" s="13"/>
      <c r="Z606" s="13"/>
      <c r="AA606" s="13" t="s">
        <v>188</v>
      </c>
      <c r="AB606" s="13" t="s">
        <v>3592</v>
      </c>
      <c r="AC606" s="17"/>
      <c r="AD606" s="13"/>
      <c r="AE606" s="19" t="n">
        <v>0</v>
      </c>
      <c r="AF606" s="19" t="n">
        <v>0</v>
      </c>
      <c r="AG606" s="19" t="n">
        <v>0</v>
      </c>
      <c r="AH606" s="13" t="s">
        <v>506</v>
      </c>
      <c r="AI606" s="17"/>
      <c r="AJ606" s="13" t="s">
        <v>188</v>
      </c>
      <c r="AK606" s="13" t="s">
        <v>188</v>
      </c>
      <c r="AL606" s="14"/>
      <c r="AM606" s="13" t="s">
        <v>1155</v>
      </c>
      <c r="AN606" s="15"/>
      <c r="AO606" s="13"/>
      <c r="AP606" s="13" t="s">
        <v>196</v>
      </c>
      <c r="AQ606" s="16" t="n">
        <f aca="false">IFERROR(IF(AND(INDEX(Mob_Demob!$D$6:$D$14,MATCH(AM606,Mob_Demob!$A$6:$A$14,0))="",INDEX(Mob_Demob!$G$6:$G$14,MATCH(AM606,Mob_Demob!$A$6:$A$14,0))=""),"",ROUND(MAX(N(INDEX(Mob_Demob!$G$6:$G$14,MATCH(AM606,Mob_Demob!$A$6:$A$14,0))),N(INDEX(Mob_Demob!$D$6:$D$14,MATCH(AM606,Mob_Demob!$A$6:$A$14,0)))*Settings!$B$6)+IF(AP606="Y",N(INDEX(Mob_Demob!$I$6:$I$14,MATCH(AM606,Mob_Demob!$A$6:$A$14,0)))*Settings!$B$19,0)+N(INDEX(Mob_Demob!$L$6:$L$14,MATCH(AM606,Mob_Demob!$A$6:$A$14,0)))*N(INDEX(Mob_Demob!$K$6:$K$14,MATCH(AM606,Mob_Demob!$A$6:$A$14,0)))*Settings!$B$6+N(INDEX(Mob_Demob!$M$6:$M$14,MATCH(AM606,Mob_Demob!$A$6:$A$14,0)))*N(INDEX(Mob_Demob!$N$6:$N$14,MATCH(AM606,Mob_Demob!$A$6:$A$14,0))),0)),"")</f>
        <v>200</v>
      </c>
      <c r="AR606" s="16" t="n">
        <f aca="false">IF(AQ606="","",ROUND(AQ606*Settings!$B$18,0))</f>
        <v>200</v>
      </c>
      <c r="AS606" s="13" t="s">
        <v>3568</v>
      </c>
      <c r="AT606" s="14" t="s">
        <v>3593</v>
      </c>
      <c r="AU606" s="14" t="s">
        <v>509</v>
      </c>
    </row>
    <row r="607" customFormat="false" ht="22.35" hidden="false" customHeight="false" outlineLevel="0" collapsed="false">
      <c r="A607" s="11" t="s">
        <v>3594</v>
      </c>
      <c r="B607" s="11" t="s">
        <v>3560</v>
      </c>
      <c r="C607" s="11" t="s">
        <v>3585</v>
      </c>
      <c r="D607" s="11" t="s">
        <v>3586</v>
      </c>
      <c r="E607" s="12" t="s">
        <v>3595</v>
      </c>
      <c r="F607" s="13" t="s">
        <v>1461</v>
      </c>
      <c r="G607" s="13" t="s">
        <v>3596</v>
      </c>
      <c r="H607" s="13"/>
      <c r="I607" s="14"/>
      <c r="J607" s="15"/>
      <c r="K607" s="13"/>
      <c r="L607" s="13"/>
      <c r="M607" s="13"/>
      <c r="N607" s="13" t="s">
        <v>1154</v>
      </c>
      <c r="O607" s="13" t="s">
        <v>504</v>
      </c>
      <c r="P607" s="13" t="s">
        <v>186</v>
      </c>
      <c r="Q607" s="16"/>
      <c r="R607" s="16"/>
      <c r="S607" s="16"/>
      <c r="T607" s="16"/>
      <c r="U607" s="16"/>
      <c r="V607" s="13" t="s">
        <v>187</v>
      </c>
      <c r="W607" s="17"/>
      <c r="X607" s="13"/>
      <c r="Y607" s="13"/>
      <c r="Z607" s="13"/>
      <c r="AA607" s="13" t="s">
        <v>188</v>
      </c>
      <c r="AB607" s="13" t="s">
        <v>3596</v>
      </c>
      <c r="AC607" s="17"/>
      <c r="AD607" s="13"/>
      <c r="AE607" s="19" t="n">
        <v>0</v>
      </c>
      <c r="AF607" s="19" t="n">
        <v>0</v>
      </c>
      <c r="AG607" s="19" t="n">
        <v>0</v>
      </c>
      <c r="AH607" s="13" t="s">
        <v>506</v>
      </c>
      <c r="AI607" s="17"/>
      <c r="AJ607" s="13" t="s">
        <v>188</v>
      </c>
      <c r="AK607" s="13" t="s">
        <v>188</v>
      </c>
      <c r="AL607" s="14"/>
      <c r="AM607" s="13" t="s">
        <v>1155</v>
      </c>
      <c r="AN607" s="15"/>
      <c r="AO607" s="13"/>
      <c r="AP607" s="13" t="s">
        <v>196</v>
      </c>
      <c r="AQ607" s="16" t="n">
        <f aca="false">IFERROR(IF(AND(INDEX(Mob_Demob!$D$6:$D$14,MATCH(AM607,Mob_Demob!$A$6:$A$14,0))="",INDEX(Mob_Demob!$G$6:$G$14,MATCH(AM607,Mob_Demob!$A$6:$A$14,0))=""),"",ROUND(MAX(N(INDEX(Mob_Demob!$G$6:$G$14,MATCH(AM607,Mob_Demob!$A$6:$A$14,0))),N(INDEX(Mob_Demob!$D$6:$D$14,MATCH(AM607,Mob_Demob!$A$6:$A$14,0)))*Settings!$B$6)+IF(AP607="Y",N(INDEX(Mob_Demob!$I$6:$I$14,MATCH(AM607,Mob_Demob!$A$6:$A$14,0)))*Settings!$B$19,0)+N(INDEX(Mob_Demob!$L$6:$L$14,MATCH(AM607,Mob_Demob!$A$6:$A$14,0)))*N(INDEX(Mob_Demob!$K$6:$K$14,MATCH(AM607,Mob_Demob!$A$6:$A$14,0)))*Settings!$B$6+N(INDEX(Mob_Demob!$M$6:$M$14,MATCH(AM607,Mob_Demob!$A$6:$A$14,0)))*N(INDEX(Mob_Demob!$N$6:$N$14,MATCH(AM607,Mob_Demob!$A$6:$A$14,0))),0)),"")</f>
        <v>200</v>
      </c>
      <c r="AR607" s="16" t="n">
        <f aca="false">IF(AQ607="","",ROUND(AQ607*Settings!$B$18,0))</f>
        <v>200</v>
      </c>
      <c r="AS607" s="13" t="s">
        <v>3568</v>
      </c>
      <c r="AT607" s="14" t="s">
        <v>3597</v>
      </c>
      <c r="AU607" s="14" t="s">
        <v>509</v>
      </c>
    </row>
    <row r="608" customFormat="false" ht="22.35" hidden="false" customHeight="false" outlineLevel="0" collapsed="false">
      <c r="A608" s="11" t="s">
        <v>3598</v>
      </c>
      <c r="B608" s="11" t="s">
        <v>3560</v>
      </c>
      <c r="C608" s="11" t="s">
        <v>3585</v>
      </c>
      <c r="D608" s="11" t="s">
        <v>3586</v>
      </c>
      <c r="E608" s="12" t="s">
        <v>3599</v>
      </c>
      <c r="F608" s="13" t="s">
        <v>1461</v>
      </c>
      <c r="G608" s="13" t="s">
        <v>3600</v>
      </c>
      <c r="H608" s="13"/>
      <c r="I608" s="14"/>
      <c r="J608" s="15"/>
      <c r="K608" s="13"/>
      <c r="L608" s="13"/>
      <c r="M608" s="13"/>
      <c r="N608" s="13" t="s">
        <v>1154</v>
      </c>
      <c r="O608" s="13" t="s">
        <v>504</v>
      </c>
      <c r="P608" s="13" t="s">
        <v>186</v>
      </c>
      <c r="Q608" s="16"/>
      <c r="R608" s="16"/>
      <c r="S608" s="16"/>
      <c r="T608" s="16"/>
      <c r="U608" s="16"/>
      <c r="V608" s="13" t="s">
        <v>187</v>
      </c>
      <c r="W608" s="17"/>
      <c r="X608" s="13"/>
      <c r="Y608" s="13"/>
      <c r="Z608" s="13"/>
      <c r="AA608" s="13" t="s">
        <v>188</v>
      </c>
      <c r="AB608" s="13" t="s">
        <v>3600</v>
      </c>
      <c r="AC608" s="17"/>
      <c r="AD608" s="13"/>
      <c r="AE608" s="19" t="n">
        <v>0</v>
      </c>
      <c r="AF608" s="19" t="n">
        <v>0</v>
      </c>
      <c r="AG608" s="19" t="n">
        <v>0</v>
      </c>
      <c r="AH608" s="13" t="s">
        <v>506</v>
      </c>
      <c r="AI608" s="17"/>
      <c r="AJ608" s="13" t="s">
        <v>188</v>
      </c>
      <c r="AK608" s="13" t="s">
        <v>188</v>
      </c>
      <c r="AL608" s="14"/>
      <c r="AM608" s="13" t="s">
        <v>1155</v>
      </c>
      <c r="AN608" s="15"/>
      <c r="AO608" s="13"/>
      <c r="AP608" s="13" t="s">
        <v>196</v>
      </c>
      <c r="AQ608" s="16" t="n">
        <f aca="false">IFERROR(IF(AND(INDEX(Mob_Demob!$D$6:$D$14,MATCH(AM608,Mob_Demob!$A$6:$A$14,0))="",INDEX(Mob_Demob!$G$6:$G$14,MATCH(AM608,Mob_Demob!$A$6:$A$14,0))=""),"",ROUND(MAX(N(INDEX(Mob_Demob!$G$6:$G$14,MATCH(AM608,Mob_Demob!$A$6:$A$14,0))),N(INDEX(Mob_Demob!$D$6:$D$14,MATCH(AM608,Mob_Demob!$A$6:$A$14,0)))*Settings!$B$6)+IF(AP608="Y",N(INDEX(Mob_Demob!$I$6:$I$14,MATCH(AM608,Mob_Demob!$A$6:$A$14,0)))*Settings!$B$19,0)+N(INDEX(Mob_Demob!$L$6:$L$14,MATCH(AM608,Mob_Demob!$A$6:$A$14,0)))*N(INDEX(Mob_Demob!$K$6:$K$14,MATCH(AM608,Mob_Demob!$A$6:$A$14,0)))*Settings!$B$6+N(INDEX(Mob_Demob!$M$6:$M$14,MATCH(AM608,Mob_Demob!$A$6:$A$14,0)))*N(INDEX(Mob_Demob!$N$6:$N$14,MATCH(AM608,Mob_Demob!$A$6:$A$14,0))),0)),"")</f>
        <v>200</v>
      </c>
      <c r="AR608" s="16" t="n">
        <f aca="false">IF(AQ608="","",ROUND(AQ608*Settings!$B$18,0))</f>
        <v>200</v>
      </c>
      <c r="AS608" s="13" t="s">
        <v>3568</v>
      </c>
      <c r="AT608" s="14" t="s">
        <v>3601</v>
      </c>
      <c r="AU608" s="14" t="s">
        <v>509</v>
      </c>
    </row>
    <row r="609" customFormat="false" ht="22.35" hidden="false" customHeight="false" outlineLevel="0" collapsed="false">
      <c r="A609" s="11" t="s">
        <v>3602</v>
      </c>
      <c r="B609" s="11" t="s">
        <v>3560</v>
      </c>
      <c r="C609" s="11" t="s">
        <v>3603</v>
      </c>
      <c r="D609" s="11" t="s">
        <v>3604</v>
      </c>
      <c r="E609" s="12" t="s">
        <v>3605</v>
      </c>
      <c r="F609" s="13" t="s">
        <v>1773</v>
      </c>
      <c r="G609" s="13" t="s">
        <v>3606</v>
      </c>
      <c r="H609" s="13" t="s">
        <v>462</v>
      </c>
      <c r="I609" s="14"/>
      <c r="J609" s="15"/>
      <c r="K609" s="13"/>
      <c r="L609" s="13"/>
      <c r="M609" s="13"/>
      <c r="N609" s="13" t="s">
        <v>1154</v>
      </c>
      <c r="O609" s="13" t="s">
        <v>504</v>
      </c>
      <c r="P609" s="13" t="s">
        <v>2451</v>
      </c>
      <c r="Q609" s="16"/>
      <c r="R609" s="16"/>
      <c r="S609" s="20" t="n">
        <v>288</v>
      </c>
      <c r="T609" s="20" t="n">
        <v>75</v>
      </c>
      <c r="U609" s="20" t="n">
        <v>500</v>
      </c>
      <c r="V609" s="13" t="s">
        <v>187</v>
      </c>
      <c r="W609" s="17"/>
      <c r="X609" s="13"/>
      <c r="Y609" s="13" t="s">
        <v>3607</v>
      </c>
      <c r="Z609" s="13" t="s">
        <v>3608</v>
      </c>
      <c r="AA609" s="13" t="s">
        <v>192</v>
      </c>
      <c r="AB609" s="13"/>
      <c r="AC609" s="17"/>
      <c r="AD609" s="13"/>
      <c r="AE609" s="19" t="n">
        <v>0</v>
      </c>
      <c r="AF609" s="19" t="n">
        <v>0</v>
      </c>
      <c r="AG609" s="19" t="n">
        <v>0</v>
      </c>
      <c r="AH609" s="13" t="s">
        <v>506</v>
      </c>
      <c r="AI609" s="17"/>
      <c r="AJ609" s="13" t="s">
        <v>188</v>
      </c>
      <c r="AK609" s="13" t="s">
        <v>188</v>
      </c>
      <c r="AL609" s="14" t="s">
        <v>3567</v>
      </c>
      <c r="AM609" s="13" t="s">
        <v>1155</v>
      </c>
      <c r="AN609" s="15"/>
      <c r="AO609" s="13"/>
      <c r="AP609" s="13" t="s">
        <v>196</v>
      </c>
      <c r="AQ609" s="16" t="n">
        <f aca="false">IFERROR(IF(AND(INDEX(Mob_Demob!$D$6:$D$14,MATCH(AM609,Mob_Demob!$A$6:$A$14,0))="",INDEX(Mob_Demob!$G$6:$G$14,MATCH(AM609,Mob_Demob!$A$6:$A$14,0))=""),"",ROUND(MAX(N(INDEX(Mob_Demob!$G$6:$G$14,MATCH(AM609,Mob_Demob!$A$6:$A$14,0))),N(INDEX(Mob_Demob!$D$6:$D$14,MATCH(AM609,Mob_Demob!$A$6:$A$14,0)))*Settings!$B$6)+IF(AP609="Y",N(INDEX(Mob_Demob!$I$6:$I$14,MATCH(AM609,Mob_Demob!$A$6:$A$14,0)))*Settings!$B$19,0)+N(INDEX(Mob_Demob!$L$6:$L$14,MATCH(AM609,Mob_Demob!$A$6:$A$14,0)))*N(INDEX(Mob_Demob!$K$6:$K$14,MATCH(AM609,Mob_Demob!$A$6:$A$14,0)))*Settings!$B$6+N(INDEX(Mob_Demob!$M$6:$M$14,MATCH(AM609,Mob_Demob!$A$6:$A$14,0)))*N(INDEX(Mob_Demob!$N$6:$N$14,MATCH(AM609,Mob_Demob!$A$6:$A$14,0))),0)),"")</f>
        <v>200</v>
      </c>
      <c r="AR609" s="16" t="n">
        <f aca="false">IF(AQ609="","",ROUND(AQ609*Settings!$B$18,0))</f>
        <v>200</v>
      </c>
      <c r="AS609" s="13" t="s">
        <v>3568</v>
      </c>
      <c r="AT609" s="14" t="s">
        <v>3609</v>
      </c>
      <c r="AU609" s="14" t="s">
        <v>341</v>
      </c>
    </row>
    <row r="610" customFormat="false" ht="32.8" hidden="false" customHeight="false" outlineLevel="0" collapsed="false">
      <c r="A610" s="11" t="s">
        <v>3610</v>
      </c>
      <c r="B610" s="11" t="s">
        <v>3560</v>
      </c>
      <c r="C610" s="11" t="s">
        <v>3611</v>
      </c>
      <c r="D610" s="11" t="s">
        <v>3612</v>
      </c>
      <c r="E610" s="12" t="s">
        <v>3613</v>
      </c>
      <c r="F610" s="13" t="s">
        <v>3450</v>
      </c>
      <c r="G610" s="13" t="s">
        <v>3614</v>
      </c>
      <c r="H610" s="13"/>
      <c r="I610" s="14"/>
      <c r="J610" s="15"/>
      <c r="K610" s="13"/>
      <c r="L610" s="13"/>
      <c r="M610" s="13"/>
      <c r="N610" s="13" t="s">
        <v>1154</v>
      </c>
      <c r="O610" s="13" t="s">
        <v>1164</v>
      </c>
      <c r="P610" s="13" t="s">
        <v>3615</v>
      </c>
      <c r="Q610" s="16"/>
      <c r="R610" s="16"/>
      <c r="S610" s="20" t="n">
        <v>2.25</v>
      </c>
      <c r="T610" s="20" t="n">
        <v>1</v>
      </c>
      <c r="U610" s="20" t="n">
        <v>3.5</v>
      </c>
      <c r="V610" s="13" t="s">
        <v>187</v>
      </c>
      <c r="W610" s="17"/>
      <c r="X610" s="13"/>
      <c r="Y610" s="13" t="s">
        <v>3616</v>
      </c>
      <c r="Z610" s="13" t="s">
        <v>3617</v>
      </c>
      <c r="AA610" s="13" t="s">
        <v>192</v>
      </c>
      <c r="AB610" s="13"/>
      <c r="AC610" s="17"/>
      <c r="AD610" s="13"/>
      <c r="AE610" s="19" t="n">
        <v>0</v>
      </c>
      <c r="AF610" s="19" t="n">
        <v>0</v>
      </c>
      <c r="AG610" s="19" t="n">
        <v>0</v>
      </c>
      <c r="AH610" s="13" t="s">
        <v>506</v>
      </c>
      <c r="AI610" s="17"/>
      <c r="AJ610" s="13" t="s">
        <v>188</v>
      </c>
      <c r="AK610" s="13" t="s">
        <v>188</v>
      </c>
      <c r="AL610" s="14" t="s">
        <v>3567</v>
      </c>
      <c r="AM610" s="13" t="s">
        <v>1155</v>
      </c>
      <c r="AN610" s="15"/>
      <c r="AO610" s="13"/>
      <c r="AP610" s="13" t="s">
        <v>196</v>
      </c>
      <c r="AQ610" s="16" t="n">
        <f aca="false">IFERROR(IF(AND(INDEX(Mob_Demob!$D$6:$D$14,MATCH(AM610,Mob_Demob!$A$6:$A$14,0))="",INDEX(Mob_Demob!$G$6:$G$14,MATCH(AM610,Mob_Demob!$A$6:$A$14,0))=""),"",ROUND(MAX(N(INDEX(Mob_Demob!$G$6:$G$14,MATCH(AM610,Mob_Demob!$A$6:$A$14,0))),N(INDEX(Mob_Demob!$D$6:$D$14,MATCH(AM610,Mob_Demob!$A$6:$A$14,0)))*Settings!$B$6)+IF(AP610="Y",N(INDEX(Mob_Demob!$I$6:$I$14,MATCH(AM610,Mob_Demob!$A$6:$A$14,0)))*Settings!$B$19,0)+N(INDEX(Mob_Demob!$L$6:$L$14,MATCH(AM610,Mob_Demob!$A$6:$A$14,0)))*N(INDEX(Mob_Demob!$K$6:$K$14,MATCH(AM610,Mob_Demob!$A$6:$A$14,0)))*Settings!$B$6+N(INDEX(Mob_Demob!$M$6:$M$14,MATCH(AM610,Mob_Demob!$A$6:$A$14,0)))*N(INDEX(Mob_Demob!$N$6:$N$14,MATCH(AM610,Mob_Demob!$A$6:$A$14,0))),0)),"")</f>
        <v>200</v>
      </c>
      <c r="AR610" s="16" t="n">
        <f aca="false">IF(AQ610="","",ROUND(AQ610*Settings!$B$18,0))</f>
        <v>200</v>
      </c>
      <c r="AS610" s="13" t="s">
        <v>3568</v>
      </c>
      <c r="AT610" s="14" t="s">
        <v>3618</v>
      </c>
      <c r="AU610" s="14" t="s">
        <v>341</v>
      </c>
    </row>
    <row r="611" customFormat="false" ht="22.35" hidden="false" customHeight="false" outlineLevel="0" collapsed="false">
      <c r="A611" s="11" t="s">
        <v>3619</v>
      </c>
      <c r="B611" s="11" t="s">
        <v>3560</v>
      </c>
      <c r="C611" s="11" t="s">
        <v>3620</v>
      </c>
      <c r="D611" s="11" t="s">
        <v>3621</v>
      </c>
      <c r="E611" s="12" t="s">
        <v>3622</v>
      </c>
      <c r="F611" s="13" t="s">
        <v>3623</v>
      </c>
      <c r="G611" s="13" t="n">
        <v>6</v>
      </c>
      <c r="H611" s="13" t="s">
        <v>462</v>
      </c>
      <c r="I611" s="14"/>
      <c r="J611" s="15"/>
      <c r="K611" s="13"/>
      <c r="L611" s="13"/>
      <c r="M611" s="13"/>
      <c r="N611" s="13" t="s">
        <v>1154</v>
      </c>
      <c r="O611" s="13" t="s">
        <v>3624</v>
      </c>
      <c r="P611" s="13" t="s">
        <v>3625</v>
      </c>
      <c r="Q611" s="20" t="n">
        <v>35</v>
      </c>
      <c r="R611" s="20" t="n">
        <v>115</v>
      </c>
      <c r="S611" s="20" t="n">
        <v>285</v>
      </c>
      <c r="T611" s="16"/>
      <c r="U611" s="16"/>
      <c r="V611" s="13" t="s">
        <v>187</v>
      </c>
      <c r="W611" s="17"/>
      <c r="X611" s="13"/>
      <c r="Y611" s="13" t="s">
        <v>1755</v>
      </c>
      <c r="Z611" s="13" t="s">
        <v>1756</v>
      </c>
      <c r="AA611" s="13" t="s">
        <v>192</v>
      </c>
      <c r="AB611" s="13"/>
      <c r="AC611" s="17"/>
      <c r="AD611" s="13"/>
      <c r="AE611" s="19" t="n">
        <v>0</v>
      </c>
      <c r="AF611" s="19" t="n">
        <v>0</v>
      </c>
      <c r="AG611" s="19" t="n">
        <v>0</v>
      </c>
      <c r="AH611" s="13" t="s">
        <v>506</v>
      </c>
      <c r="AI611" s="17"/>
      <c r="AJ611" s="13" t="s">
        <v>188</v>
      </c>
      <c r="AK611" s="13" t="s">
        <v>188</v>
      </c>
      <c r="AL611" s="14"/>
      <c r="AM611" s="13" t="s">
        <v>1155</v>
      </c>
      <c r="AN611" s="15"/>
      <c r="AO611" s="13"/>
      <c r="AP611" s="13" t="s">
        <v>196</v>
      </c>
      <c r="AQ611" s="16" t="n">
        <f aca="false">IFERROR(IF(AND(INDEX(Mob_Demob!$D$6:$D$14,MATCH(AM611,Mob_Demob!$A$6:$A$14,0))="",INDEX(Mob_Demob!$G$6:$G$14,MATCH(AM611,Mob_Demob!$A$6:$A$14,0))=""),"",ROUND(MAX(N(INDEX(Mob_Demob!$G$6:$G$14,MATCH(AM611,Mob_Demob!$A$6:$A$14,0))),N(INDEX(Mob_Demob!$D$6:$D$14,MATCH(AM611,Mob_Demob!$A$6:$A$14,0)))*Settings!$B$6)+IF(AP611="Y",N(INDEX(Mob_Demob!$I$6:$I$14,MATCH(AM611,Mob_Demob!$A$6:$A$14,0)))*Settings!$B$19,0)+N(INDEX(Mob_Demob!$L$6:$L$14,MATCH(AM611,Mob_Demob!$A$6:$A$14,0)))*N(INDEX(Mob_Demob!$K$6:$K$14,MATCH(AM611,Mob_Demob!$A$6:$A$14,0)))*Settings!$B$6+N(INDEX(Mob_Demob!$M$6:$M$14,MATCH(AM611,Mob_Demob!$A$6:$A$14,0)))*N(INDEX(Mob_Demob!$N$6:$N$14,MATCH(AM611,Mob_Demob!$A$6:$A$14,0))),0)),"")</f>
        <v>200</v>
      </c>
      <c r="AR611" s="16" t="n">
        <f aca="false">IF(AQ611="","",ROUND(AQ611*Settings!$B$18,0))</f>
        <v>200</v>
      </c>
      <c r="AS611" s="13" t="s">
        <v>3568</v>
      </c>
      <c r="AT611" s="14" t="s">
        <v>3626</v>
      </c>
      <c r="AU611" s="14" t="s">
        <v>341</v>
      </c>
    </row>
    <row r="612" customFormat="false" ht="15" hidden="false" customHeight="false" outlineLevel="0" collapsed="false">
      <c r="A612" s="11" t="s">
        <v>3627</v>
      </c>
      <c r="B612" s="11" t="s">
        <v>3560</v>
      </c>
      <c r="C612" s="11" t="s">
        <v>3628</v>
      </c>
      <c r="D612" s="11" t="s">
        <v>3629</v>
      </c>
      <c r="E612" s="12" t="s">
        <v>3630</v>
      </c>
      <c r="F612" s="13" t="s">
        <v>141</v>
      </c>
      <c r="G612" s="13" t="s">
        <v>3631</v>
      </c>
      <c r="H612" s="13"/>
      <c r="I612" s="14" t="s">
        <v>3632</v>
      </c>
      <c r="J612" s="15"/>
      <c r="K612" s="13"/>
      <c r="L612" s="13"/>
      <c r="M612" s="13"/>
      <c r="N612" s="13" t="s">
        <v>3633</v>
      </c>
      <c r="O612" s="13" t="s">
        <v>504</v>
      </c>
      <c r="P612" s="13" t="s">
        <v>186</v>
      </c>
      <c r="Q612" s="20" t="n">
        <v>95</v>
      </c>
      <c r="R612" s="20" t="n">
        <v>285</v>
      </c>
      <c r="S612" s="20" t="n">
        <v>855</v>
      </c>
      <c r="T612" s="16"/>
      <c r="U612" s="16"/>
      <c r="V612" s="13" t="s">
        <v>187</v>
      </c>
      <c r="W612" s="17"/>
      <c r="X612" s="13"/>
      <c r="Y612" s="13" t="s">
        <v>722</v>
      </c>
      <c r="Z612" s="13" t="s">
        <v>723</v>
      </c>
      <c r="AA612" s="13" t="s">
        <v>192</v>
      </c>
      <c r="AB612" s="13" t="s">
        <v>3634</v>
      </c>
      <c r="AC612" s="17"/>
      <c r="AD612" s="13"/>
      <c r="AE612" s="19" t="n">
        <v>0</v>
      </c>
      <c r="AF612" s="19" t="n">
        <v>0</v>
      </c>
      <c r="AG612" s="19" t="n">
        <v>0</v>
      </c>
      <c r="AH612" s="13" t="s">
        <v>506</v>
      </c>
      <c r="AI612" s="17"/>
      <c r="AJ612" s="13" t="s">
        <v>188</v>
      </c>
      <c r="AK612" s="13" t="s">
        <v>188</v>
      </c>
      <c r="AL612" s="14"/>
      <c r="AM612" s="13" t="s">
        <v>1147</v>
      </c>
      <c r="AN612" s="15"/>
      <c r="AO612" s="13"/>
      <c r="AP612" s="13" t="s">
        <v>196</v>
      </c>
      <c r="AQ612" s="16" t="n">
        <f aca="false">IFERROR(IF(AND(INDEX(Mob_Demob!$D$6:$D$14,MATCH(AM612,Mob_Demob!$A$6:$A$14,0))="",INDEX(Mob_Demob!$G$6:$G$14,MATCH(AM612,Mob_Demob!$A$6:$A$14,0))=""),"",ROUND(MAX(N(INDEX(Mob_Demob!$G$6:$G$14,MATCH(AM612,Mob_Demob!$A$6:$A$14,0))),N(INDEX(Mob_Demob!$D$6:$D$14,MATCH(AM612,Mob_Demob!$A$6:$A$14,0)))*Settings!$B$6)+IF(AP612="Y",N(INDEX(Mob_Demob!$I$6:$I$14,MATCH(AM612,Mob_Demob!$A$6:$A$14,0)))*Settings!$B$19,0)+N(INDEX(Mob_Demob!$L$6:$L$14,MATCH(AM612,Mob_Demob!$A$6:$A$14,0)))*N(INDEX(Mob_Demob!$K$6:$K$14,MATCH(AM612,Mob_Demob!$A$6:$A$14,0)))*Settings!$B$6+N(INDEX(Mob_Demob!$M$6:$M$14,MATCH(AM612,Mob_Demob!$A$6:$A$14,0)))*N(INDEX(Mob_Demob!$N$6:$N$14,MATCH(AM612,Mob_Demob!$A$6:$A$14,0))),0)),"")</f>
        <v>200</v>
      </c>
      <c r="AR612" s="16" t="n">
        <f aca="false">IF(AQ612="","",ROUND(AQ612*Settings!$B$18,0))</f>
        <v>200</v>
      </c>
      <c r="AS612" s="13" t="s">
        <v>3568</v>
      </c>
      <c r="AT612" s="14" t="s">
        <v>3635</v>
      </c>
      <c r="AU612" s="14" t="s">
        <v>1801</v>
      </c>
    </row>
    <row r="613" customFormat="false" ht="22.35" hidden="false" customHeight="false" outlineLevel="0" collapsed="false">
      <c r="A613" s="11" t="s">
        <v>3636</v>
      </c>
      <c r="B613" s="11" t="s">
        <v>3560</v>
      </c>
      <c r="C613" s="11" t="s">
        <v>3637</v>
      </c>
      <c r="D613" s="11" t="s">
        <v>3638</v>
      </c>
      <c r="E613" s="12" t="s">
        <v>3639</v>
      </c>
      <c r="F613" s="13" t="s">
        <v>141</v>
      </c>
      <c r="G613" s="13" t="s">
        <v>3640</v>
      </c>
      <c r="H613" s="13"/>
      <c r="I613" s="14" t="s">
        <v>3641</v>
      </c>
      <c r="J613" s="15"/>
      <c r="K613" s="13"/>
      <c r="L613" s="13"/>
      <c r="M613" s="13"/>
      <c r="N613" s="13" t="s">
        <v>3633</v>
      </c>
      <c r="O613" s="13" t="s">
        <v>504</v>
      </c>
      <c r="P613" s="13" t="s">
        <v>186</v>
      </c>
      <c r="Q613" s="16"/>
      <c r="R613" s="16"/>
      <c r="S613" s="16"/>
      <c r="T613" s="16"/>
      <c r="U613" s="16"/>
      <c r="V613" s="13" t="s">
        <v>187</v>
      </c>
      <c r="W613" s="17"/>
      <c r="X613" s="13"/>
      <c r="Y613" s="13"/>
      <c r="Z613" s="13"/>
      <c r="AA613" s="13" t="s">
        <v>188</v>
      </c>
      <c r="AB613" s="13" t="s">
        <v>3642</v>
      </c>
      <c r="AC613" s="17"/>
      <c r="AD613" s="13"/>
      <c r="AE613" s="19" t="n">
        <v>0</v>
      </c>
      <c r="AF613" s="19" t="n">
        <v>0</v>
      </c>
      <c r="AG613" s="19" t="n">
        <v>0</v>
      </c>
      <c r="AH613" s="13" t="s">
        <v>506</v>
      </c>
      <c r="AI613" s="17"/>
      <c r="AJ613" s="13" t="s">
        <v>188</v>
      </c>
      <c r="AK613" s="13" t="s">
        <v>188</v>
      </c>
      <c r="AL613" s="14"/>
      <c r="AM613" s="13" t="s">
        <v>1147</v>
      </c>
      <c r="AN613" s="15"/>
      <c r="AO613" s="13"/>
      <c r="AP613" s="13" t="s">
        <v>196</v>
      </c>
      <c r="AQ613" s="16" t="n">
        <f aca="false">IFERROR(IF(AND(INDEX(Mob_Demob!$D$6:$D$14,MATCH(AM613,Mob_Demob!$A$6:$A$14,0))="",INDEX(Mob_Demob!$G$6:$G$14,MATCH(AM613,Mob_Demob!$A$6:$A$14,0))=""),"",ROUND(MAX(N(INDEX(Mob_Demob!$G$6:$G$14,MATCH(AM613,Mob_Demob!$A$6:$A$14,0))),N(INDEX(Mob_Demob!$D$6:$D$14,MATCH(AM613,Mob_Demob!$A$6:$A$14,0)))*Settings!$B$6)+IF(AP613="Y",N(INDEX(Mob_Demob!$I$6:$I$14,MATCH(AM613,Mob_Demob!$A$6:$A$14,0)))*Settings!$B$19,0)+N(INDEX(Mob_Demob!$L$6:$L$14,MATCH(AM613,Mob_Demob!$A$6:$A$14,0)))*N(INDEX(Mob_Demob!$K$6:$K$14,MATCH(AM613,Mob_Demob!$A$6:$A$14,0)))*Settings!$B$6+N(INDEX(Mob_Demob!$M$6:$M$14,MATCH(AM613,Mob_Demob!$A$6:$A$14,0)))*N(INDEX(Mob_Demob!$N$6:$N$14,MATCH(AM613,Mob_Demob!$A$6:$A$14,0))),0)),"")</f>
        <v>200</v>
      </c>
      <c r="AR613" s="16" t="n">
        <f aca="false">IF(AQ613="","",ROUND(AQ613*Settings!$B$18,0))</f>
        <v>200</v>
      </c>
      <c r="AS613" s="13" t="s">
        <v>3568</v>
      </c>
      <c r="AT613" s="14" t="s">
        <v>3643</v>
      </c>
      <c r="AU613" s="14" t="s">
        <v>509</v>
      </c>
    </row>
    <row r="614" customFormat="false" ht="15" hidden="false" customHeight="false" outlineLevel="0" collapsed="false">
      <c r="A614" s="11" t="s">
        <v>3644</v>
      </c>
      <c r="B614" s="11" t="s">
        <v>3560</v>
      </c>
      <c r="C614" s="11" t="s">
        <v>3645</v>
      </c>
      <c r="D614" s="11" t="s">
        <v>3646</v>
      </c>
      <c r="E614" s="12" t="s">
        <v>3647</v>
      </c>
      <c r="F614" s="13" t="s">
        <v>149</v>
      </c>
      <c r="G614" s="13" t="n">
        <v>1204</v>
      </c>
      <c r="H614" s="13" t="s">
        <v>1092</v>
      </c>
      <c r="I614" s="14"/>
      <c r="J614" s="15"/>
      <c r="K614" s="13"/>
      <c r="L614" s="13"/>
      <c r="M614" s="13"/>
      <c r="N614" s="13" t="s">
        <v>1154</v>
      </c>
      <c r="O614" s="13" t="s">
        <v>504</v>
      </c>
      <c r="P614" s="13" t="s">
        <v>1777</v>
      </c>
      <c r="Q614" s="16"/>
      <c r="R614" s="20" t="n">
        <v>360</v>
      </c>
      <c r="S614" s="20" t="n">
        <v>1080</v>
      </c>
      <c r="T614" s="16"/>
      <c r="U614" s="16"/>
      <c r="V614" s="13" t="s">
        <v>187</v>
      </c>
      <c r="W614" s="17"/>
      <c r="X614" s="13"/>
      <c r="Y614" s="13" t="s">
        <v>259</v>
      </c>
      <c r="Z614" s="13" t="s">
        <v>260</v>
      </c>
      <c r="AA614" s="13" t="s">
        <v>192</v>
      </c>
      <c r="AB614" s="13"/>
      <c r="AC614" s="17"/>
      <c r="AD614" s="13"/>
      <c r="AE614" s="19" t="n">
        <v>0</v>
      </c>
      <c r="AF614" s="19" t="n">
        <v>0</v>
      </c>
      <c r="AG614" s="19" t="n">
        <v>0</v>
      </c>
      <c r="AH614" s="13" t="s">
        <v>506</v>
      </c>
      <c r="AI614" s="17"/>
      <c r="AJ614" s="13" t="s">
        <v>188</v>
      </c>
      <c r="AK614" s="13" t="s">
        <v>188</v>
      </c>
      <c r="AL614" s="14"/>
      <c r="AM614" s="13" t="s">
        <v>1155</v>
      </c>
      <c r="AN614" s="15"/>
      <c r="AO614" s="13"/>
      <c r="AP614" s="13" t="s">
        <v>196</v>
      </c>
      <c r="AQ614" s="16" t="n">
        <f aca="false">IFERROR(IF(AND(INDEX(Mob_Demob!$D$6:$D$14,MATCH(AM614,Mob_Demob!$A$6:$A$14,0))="",INDEX(Mob_Demob!$G$6:$G$14,MATCH(AM614,Mob_Demob!$A$6:$A$14,0))=""),"",ROUND(MAX(N(INDEX(Mob_Demob!$G$6:$G$14,MATCH(AM614,Mob_Demob!$A$6:$A$14,0))),N(INDEX(Mob_Demob!$D$6:$D$14,MATCH(AM614,Mob_Demob!$A$6:$A$14,0)))*Settings!$B$6)+IF(AP614="Y",N(INDEX(Mob_Demob!$I$6:$I$14,MATCH(AM614,Mob_Demob!$A$6:$A$14,0)))*Settings!$B$19,0)+N(INDEX(Mob_Demob!$L$6:$L$14,MATCH(AM614,Mob_Demob!$A$6:$A$14,0)))*N(INDEX(Mob_Demob!$K$6:$K$14,MATCH(AM614,Mob_Demob!$A$6:$A$14,0)))*Settings!$B$6+N(INDEX(Mob_Demob!$M$6:$M$14,MATCH(AM614,Mob_Demob!$A$6:$A$14,0)))*N(INDEX(Mob_Demob!$N$6:$N$14,MATCH(AM614,Mob_Demob!$A$6:$A$14,0))),0)),"")</f>
        <v>200</v>
      </c>
      <c r="AR614" s="16" t="n">
        <f aca="false">IF(AQ614="","",ROUND(AQ614*Settings!$B$18,0))</f>
        <v>200</v>
      </c>
      <c r="AS614" s="13"/>
      <c r="AT614" s="14" t="s">
        <v>3648</v>
      </c>
      <c r="AU614" s="14" t="s">
        <v>341</v>
      </c>
    </row>
    <row r="615" customFormat="false" ht="15" hidden="false" customHeight="false" outlineLevel="0" collapsed="false">
      <c r="A615" s="11" t="s">
        <v>3649</v>
      </c>
      <c r="B615" s="11" t="s">
        <v>3560</v>
      </c>
      <c r="C615" s="11" t="s">
        <v>3650</v>
      </c>
      <c r="D615" s="11" t="s">
        <v>3651</v>
      </c>
      <c r="E615" s="12" t="s">
        <v>3652</v>
      </c>
      <c r="F615" s="13" t="s">
        <v>149</v>
      </c>
      <c r="G615" s="13" t="n">
        <v>132</v>
      </c>
      <c r="H615" s="13" t="s">
        <v>1092</v>
      </c>
      <c r="I615" s="14"/>
      <c r="J615" s="15"/>
      <c r="K615" s="13"/>
      <c r="L615" s="13"/>
      <c r="M615" s="13"/>
      <c r="N615" s="13" t="s">
        <v>1154</v>
      </c>
      <c r="O615" s="13" t="s">
        <v>504</v>
      </c>
      <c r="P615" s="13" t="s">
        <v>1777</v>
      </c>
      <c r="Q615" s="16"/>
      <c r="R615" s="20" t="n">
        <v>267</v>
      </c>
      <c r="S615" s="20" t="n">
        <v>800</v>
      </c>
      <c r="T615" s="16"/>
      <c r="U615" s="16"/>
      <c r="V615" s="13" t="s">
        <v>187</v>
      </c>
      <c r="W615" s="17"/>
      <c r="X615" s="13"/>
      <c r="Y615" s="13" t="s">
        <v>259</v>
      </c>
      <c r="Z615" s="13" t="s">
        <v>260</v>
      </c>
      <c r="AA615" s="13" t="s">
        <v>192</v>
      </c>
      <c r="AB615" s="13"/>
      <c r="AC615" s="17"/>
      <c r="AD615" s="13"/>
      <c r="AE615" s="19" t="n">
        <v>0</v>
      </c>
      <c r="AF615" s="19" t="n">
        <v>0</v>
      </c>
      <c r="AG615" s="19" t="n">
        <v>0</v>
      </c>
      <c r="AH615" s="13" t="s">
        <v>506</v>
      </c>
      <c r="AI615" s="17"/>
      <c r="AJ615" s="13" t="s">
        <v>188</v>
      </c>
      <c r="AK615" s="13" t="s">
        <v>188</v>
      </c>
      <c r="AL615" s="14"/>
      <c r="AM615" s="13" t="s">
        <v>1155</v>
      </c>
      <c r="AN615" s="15"/>
      <c r="AO615" s="13"/>
      <c r="AP615" s="13" t="s">
        <v>196</v>
      </c>
      <c r="AQ615" s="16" t="n">
        <f aca="false">IFERROR(IF(AND(INDEX(Mob_Demob!$D$6:$D$14,MATCH(AM615,Mob_Demob!$A$6:$A$14,0))="",INDEX(Mob_Demob!$G$6:$G$14,MATCH(AM615,Mob_Demob!$A$6:$A$14,0))=""),"",ROUND(MAX(N(INDEX(Mob_Demob!$G$6:$G$14,MATCH(AM615,Mob_Demob!$A$6:$A$14,0))),N(INDEX(Mob_Demob!$D$6:$D$14,MATCH(AM615,Mob_Demob!$A$6:$A$14,0)))*Settings!$B$6)+IF(AP615="Y",N(INDEX(Mob_Demob!$I$6:$I$14,MATCH(AM615,Mob_Demob!$A$6:$A$14,0)))*Settings!$B$19,0)+N(INDEX(Mob_Demob!$L$6:$L$14,MATCH(AM615,Mob_Demob!$A$6:$A$14,0)))*N(INDEX(Mob_Demob!$K$6:$K$14,MATCH(AM615,Mob_Demob!$A$6:$A$14,0)))*Settings!$B$6+N(INDEX(Mob_Demob!$M$6:$M$14,MATCH(AM615,Mob_Demob!$A$6:$A$14,0)))*N(INDEX(Mob_Demob!$N$6:$N$14,MATCH(AM615,Mob_Demob!$A$6:$A$14,0))),0)),"")</f>
        <v>200</v>
      </c>
      <c r="AR615" s="16" t="n">
        <f aca="false">IF(AQ615="","",ROUND(AQ615*Settings!$B$18,0))</f>
        <v>200</v>
      </c>
      <c r="AS615" s="13"/>
      <c r="AT615" s="14" t="s">
        <v>585</v>
      </c>
      <c r="AU615" s="14" t="s">
        <v>341</v>
      </c>
    </row>
    <row r="616" customFormat="false" ht="15" hidden="false" customHeight="false" outlineLevel="0" collapsed="false">
      <c r="A616" s="11" t="s">
        <v>3653</v>
      </c>
      <c r="B616" s="11" t="s">
        <v>3560</v>
      </c>
      <c r="C616" s="11" t="s">
        <v>3654</v>
      </c>
      <c r="D616" s="11" t="s">
        <v>3655</v>
      </c>
      <c r="E616" s="12" t="s">
        <v>3656</v>
      </c>
      <c r="F616" s="13" t="s">
        <v>857</v>
      </c>
      <c r="G616" s="13" t="s">
        <v>3657</v>
      </c>
      <c r="H616" s="13"/>
      <c r="I616" s="14" t="s">
        <v>3658</v>
      </c>
      <c r="J616" s="15"/>
      <c r="K616" s="13"/>
      <c r="L616" s="13"/>
      <c r="M616" s="13"/>
      <c r="N616" s="13" t="s">
        <v>1154</v>
      </c>
      <c r="O616" s="13" t="s">
        <v>504</v>
      </c>
      <c r="P616" s="13" t="s">
        <v>186</v>
      </c>
      <c r="Q616" s="20" t="n">
        <v>332</v>
      </c>
      <c r="R616" s="20" t="n">
        <v>964</v>
      </c>
      <c r="S616" s="20" t="n">
        <v>2795</v>
      </c>
      <c r="T616" s="16"/>
      <c r="U616" s="16"/>
      <c r="V616" s="13" t="s">
        <v>187</v>
      </c>
      <c r="W616" s="17"/>
      <c r="X616" s="13"/>
      <c r="Y616" s="13" t="s">
        <v>259</v>
      </c>
      <c r="Z616" s="13" t="s">
        <v>260</v>
      </c>
      <c r="AA616" s="13" t="s">
        <v>192</v>
      </c>
      <c r="AB616" s="13"/>
      <c r="AC616" s="17"/>
      <c r="AD616" s="13"/>
      <c r="AE616" s="19" t="n">
        <v>0</v>
      </c>
      <c r="AF616" s="19" t="n">
        <v>0</v>
      </c>
      <c r="AG616" s="19" t="n">
        <v>0</v>
      </c>
      <c r="AH616" s="13" t="s">
        <v>506</v>
      </c>
      <c r="AI616" s="17"/>
      <c r="AJ616" s="13" t="s">
        <v>188</v>
      </c>
      <c r="AK616" s="13" t="s">
        <v>188</v>
      </c>
      <c r="AL616" s="14"/>
      <c r="AM616" s="13" t="s">
        <v>1147</v>
      </c>
      <c r="AN616" s="15"/>
      <c r="AO616" s="13"/>
      <c r="AP616" s="13" t="s">
        <v>196</v>
      </c>
      <c r="AQ616" s="16" t="n">
        <f aca="false">IFERROR(IF(AND(INDEX(Mob_Demob!$D$6:$D$14,MATCH(AM616,Mob_Demob!$A$6:$A$14,0))="",INDEX(Mob_Demob!$G$6:$G$14,MATCH(AM616,Mob_Demob!$A$6:$A$14,0))=""),"",ROUND(MAX(N(INDEX(Mob_Demob!$G$6:$G$14,MATCH(AM616,Mob_Demob!$A$6:$A$14,0))),N(INDEX(Mob_Demob!$D$6:$D$14,MATCH(AM616,Mob_Demob!$A$6:$A$14,0)))*Settings!$B$6)+IF(AP616="Y",N(INDEX(Mob_Demob!$I$6:$I$14,MATCH(AM616,Mob_Demob!$A$6:$A$14,0)))*Settings!$B$19,0)+N(INDEX(Mob_Demob!$L$6:$L$14,MATCH(AM616,Mob_Demob!$A$6:$A$14,0)))*N(INDEX(Mob_Demob!$K$6:$K$14,MATCH(AM616,Mob_Demob!$A$6:$A$14,0)))*Settings!$B$6+N(INDEX(Mob_Demob!$M$6:$M$14,MATCH(AM616,Mob_Demob!$A$6:$A$14,0)))*N(INDEX(Mob_Demob!$N$6:$N$14,MATCH(AM616,Mob_Demob!$A$6:$A$14,0))),0)),"")</f>
        <v>200</v>
      </c>
      <c r="AR616" s="16" t="n">
        <f aca="false">IF(AQ616="","",ROUND(AQ616*Settings!$B$18,0))</f>
        <v>200</v>
      </c>
      <c r="AS616" s="13" t="s">
        <v>3659</v>
      </c>
      <c r="AT616" s="14" t="s">
        <v>585</v>
      </c>
      <c r="AU616" s="14" t="s">
        <v>341</v>
      </c>
    </row>
    <row r="617" customFormat="false" ht="32.8" hidden="false" customHeight="false" outlineLevel="0" collapsed="false">
      <c r="A617" s="11" t="s">
        <v>3660</v>
      </c>
      <c r="B617" s="11" t="s">
        <v>3560</v>
      </c>
      <c r="C617" s="11" t="s">
        <v>3661</v>
      </c>
      <c r="D617" s="11" t="s">
        <v>3662</v>
      </c>
      <c r="E617" s="12" t="s">
        <v>3663</v>
      </c>
      <c r="F617" s="13" t="s">
        <v>857</v>
      </c>
      <c r="G617" s="13" t="s">
        <v>3664</v>
      </c>
      <c r="H617" s="13"/>
      <c r="I617" s="14" t="s">
        <v>3663</v>
      </c>
      <c r="J617" s="15"/>
      <c r="K617" s="13"/>
      <c r="L617" s="13"/>
      <c r="M617" s="13"/>
      <c r="N617" s="13" t="s">
        <v>184</v>
      </c>
      <c r="O617" s="13" t="s">
        <v>1164</v>
      </c>
      <c r="P617" s="13" t="s">
        <v>186</v>
      </c>
      <c r="Q617" s="16"/>
      <c r="R617" s="16"/>
      <c r="S617" s="16"/>
      <c r="T617" s="16"/>
      <c r="U617" s="16"/>
      <c r="V617" s="13" t="s">
        <v>187</v>
      </c>
      <c r="W617" s="17"/>
      <c r="X617" s="13"/>
      <c r="Y617" s="13"/>
      <c r="Z617" s="13"/>
      <c r="AA617" s="13" t="s">
        <v>188</v>
      </c>
      <c r="AB617" s="13" t="s">
        <v>3665</v>
      </c>
      <c r="AC617" s="17"/>
      <c r="AD617" s="13"/>
      <c r="AE617" s="19"/>
      <c r="AF617" s="19"/>
      <c r="AG617" s="19"/>
      <c r="AH617" s="13"/>
      <c r="AI617" s="17"/>
      <c r="AJ617" s="13" t="s">
        <v>188</v>
      </c>
      <c r="AK617" s="13" t="s">
        <v>188</v>
      </c>
      <c r="AL617" s="14"/>
      <c r="AM617" s="13" t="s">
        <v>1147</v>
      </c>
      <c r="AN617" s="15"/>
      <c r="AO617" s="13"/>
      <c r="AP617" s="13" t="s">
        <v>196</v>
      </c>
      <c r="AQ617" s="16" t="n">
        <f aca="false">IFERROR(IF(AND(INDEX(Mob_Demob!$D$6:$D$14,MATCH(AM617,Mob_Demob!$A$6:$A$14,0))="",INDEX(Mob_Demob!$G$6:$G$14,MATCH(AM617,Mob_Demob!$A$6:$A$14,0))=""),"",ROUND(MAX(N(INDEX(Mob_Demob!$G$6:$G$14,MATCH(AM617,Mob_Demob!$A$6:$A$14,0))),N(INDEX(Mob_Demob!$D$6:$D$14,MATCH(AM617,Mob_Demob!$A$6:$A$14,0)))*Settings!$B$6)+IF(AP617="Y",N(INDEX(Mob_Demob!$I$6:$I$14,MATCH(AM617,Mob_Demob!$A$6:$A$14,0)))*Settings!$B$19,0)+N(INDEX(Mob_Demob!$L$6:$L$14,MATCH(AM617,Mob_Demob!$A$6:$A$14,0)))*N(INDEX(Mob_Demob!$K$6:$K$14,MATCH(AM617,Mob_Demob!$A$6:$A$14,0)))*Settings!$B$6+N(INDEX(Mob_Demob!$M$6:$M$14,MATCH(AM617,Mob_Demob!$A$6:$A$14,0)))*N(INDEX(Mob_Demob!$N$6:$N$14,MATCH(AM617,Mob_Demob!$A$6:$A$14,0))),0)),"")</f>
        <v>200</v>
      </c>
      <c r="AR617" s="16" t="n">
        <f aca="false">IF(AQ617="","",ROUND(AQ617*Settings!$B$18,0))</f>
        <v>200</v>
      </c>
      <c r="AS617" s="13" t="s">
        <v>3666</v>
      </c>
      <c r="AT617" s="14" t="s">
        <v>3667</v>
      </c>
      <c r="AU617" s="14" t="s">
        <v>1381</v>
      </c>
    </row>
    <row r="618" customFormat="false" ht="32.8" hidden="false" customHeight="false" outlineLevel="0" collapsed="false">
      <c r="A618" s="11" t="s">
        <v>3668</v>
      </c>
      <c r="B618" s="11" t="s">
        <v>3560</v>
      </c>
      <c r="C618" s="11" t="s">
        <v>3661</v>
      </c>
      <c r="D618" s="11" t="s">
        <v>3662</v>
      </c>
      <c r="E618" s="12" t="s">
        <v>3669</v>
      </c>
      <c r="F618" s="13" t="s">
        <v>857</v>
      </c>
      <c r="G618" s="13" t="s">
        <v>3670</v>
      </c>
      <c r="H618" s="13"/>
      <c r="I618" s="14" t="s">
        <v>3669</v>
      </c>
      <c r="J618" s="15"/>
      <c r="K618" s="13"/>
      <c r="L618" s="13"/>
      <c r="M618" s="13"/>
      <c r="N618" s="13" t="s">
        <v>184</v>
      </c>
      <c r="O618" s="13" t="s">
        <v>1164</v>
      </c>
      <c r="P618" s="13" t="s">
        <v>186</v>
      </c>
      <c r="Q618" s="16"/>
      <c r="R618" s="16"/>
      <c r="S618" s="16"/>
      <c r="T618" s="16"/>
      <c r="U618" s="16"/>
      <c r="V618" s="13" t="s">
        <v>187</v>
      </c>
      <c r="W618" s="17"/>
      <c r="X618" s="13"/>
      <c r="Y618" s="13"/>
      <c r="Z618" s="13"/>
      <c r="AA618" s="13" t="s">
        <v>188</v>
      </c>
      <c r="AB618" s="13" t="s">
        <v>3671</v>
      </c>
      <c r="AC618" s="17"/>
      <c r="AD618" s="13"/>
      <c r="AE618" s="19"/>
      <c r="AF618" s="19"/>
      <c r="AG618" s="19"/>
      <c r="AH618" s="13"/>
      <c r="AI618" s="17"/>
      <c r="AJ618" s="13" t="s">
        <v>188</v>
      </c>
      <c r="AK618" s="13" t="s">
        <v>188</v>
      </c>
      <c r="AL618" s="14"/>
      <c r="AM618" s="13" t="s">
        <v>1147</v>
      </c>
      <c r="AN618" s="15"/>
      <c r="AO618" s="13"/>
      <c r="AP618" s="13" t="s">
        <v>196</v>
      </c>
      <c r="AQ618" s="16" t="n">
        <f aca="false">IFERROR(IF(AND(INDEX(Mob_Demob!$D$6:$D$14,MATCH(AM618,Mob_Demob!$A$6:$A$14,0))="",INDEX(Mob_Demob!$G$6:$G$14,MATCH(AM618,Mob_Demob!$A$6:$A$14,0))=""),"",ROUND(MAX(N(INDEX(Mob_Demob!$G$6:$G$14,MATCH(AM618,Mob_Demob!$A$6:$A$14,0))),N(INDEX(Mob_Demob!$D$6:$D$14,MATCH(AM618,Mob_Demob!$A$6:$A$14,0)))*Settings!$B$6)+IF(AP618="Y",N(INDEX(Mob_Demob!$I$6:$I$14,MATCH(AM618,Mob_Demob!$A$6:$A$14,0)))*Settings!$B$19,0)+N(INDEX(Mob_Demob!$L$6:$L$14,MATCH(AM618,Mob_Demob!$A$6:$A$14,0)))*N(INDEX(Mob_Demob!$K$6:$K$14,MATCH(AM618,Mob_Demob!$A$6:$A$14,0)))*Settings!$B$6+N(INDEX(Mob_Demob!$M$6:$M$14,MATCH(AM618,Mob_Demob!$A$6:$A$14,0)))*N(INDEX(Mob_Demob!$N$6:$N$14,MATCH(AM618,Mob_Demob!$A$6:$A$14,0))),0)),"")</f>
        <v>200</v>
      </c>
      <c r="AR618" s="16" t="n">
        <f aca="false">IF(AQ618="","",ROUND(AQ618*Settings!$B$18,0))</f>
        <v>200</v>
      </c>
      <c r="AS618" s="13" t="s">
        <v>3666</v>
      </c>
      <c r="AT618" s="14" t="s">
        <v>3672</v>
      </c>
      <c r="AU618" s="14" t="s">
        <v>1381</v>
      </c>
    </row>
    <row r="619" customFormat="false" ht="32.8" hidden="false" customHeight="false" outlineLevel="0" collapsed="false">
      <c r="A619" s="11" t="s">
        <v>3673</v>
      </c>
      <c r="B619" s="11" t="s">
        <v>3560</v>
      </c>
      <c r="C619" s="11" t="s">
        <v>3661</v>
      </c>
      <c r="D619" s="11" t="s">
        <v>3662</v>
      </c>
      <c r="E619" s="12" t="s">
        <v>3674</v>
      </c>
      <c r="F619" s="13" t="s">
        <v>857</v>
      </c>
      <c r="G619" s="13" t="s">
        <v>3675</v>
      </c>
      <c r="H619" s="13"/>
      <c r="I619" s="14" t="s">
        <v>3674</v>
      </c>
      <c r="J619" s="15"/>
      <c r="K619" s="13"/>
      <c r="L619" s="13"/>
      <c r="M619" s="13"/>
      <c r="N619" s="13" t="s">
        <v>184</v>
      </c>
      <c r="O619" s="13" t="s">
        <v>1164</v>
      </c>
      <c r="P619" s="13" t="s">
        <v>186</v>
      </c>
      <c r="Q619" s="16"/>
      <c r="R619" s="16"/>
      <c r="S619" s="16"/>
      <c r="T619" s="16"/>
      <c r="U619" s="16"/>
      <c r="V619" s="13" t="s">
        <v>187</v>
      </c>
      <c r="W619" s="17"/>
      <c r="X619" s="13"/>
      <c r="Y619" s="13"/>
      <c r="Z619" s="13"/>
      <c r="AA619" s="13" t="s">
        <v>188</v>
      </c>
      <c r="AB619" s="13" t="s">
        <v>3676</v>
      </c>
      <c r="AC619" s="17"/>
      <c r="AD619" s="13"/>
      <c r="AE619" s="19"/>
      <c r="AF619" s="19"/>
      <c r="AG619" s="19"/>
      <c r="AH619" s="13"/>
      <c r="AI619" s="17"/>
      <c r="AJ619" s="13" t="s">
        <v>188</v>
      </c>
      <c r="AK619" s="13" t="s">
        <v>188</v>
      </c>
      <c r="AL619" s="14"/>
      <c r="AM619" s="13" t="s">
        <v>1147</v>
      </c>
      <c r="AN619" s="15"/>
      <c r="AO619" s="13"/>
      <c r="AP619" s="13" t="s">
        <v>196</v>
      </c>
      <c r="AQ619" s="16" t="n">
        <f aca="false">IFERROR(IF(AND(INDEX(Mob_Demob!$D$6:$D$14,MATCH(AM619,Mob_Demob!$A$6:$A$14,0))="",INDEX(Mob_Demob!$G$6:$G$14,MATCH(AM619,Mob_Demob!$A$6:$A$14,0))=""),"",ROUND(MAX(N(INDEX(Mob_Demob!$G$6:$G$14,MATCH(AM619,Mob_Demob!$A$6:$A$14,0))),N(INDEX(Mob_Demob!$D$6:$D$14,MATCH(AM619,Mob_Demob!$A$6:$A$14,0)))*Settings!$B$6)+IF(AP619="Y",N(INDEX(Mob_Demob!$I$6:$I$14,MATCH(AM619,Mob_Demob!$A$6:$A$14,0)))*Settings!$B$19,0)+N(INDEX(Mob_Demob!$L$6:$L$14,MATCH(AM619,Mob_Demob!$A$6:$A$14,0)))*N(INDEX(Mob_Demob!$K$6:$K$14,MATCH(AM619,Mob_Demob!$A$6:$A$14,0)))*Settings!$B$6+N(INDEX(Mob_Demob!$M$6:$M$14,MATCH(AM619,Mob_Demob!$A$6:$A$14,0)))*N(INDEX(Mob_Demob!$N$6:$N$14,MATCH(AM619,Mob_Demob!$A$6:$A$14,0))),0)),"")</f>
        <v>200</v>
      </c>
      <c r="AR619" s="16" t="n">
        <f aca="false">IF(AQ619="","",ROUND(AQ619*Settings!$B$18,0))</f>
        <v>200</v>
      </c>
      <c r="AS619" s="13" t="s">
        <v>3666</v>
      </c>
      <c r="AT619" s="14" t="s">
        <v>3677</v>
      </c>
      <c r="AU619" s="14" t="s">
        <v>1381</v>
      </c>
    </row>
    <row r="620" customFormat="false" ht="32.8" hidden="false" customHeight="false" outlineLevel="0" collapsed="false">
      <c r="A620" s="11" t="s">
        <v>3678</v>
      </c>
      <c r="B620" s="11" t="s">
        <v>3560</v>
      </c>
      <c r="C620" s="11" t="s">
        <v>3679</v>
      </c>
      <c r="D620" s="11" t="s">
        <v>3662</v>
      </c>
      <c r="E620" s="12" t="s">
        <v>3680</v>
      </c>
      <c r="F620" s="13" t="s">
        <v>857</v>
      </c>
      <c r="G620" s="13" t="s">
        <v>3681</v>
      </c>
      <c r="H620" s="13"/>
      <c r="I620" s="14" t="s">
        <v>3680</v>
      </c>
      <c r="J620" s="15"/>
      <c r="K620" s="13"/>
      <c r="L620" s="13"/>
      <c r="M620" s="13"/>
      <c r="N620" s="13" t="s">
        <v>184</v>
      </c>
      <c r="O620" s="13" t="s">
        <v>1164</v>
      </c>
      <c r="P620" s="13" t="s">
        <v>186</v>
      </c>
      <c r="Q620" s="16"/>
      <c r="R620" s="16"/>
      <c r="S620" s="16"/>
      <c r="T620" s="16"/>
      <c r="U620" s="16"/>
      <c r="V620" s="13" t="s">
        <v>187</v>
      </c>
      <c r="W620" s="17"/>
      <c r="X620" s="13"/>
      <c r="Y620" s="13"/>
      <c r="Z620" s="13"/>
      <c r="AA620" s="13" t="s">
        <v>188</v>
      </c>
      <c r="AB620" s="13" t="s">
        <v>3682</v>
      </c>
      <c r="AC620" s="17"/>
      <c r="AD620" s="13"/>
      <c r="AE620" s="19"/>
      <c r="AF620" s="19"/>
      <c r="AG620" s="19"/>
      <c r="AH620" s="13"/>
      <c r="AI620" s="17"/>
      <c r="AJ620" s="13" t="s">
        <v>188</v>
      </c>
      <c r="AK620" s="13" t="s">
        <v>188</v>
      </c>
      <c r="AL620" s="14"/>
      <c r="AM620" s="13" t="s">
        <v>1147</v>
      </c>
      <c r="AN620" s="15"/>
      <c r="AO620" s="13"/>
      <c r="AP620" s="13" t="s">
        <v>196</v>
      </c>
      <c r="AQ620" s="16" t="n">
        <f aca="false">IFERROR(IF(AND(INDEX(Mob_Demob!$D$6:$D$14,MATCH(AM620,Mob_Demob!$A$6:$A$14,0))="",INDEX(Mob_Demob!$G$6:$G$14,MATCH(AM620,Mob_Demob!$A$6:$A$14,0))=""),"",ROUND(MAX(N(INDEX(Mob_Demob!$G$6:$G$14,MATCH(AM620,Mob_Demob!$A$6:$A$14,0))),N(INDEX(Mob_Demob!$D$6:$D$14,MATCH(AM620,Mob_Demob!$A$6:$A$14,0)))*Settings!$B$6)+IF(AP620="Y",N(INDEX(Mob_Demob!$I$6:$I$14,MATCH(AM620,Mob_Demob!$A$6:$A$14,0)))*Settings!$B$19,0)+N(INDEX(Mob_Demob!$L$6:$L$14,MATCH(AM620,Mob_Demob!$A$6:$A$14,0)))*N(INDEX(Mob_Demob!$K$6:$K$14,MATCH(AM620,Mob_Demob!$A$6:$A$14,0)))*Settings!$B$6+N(INDEX(Mob_Demob!$M$6:$M$14,MATCH(AM620,Mob_Demob!$A$6:$A$14,0)))*N(INDEX(Mob_Demob!$N$6:$N$14,MATCH(AM620,Mob_Demob!$A$6:$A$14,0))),0)),"")</f>
        <v>200</v>
      </c>
      <c r="AR620" s="16" t="n">
        <f aca="false">IF(AQ620="","",ROUND(AQ620*Settings!$B$18,0))</f>
        <v>200</v>
      </c>
      <c r="AS620" s="13" t="s">
        <v>3666</v>
      </c>
      <c r="AT620" s="14" t="s">
        <v>3683</v>
      </c>
      <c r="AU620" s="14" t="s">
        <v>1381</v>
      </c>
    </row>
    <row r="621" customFormat="false" ht="32.8" hidden="false" customHeight="false" outlineLevel="0" collapsed="false">
      <c r="A621" s="11" t="s">
        <v>3684</v>
      </c>
      <c r="B621" s="11" t="s">
        <v>3560</v>
      </c>
      <c r="C621" s="11" t="s">
        <v>3679</v>
      </c>
      <c r="D621" s="11" t="s">
        <v>3662</v>
      </c>
      <c r="E621" s="12" t="s">
        <v>3685</v>
      </c>
      <c r="F621" s="13" t="s">
        <v>857</v>
      </c>
      <c r="G621" s="13" t="s">
        <v>3686</v>
      </c>
      <c r="H621" s="13"/>
      <c r="I621" s="14" t="s">
        <v>3685</v>
      </c>
      <c r="J621" s="15"/>
      <c r="K621" s="13"/>
      <c r="L621" s="13"/>
      <c r="M621" s="13"/>
      <c r="N621" s="13" t="s">
        <v>184</v>
      </c>
      <c r="O621" s="13" t="s">
        <v>1164</v>
      </c>
      <c r="P621" s="13" t="s">
        <v>186</v>
      </c>
      <c r="Q621" s="16"/>
      <c r="R621" s="16"/>
      <c r="S621" s="16"/>
      <c r="T621" s="16"/>
      <c r="U621" s="16"/>
      <c r="V621" s="13" t="s">
        <v>187</v>
      </c>
      <c r="W621" s="17"/>
      <c r="X621" s="13"/>
      <c r="Y621" s="13"/>
      <c r="Z621" s="13"/>
      <c r="AA621" s="13" t="s">
        <v>188</v>
      </c>
      <c r="AB621" s="13" t="s">
        <v>3687</v>
      </c>
      <c r="AC621" s="17"/>
      <c r="AD621" s="13"/>
      <c r="AE621" s="19"/>
      <c r="AF621" s="19"/>
      <c r="AG621" s="19"/>
      <c r="AH621" s="13"/>
      <c r="AI621" s="17"/>
      <c r="AJ621" s="13" t="s">
        <v>188</v>
      </c>
      <c r="AK621" s="13" t="s">
        <v>188</v>
      </c>
      <c r="AL621" s="14"/>
      <c r="AM621" s="13" t="s">
        <v>1147</v>
      </c>
      <c r="AN621" s="15"/>
      <c r="AO621" s="13"/>
      <c r="AP621" s="13" t="s">
        <v>196</v>
      </c>
      <c r="AQ621" s="16" t="n">
        <f aca="false">IFERROR(IF(AND(INDEX(Mob_Demob!$D$6:$D$14,MATCH(AM621,Mob_Demob!$A$6:$A$14,0))="",INDEX(Mob_Demob!$G$6:$G$14,MATCH(AM621,Mob_Demob!$A$6:$A$14,0))=""),"",ROUND(MAX(N(INDEX(Mob_Demob!$G$6:$G$14,MATCH(AM621,Mob_Demob!$A$6:$A$14,0))),N(INDEX(Mob_Demob!$D$6:$D$14,MATCH(AM621,Mob_Demob!$A$6:$A$14,0)))*Settings!$B$6)+IF(AP621="Y",N(INDEX(Mob_Demob!$I$6:$I$14,MATCH(AM621,Mob_Demob!$A$6:$A$14,0)))*Settings!$B$19,0)+N(INDEX(Mob_Demob!$L$6:$L$14,MATCH(AM621,Mob_Demob!$A$6:$A$14,0)))*N(INDEX(Mob_Demob!$K$6:$K$14,MATCH(AM621,Mob_Demob!$A$6:$A$14,0)))*Settings!$B$6+N(INDEX(Mob_Demob!$M$6:$M$14,MATCH(AM621,Mob_Demob!$A$6:$A$14,0)))*N(INDEX(Mob_Demob!$N$6:$N$14,MATCH(AM621,Mob_Demob!$A$6:$A$14,0))),0)),"")</f>
        <v>200</v>
      </c>
      <c r="AR621" s="16" t="n">
        <f aca="false">IF(AQ621="","",ROUND(AQ621*Settings!$B$18,0))</f>
        <v>200</v>
      </c>
      <c r="AS621" s="13" t="s">
        <v>3666</v>
      </c>
      <c r="AT621" s="14" t="s">
        <v>3688</v>
      </c>
      <c r="AU621" s="14" t="s">
        <v>1381</v>
      </c>
    </row>
    <row r="622" customFormat="false" ht="32.8" hidden="false" customHeight="false" outlineLevel="0" collapsed="false">
      <c r="A622" s="11" t="s">
        <v>3689</v>
      </c>
      <c r="B622" s="11" t="s">
        <v>3560</v>
      </c>
      <c r="C622" s="11" t="s">
        <v>3679</v>
      </c>
      <c r="D622" s="11" t="s">
        <v>3662</v>
      </c>
      <c r="E622" s="12" t="s">
        <v>3690</v>
      </c>
      <c r="F622" s="13" t="s">
        <v>857</v>
      </c>
      <c r="G622" s="13" t="s">
        <v>3691</v>
      </c>
      <c r="H622" s="13"/>
      <c r="I622" s="14" t="s">
        <v>3690</v>
      </c>
      <c r="J622" s="15"/>
      <c r="K622" s="13"/>
      <c r="L622" s="13"/>
      <c r="M622" s="13"/>
      <c r="N622" s="13" t="s">
        <v>184</v>
      </c>
      <c r="O622" s="13" t="s">
        <v>1164</v>
      </c>
      <c r="P622" s="13" t="s">
        <v>186</v>
      </c>
      <c r="Q622" s="16"/>
      <c r="R622" s="16"/>
      <c r="S622" s="16"/>
      <c r="T622" s="16"/>
      <c r="U622" s="16"/>
      <c r="V622" s="13" t="s">
        <v>187</v>
      </c>
      <c r="W622" s="17"/>
      <c r="X622" s="13"/>
      <c r="Y622" s="13"/>
      <c r="Z622" s="13"/>
      <c r="AA622" s="13" t="s">
        <v>188</v>
      </c>
      <c r="AB622" s="13" t="s">
        <v>3692</v>
      </c>
      <c r="AC622" s="17"/>
      <c r="AD622" s="13"/>
      <c r="AE622" s="19"/>
      <c r="AF622" s="19"/>
      <c r="AG622" s="19"/>
      <c r="AH622" s="13"/>
      <c r="AI622" s="17"/>
      <c r="AJ622" s="13" t="s">
        <v>188</v>
      </c>
      <c r="AK622" s="13" t="s">
        <v>188</v>
      </c>
      <c r="AL622" s="14"/>
      <c r="AM622" s="13" t="s">
        <v>1147</v>
      </c>
      <c r="AN622" s="15"/>
      <c r="AO622" s="13"/>
      <c r="AP622" s="13" t="s">
        <v>196</v>
      </c>
      <c r="AQ622" s="16" t="n">
        <f aca="false">IFERROR(IF(AND(INDEX(Mob_Demob!$D$6:$D$14,MATCH(AM622,Mob_Demob!$A$6:$A$14,0))="",INDEX(Mob_Demob!$G$6:$G$14,MATCH(AM622,Mob_Demob!$A$6:$A$14,0))=""),"",ROUND(MAX(N(INDEX(Mob_Demob!$G$6:$G$14,MATCH(AM622,Mob_Demob!$A$6:$A$14,0))),N(INDEX(Mob_Demob!$D$6:$D$14,MATCH(AM622,Mob_Demob!$A$6:$A$14,0)))*Settings!$B$6)+IF(AP622="Y",N(INDEX(Mob_Demob!$I$6:$I$14,MATCH(AM622,Mob_Demob!$A$6:$A$14,0)))*Settings!$B$19,0)+N(INDEX(Mob_Demob!$L$6:$L$14,MATCH(AM622,Mob_Demob!$A$6:$A$14,0)))*N(INDEX(Mob_Demob!$K$6:$K$14,MATCH(AM622,Mob_Demob!$A$6:$A$14,0)))*Settings!$B$6+N(INDEX(Mob_Demob!$M$6:$M$14,MATCH(AM622,Mob_Demob!$A$6:$A$14,0)))*N(INDEX(Mob_Demob!$N$6:$N$14,MATCH(AM622,Mob_Demob!$A$6:$A$14,0))),0)),"")</f>
        <v>200</v>
      </c>
      <c r="AR622" s="16" t="n">
        <f aca="false">IF(AQ622="","",ROUND(AQ622*Settings!$B$18,0))</f>
        <v>200</v>
      </c>
      <c r="AS622" s="13" t="s">
        <v>3666</v>
      </c>
      <c r="AT622" s="14" t="s">
        <v>3693</v>
      </c>
      <c r="AU622" s="14" t="s">
        <v>1381</v>
      </c>
    </row>
    <row r="623" customFormat="false" ht="32.8" hidden="false" customHeight="false" outlineLevel="0" collapsed="false">
      <c r="A623" s="11" t="s">
        <v>3694</v>
      </c>
      <c r="B623" s="11" t="s">
        <v>3560</v>
      </c>
      <c r="C623" s="11" t="s">
        <v>3695</v>
      </c>
      <c r="D623" s="11" t="s">
        <v>3696</v>
      </c>
      <c r="E623" s="12" t="s">
        <v>3695</v>
      </c>
      <c r="F623" s="13" t="s">
        <v>141</v>
      </c>
      <c r="G623" s="13"/>
      <c r="H623" s="13"/>
      <c r="I623" s="14" t="s">
        <v>3697</v>
      </c>
      <c r="J623" s="15"/>
      <c r="K623" s="13"/>
      <c r="L623" s="13"/>
      <c r="M623" s="13"/>
      <c r="N623" s="13" t="s">
        <v>184</v>
      </c>
      <c r="O623" s="13" t="s">
        <v>1164</v>
      </c>
      <c r="P623" s="13" t="s">
        <v>186</v>
      </c>
      <c r="Q623" s="16"/>
      <c r="R623" s="16"/>
      <c r="S623" s="16"/>
      <c r="T623" s="16"/>
      <c r="U623" s="16"/>
      <c r="V623" s="13" t="s">
        <v>187</v>
      </c>
      <c r="W623" s="17"/>
      <c r="X623" s="13"/>
      <c r="Y623" s="13"/>
      <c r="Z623" s="13"/>
      <c r="AA623" s="13" t="s">
        <v>188</v>
      </c>
      <c r="AB623" s="13" t="s">
        <v>3698</v>
      </c>
      <c r="AC623" s="17"/>
      <c r="AD623" s="13"/>
      <c r="AE623" s="19"/>
      <c r="AF623" s="19"/>
      <c r="AG623" s="19"/>
      <c r="AH623" s="13"/>
      <c r="AI623" s="17"/>
      <c r="AJ623" s="13" t="s">
        <v>188</v>
      </c>
      <c r="AK623" s="13" t="s">
        <v>188</v>
      </c>
      <c r="AL623" s="14"/>
      <c r="AM623" s="13" t="s">
        <v>1147</v>
      </c>
      <c r="AN623" s="15"/>
      <c r="AO623" s="13"/>
      <c r="AP623" s="13" t="s">
        <v>196</v>
      </c>
      <c r="AQ623" s="16" t="n">
        <f aca="false">IFERROR(IF(AND(INDEX(Mob_Demob!$D$6:$D$14,MATCH(AM623,Mob_Demob!$A$6:$A$14,0))="",INDEX(Mob_Demob!$G$6:$G$14,MATCH(AM623,Mob_Demob!$A$6:$A$14,0))=""),"",ROUND(MAX(N(INDEX(Mob_Demob!$G$6:$G$14,MATCH(AM623,Mob_Demob!$A$6:$A$14,0))),N(INDEX(Mob_Demob!$D$6:$D$14,MATCH(AM623,Mob_Demob!$A$6:$A$14,0)))*Settings!$B$6)+IF(AP623="Y",N(INDEX(Mob_Demob!$I$6:$I$14,MATCH(AM623,Mob_Demob!$A$6:$A$14,0)))*Settings!$B$19,0)+N(INDEX(Mob_Demob!$L$6:$L$14,MATCH(AM623,Mob_Demob!$A$6:$A$14,0)))*N(INDEX(Mob_Demob!$K$6:$K$14,MATCH(AM623,Mob_Demob!$A$6:$A$14,0)))*Settings!$B$6+N(INDEX(Mob_Demob!$M$6:$M$14,MATCH(AM623,Mob_Demob!$A$6:$A$14,0)))*N(INDEX(Mob_Demob!$N$6:$N$14,MATCH(AM623,Mob_Demob!$A$6:$A$14,0))),0)),"")</f>
        <v>200</v>
      </c>
      <c r="AR623" s="16" t="n">
        <f aca="false">IF(AQ623="","",ROUND(AQ623*Settings!$B$18,0))</f>
        <v>200</v>
      </c>
      <c r="AS623" s="13"/>
      <c r="AT623" s="14" t="s">
        <v>3699</v>
      </c>
      <c r="AU623" s="14" t="s">
        <v>1381</v>
      </c>
    </row>
    <row r="624" customFormat="false" ht="32.8" hidden="false" customHeight="false" outlineLevel="0" collapsed="false">
      <c r="A624" s="11" t="s">
        <v>3700</v>
      </c>
      <c r="B624" s="11" t="s">
        <v>3560</v>
      </c>
      <c r="C624" s="11" t="s">
        <v>3701</v>
      </c>
      <c r="D624" s="11" t="s">
        <v>3702</v>
      </c>
      <c r="E624" s="12" t="s">
        <v>3701</v>
      </c>
      <c r="F624" s="13" t="s">
        <v>141</v>
      </c>
      <c r="G624" s="13"/>
      <c r="H624" s="13"/>
      <c r="I624" s="14" t="s">
        <v>3703</v>
      </c>
      <c r="J624" s="15"/>
      <c r="K624" s="13"/>
      <c r="L624" s="13"/>
      <c r="M624" s="13"/>
      <c r="N624" s="13" t="s">
        <v>184</v>
      </c>
      <c r="O624" s="13" t="s">
        <v>1164</v>
      </c>
      <c r="P624" s="13" t="s">
        <v>186</v>
      </c>
      <c r="Q624" s="16"/>
      <c r="R624" s="16"/>
      <c r="S624" s="16"/>
      <c r="T624" s="16"/>
      <c r="U624" s="16"/>
      <c r="V624" s="13" t="s">
        <v>187</v>
      </c>
      <c r="W624" s="17"/>
      <c r="X624" s="13"/>
      <c r="Y624" s="13"/>
      <c r="Z624" s="13"/>
      <c r="AA624" s="13" t="s">
        <v>188</v>
      </c>
      <c r="AB624" s="13" t="s">
        <v>3704</v>
      </c>
      <c r="AC624" s="17"/>
      <c r="AD624" s="13"/>
      <c r="AE624" s="19"/>
      <c r="AF624" s="19"/>
      <c r="AG624" s="19"/>
      <c r="AH624" s="13"/>
      <c r="AI624" s="17"/>
      <c r="AJ624" s="13" t="s">
        <v>188</v>
      </c>
      <c r="AK624" s="13" t="s">
        <v>188</v>
      </c>
      <c r="AL624" s="14"/>
      <c r="AM624" s="13" t="s">
        <v>1147</v>
      </c>
      <c r="AN624" s="15"/>
      <c r="AO624" s="13"/>
      <c r="AP624" s="13" t="s">
        <v>196</v>
      </c>
      <c r="AQ624" s="16" t="n">
        <f aca="false">IFERROR(IF(AND(INDEX(Mob_Demob!$D$6:$D$14,MATCH(AM624,Mob_Demob!$A$6:$A$14,0))="",INDEX(Mob_Demob!$G$6:$G$14,MATCH(AM624,Mob_Demob!$A$6:$A$14,0))=""),"",ROUND(MAX(N(INDEX(Mob_Demob!$G$6:$G$14,MATCH(AM624,Mob_Demob!$A$6:$A$14,0))),N(INDEX(Mob_Demob!$D$6:$D$14,MATCH(AM624,Mob_Demob!$A$6:$A$14,0)))*Settings!$B$6)+IF(AP624="Y",N(INDEX(Mob_Demob!$I$6:$I$14,MATCH(AM624,Mob_Demob!$A$6:$A$14,0)))*Settings!$B$19,0)+N(INDEX(Mob_Demob!$L$6:$L$14,MATCH(AM624,Mob_Demob!$A$6:$A$14,0)))*N(INDEX(Mob_Demob!$K$6:$K$14,MATCH(AM624,Mob_Demob!$A$6:$A$14,0)))*Settings!$B$6+N(INDEX(Mob_Demob!$M$6:$M$14,MATCH(AM624,Mob_Demob!$A$6:$A$14,0)))*N(INDEX(Mob_Demob!$N$6:$N$14,MATCH(AM624,Mob_Demob!$A$6:$A$14,0))),0)),"")</f>
        <v>200</v>
      </c>
      <c r="AR624" s="16" t="n">
        <f aca="false">IF(AQ624="","",ROUND(AQ624*Settings!$B$18,0))</f>
        <v>200</v>
      </c>
      <c r="AS624" s="13" t="s">
        <v>1148</v>
      </c>
      <c r="AT624" s="14" t="s">
        <v>3705</v>
      </c>
      <c r="AU624" s="14" t="s">
        <v>1381</v>
      </c>
    </row>
    <row r="625" customFormat="false" ht="22.35" hidden="false" customHeight="false" outlineLevel="0" collapsed="false">
      <c r="A625" s="11" t="s">
        <v>3706</v>
      </c>
      <c r="B625" s="11" t="s">
        <v>3560</v>
      </c>
      <c r="C625" s="11" t="s">
        <v>3707</v>
      </c>
      <c r="D625" s="11" t="s">
        <v>3708</v>
      </c>
      <c r="E625" s="12" t="s">
        <v>3709</v>
      </c>
      <c r="F625" s="13" t="s">
        <v>141</v>
      </c>
      <c r="G625" s="13"/>
      <c r="H625" s="13"/>
      <c r="I625" s="14"/>
      <c r="J625" s="15"/>
      <c r="K625" s="13"/>
      <c r="L625" s="13"/>
      <c r="M625" s="13"/>
      <c r="N625" s="13" t="s">
        <v>1737</v>
      </c>
      <c r="O625" s="13" t="s">
        <v>1844</v>
      </c>
      <c r="P625" s="13" t="s">
        <v>186</v>
      </c>
      <c r="Q625" s="16"/>
      <c r="R625" s="16"/>
      <c r="S625" s="16"/>
      <c r="T625" s="16"/>
      <c r="U625" s="16"/>
      <c r="V625" s="13" t="s">
        <v>187</v>
      </c>
      <c r="W625" s="17"/>
      <c r="X625" s="13"/>
      <c r="Y625" s="13"/>
      <c r="Z625" s="13"/>
      <c r="AA625" s="13" t="s">
        <v>188</v>
      </c>
      <c r="AB625" s="13"/>
      <c r="AC625" s="17"/>
      <c r="AD625" s="13"/>
      <c r="AE625" s="19" t="n">
        <v>0</v>
      </c>
      <c r="AF625" s="19" t="n">
        <v>0</v>
      </c>
      <c r="AG625" s="19" t="n">
        <v>0</v>
      </c>
      <c r="AH625" s="13" t="s">
        <v>1739</v>
      </c>
      <c r="AI625" s="17"/>
      <c r="AJ625" s="13" t="s">
        <v>188</v>
      </c>
      <c r="AK625" s="13" t="s">
        <v>188</v>
      </c>
      <c r="AL625" s="14"/>
      <c r="AM625" s="13" t="s">
        <v>1147</v>
      </c>
      <c r="AN625" s="15"/>
      <c r="AO625" s="13"/>
      <c r="AP625" s="13" t="s">
        <v>196</v>
      </c>
      <c r="AQ625" s="16" t="n">
        <f aca="false">IFERROR(IF(AND(INDEX(Mob_Demob!$D$6:$D$14,MATCH(AM625,Mob_Demob!$A$6:$A$14,0))="",INDEX(Mob_Demob!$G$6:$G$14,MATCH(AM625,Mob_Demob!$A$6:$A$14,0))=""),"",ROUND(MAX(N(INDEX(Mob_Demob!$G$6:$G$14,MATCH(AM625,Mob_Demob!$A$6:$A$14,0))),N(INDEX(Mob_Demob!$D$6:$D$14,MATCH(AM625,Mob_Demob!$A$6:$A$14,0)))*Settings!$B$6)+IF(AP625="Y",N(INDEX(Mob_Demob!$I$6:$I$14,MATCH(AM625,Mob_Demob!$A$6:$A$14,0)))*Settings!$B$19,0)+N(INDEX(Mob_Demob!$L$6:$L$14,MATCH(AM625,Mob_Demob!$A$6:$A$14,0)))*N(INDEX(Mob_Demob!$K$6:$K$14,MATCH(AM625,Mob_Demob!$A$6:$A$14,0)))*Settings!$B$6+N(INDEX(Mob_Demob!$M$6:$M$14,MATCH(AM625,Mob_Demob!$A$6:$A$14,0)))*N(INDEX(Mob_Demob!$N$6:$N$14,MATCH(AM625,Mob_Demob!$A$6:$A$14,0))),0)),"")</f>
        <v>200</v>
      </c>
      <c r="AR625" s="16" t="n">
        <f aca="false">IF(AQ625="","",ROUND(AQ625*Settings!$B$18,0))</f>
        <v>200</v>
      </c>
      <c r="AS625" s="13"/>
      <c r="AT625" s="14" t="s">
        <v>3710</v>
      </c>
      <c r="AU625" s="14" t="s">
        <v>251</v>
      </c>
    </row>
    <row r="626" customFormat="false" ht="22.35" hidden="false" customHeight="false" outlineLevel="0" collapsed="false">
      <c r="A626" s="11" t="s">
        <v>3711</v>
      </c>
      <c r="B626" s="11" t="s">
        <v>3560</v>
      </c>
      <c r="C626" s="11" t="s">
        <v>3712</v>
      </c>
      <c r="D626" s="11" t="s">
        <v>3713</v>
      </c>
      <c r="E626" s="12" t="s">
        <v>3712</v>
      </c>
      <c r="F626" s="13" t="s">
        <v>141</v>
      </c>
      <c r="G626" s="13"/>
      <c r="H626" s="13"/>
      <c r="I626" s="14"/>
      <c r="J626" s="15"/>
      <c r="K626" s="13"/>
      <c r="L626" s="13"/>
      <c r="M626" s="13"/>
      <c r="N626" s="13" t="s">
        <v>1154</v>
      </c>
      <c r="O626" s="13" t="s">
        <v>504</v>
      </c>
      <c r="P626" s="13" t="s">
        <v>186</v>
      </c>
      <c r="Q626" s="16"/>
      <c r="R626" s="16"/>
      <c r="S626" s="16"/>
      <c r="T626" s="16"/>
      <c r="U626" s="16"/>
      <c r="V626" s="13" t="s">
        <v>187</v>
      </c>
      <c r="W626" s="17"/>
      <c r="X626" s="13"/>
      <c r="Y626" s="13"/>
      <c r="Z626" s="13"/>
      <c r="AA626" s="13" t="s">
        <v>188</v>
      </c>
      <c r="AB626" s="13"/>
      <c r="AC626" s="17"/>
      <c r="AD626" s="13"/>
      <c r="AE626" s="19"/>
      <c r="AF626" s="19"/>
      <c r="AG626" s="19"/>
      <c r="AH626" s="13"/>
      <c r="AI626" s="17"/>
      <c r="AJ626" s="13" t="s">
        <v>188</v>
      </c>
      <c r="AK626" s="13" t="s">
        <v>188</v>
      </c>
      <c r="AL626" s="14"/>
      <c r="AM626" s="13" t="s">
        <v>1155</v>
      </c>
      <c r="AN626" s="15"/>
      <c r="AO626" s="13"/>
      <c r="AP626" s="13" t="s">
        <v>196</v>
      </c>
      <c r="AQ626" s="16" t="n">
        <f aca="false">IFERROR(IF(AND(INDEX(Mob_Demob!$D$6:$D$14,MATCH(AM626,Mob_Demob!$A$6:$A$14,0))="",INDEX(Mob_Demob!$G$6:$G$14,MATCH(AM626,Mob_Demob!$A$6:$A$14,0))=""),"",ROUND(MAX(N(INDEX(Mob_Demob!$G$6:$G$14,MATCH(AM626,Mob_Demob!$A$6:$A$14,0))),N(INDEX(Mob_Demob!$D$6:$D$14,MATCH(AM626,Mob_Demob!$A$6:$A$14,0)))*Settings!$B$6)+IF(AP626="Y",N(INDEX(Mob_Demob!$I$6:$I$14,MATCH(AM626,Mob_Demob!$A$6:$A$14,0)))*Settings!$B$19,0)+N(INDEX(Mob_Demob!$L$6:$L$14,MATCH(AM626,Mob_Demob!$A$6:$A$14,0)))*N(INDEX(Mob_Demob!$K$6:$K$14,MATCH(AM626,Mob_Demob!$A$6:$A$14,0)))*Settings!$B$6+N(INDEX(Mob_Demob!$M$6:$M$14,MATCH(AM626,Mob_Demob!$A$6:$A$14,0)))*N(INDEX(Mob_Demob!$N$6:$N$14,MATCH(AM626,Mob_Demob!$A$6:$A$14,0))),0)),"")</f>
        <v>200</v>
      </c>
      <c r="AR626" s="16" t="n">
        <f aca="false">IF(AQ626="","",ROUND(AQ626*Settings!$B$18,0))</f>
        <v>200</v>
      </c>
      <c r="AS626" s="13" t="s">
        <v>3568</v>
      </c>
      <c r="AT626" s="14" t="s">
        <v>3714</v>
      </c>
      <c r="AU626" s="14" t="s">
        <v>251</v>
      </c>
    </row>
    <row r="627" customFormat="false" ht="22.35" hidden="false" customHeight="false" outlineLevel="0" collapsed="false">
      <c r="A627" s="11" t="s">
        <v>3715</v>
      </c>
      <c r="B627" s="11" t="s">
        <v>3560</v>
      </c>
      <c r="C627" s="11" t="s">
        <v>3716</v>
      </c>
      <c r="D627" s="11" t="s">
        <v>3713</v>
      </c>
      <c r="E627" s="12" t="s">
        <v>3716</v>
      </c>
      <c r="F627" s="13" t="s">
        <v>141</v>
      </c>
      <c r="G627" s="13"/>
      <c r="H627" s="13"/>
      <c r="I627" s="14"/>
      <c r="J627" s="15"/>
      <c r="K627" s="13"/>
      <c r="L627" s="13"/>
      <c r="M627" s="13"/>
      <c r="N627" s="13" t="s">
        <v>1154</v>
      </c>
      <c r="O627" s="13" t="s">
        <v>504</v>
      </c>
      <c r="P627" s="13" t="s">
        <v>186</v>
      </c>
      <c r="Q627" s="16"/>
      <c r="R627" s="16"/>
      <c r="S627" s="16"/>
      <c r="T627" s="16"/>
      <c r="U627" s="16"/>
      <c r="V627" s="13" t="s">
        <v>187</v>
      </c>
      <c r="W627" s="17"/>
      <c r="X627" s="13"/>
      <c r="Y627" s="13"/>
      <c r="Z627" s="13"/>
      <c r="AA627" s="13" t="s">
        <v>188</v>
      </c>
      <c r="AB627" s="13"/>
      <c r="AC627" s="17"/>
      <c r="AD627" s="13"/>
      <c r="AE627" s="19"/>
      <c r="AF627" s="19"/>
      <c r="AG627" s="19"/>
      <c r="AH627" s="13"/>
      <c r="AI627" s="17"/>
      <c r="AJ627" s="13" t="s">
        <v>188</v>
      </c>
      <c r="AK627" s="13" t="s">
        <v>188</v>
      </c>
      <c r="AL627" s="14"/>
      <c r="AM627" s="13" t="s">
        <v>1155</v>
      </c>
      <c r="AN627" s="15"/>
      <c r="AO627" s="13"/>
      <c r="AP627" s="13" t="s">
        <v>196</v>
      </c>
      <c r="AQ627" s="16" t="n">
        <f aca="false">IFERROR(IF(AND(INDEX(Mob_Demob!$D$6:$D$14,MATCH(AM627,Mob_Demob!$A$6:$A$14,0))="",INDEX(Mob_Demob!$G$6:$G$14,MATCH(AM627,Mob_Demob!$A$6:$A$14,0))=""),"",ROUND(MAX(N(INDEX(Mob_Demob!$G$6:$G$14,MATCH(AM627,Mob_Demob!$A$6:$A$14,0))),N(INDEX(Mob_Demob!$D$6:$D$14,MATCH(AM627,Mob_Demob!$A$6:$A$14,0)))*Settings!$B$6)+IF(AP627="Y",N(INDEX(Mob_Demob!$I$6:$I$14,MATCH(AM627,Mob_Demob!$A$6:$A$14,0)))*Settings!$B$19,0)+N(INDEX(Mob_Demob!$L$6:$L$14,MATCH(AM627,Mob_Demob!$A$6:$A$14,0)))*N(INDEX(Mob_Demob!$K$6:$K$14,MATCH(AM627,Mob_Demob!$A$6:$A$14,0)))*Settings!$B$6+N(INDEX(Mob_Demob!$M$6:$M$14,MATCH(AM627,Mob_Demob!$A$6:$A$14,0)))*N(INDEX(Mob_Demob!$N$6:$N$14,MATCH(AM627,Mob_Demob!$A$6:$A$14,0))),0)),"")</f>
        <v>200</v>
      </c>
      <c r="AR627" s="16" t="n">
        <f aca="false">IF(AQ627="","",ROUND(AQ627*Settings!$B$18,0))</f>
        <v>200</v>
      </c>
      <c r="AS627" s="13" t="s">
        <v>3568</v>
      </c>
      <c r="AT627" s="14" t="s">
        <v>3714</v>
      </c>
      <c r="AU627" s="14" t="s">
        <v>251</v>
      </c>
    </row>
    <row r="628" customFormat="false" ht="22.35" hidden="false" customHeight="false" outlineLevel="0" collapsed="false">
      <c r="A628" s="11" t="s">
        <v>3717</v>
      </c>
      <c r="B628" s="11" t="s">
        <v>3560</v>
      </c>
      <c r="C628" s="11" t="s">
        <v>3718</v>
      </c>
      <c r="D628" s="11" t="s">
        <v>3713</v>
      </c>
      <c r="E628" s="12" t="s">
        <v>3718</v>
      </c>
      <c r="F628" s="13" t="s">
        <v>141</v>
      </c>
      <c r="G628" s="13"/>
      <c r="H628" s="13"/>
      <c r="I628" s="14"/>
      <c r="J628" s="15"/>
      <c r="K628" s="13"/>
      <c r="L628" s="13"/>
      <c r="M628" s="13"/>
      <c r="N628" s="13" t="s">
        <v>1154</v>
      </c>
      <c r="O628" s="13" t="s">
        <v>504</v>
      </c>
      <c r="P628" s="13" t="s">
        <v>186</v>
      </c>
      <c r="Q628" s="16"/>
      <c r="R628" s="16"/>
      <c r="S628" s="16"/>
      <c r="T628" s="16"/>
      <c r="U628" s="16"/>
      <c r="V628" s="13" t="s">
        <v>187</v>
      </c>
      <c r="W628" s="17"/>
      <c r="X628" s="13"/>
      <c r="Y628" s="13"/>
      <c r="Z628" s="13"/>
      <c r="AA628" s="13" t="s">
        <v>188</v>
      </c>
      <c r="AB628" s="13"/>
      <c r="AC628" s="17"/>
      <c r="AD628" s="13"/>
      <c r="AE628" s="19"/>
      <c r="AF628" s="19"/>
      <c r="AG628" s="19"/>
      <c r="AH628" s="13"/>
      <c r="AI628" s="17"/>
      <c r="AJ628" s="13" t="s">
        <v>188</v>
      </c>
      <c r="AK628" s="13" t="s">
        <v>188</v>
      </c>
      <c r="AL628" s="14"/>
      <c r="AM628" s="13" t="s">
        <v>1155</v>
      </c>
      <c r="AN628" s="15"/>
      <c r="AO628" s="13"/>
      <c r="AP628" s="13" t="s">
        <v>196</v>
      </c>
      <c r="AQ628" s="16" t="n">
        <f aca="false">IFERROR(IF(AND(INDEX(Mob_Demob!$D$6:$D$14,MATCH(AM628,Mob_Demob!$A$6:$A$14,0))="",INDEX(Mob_Demob!$G$6:$G$14,MATCH(AM628,Mob_Demob!$A$6:$A$14,0))=""),"",ROUND(MAX(N(INDEX(Mob_Demob!$G$6:$G$14,MATCH(AM628,Mob_Demob!$A$6:$A$14,0))),N(INDEX(Mob_Demob!$D$6:$D$14,MATCH(AM628,Mob_Demob!$A$6:$A$14,0)))*Settings!$B$6)+IF(AP628="Y",N(INDEX(Mob_Demob!$I$6:$I$14,MATCH(AM628,Mob_Demob!$A$6:$A$14,0)))*Settings!$B$19,0)+N(INDEX(Mob_Demob!$L$6:$L$14,MATCH(AM628,Mob_Demob!$A$6:$A$14,0)))*N(INDEX(Mob_Demob!$K$6:$K$14,MATCH(AM628,Mob_Demob!$A$6:$A$14,0)))*Settings!$B$6+N(INDEX(Mob_Demob!$M$6:$M$14,MATCH(AM628,Mob_Demob!$A$6:$A$14,0)))*N(INDEX(Mob_Demob!$N$6:$N$14,MATCH(AM628,Mob_Demob!$A$6:$A$14,0))),0)),"")</f>
        <v>200</v>
      </c>
      <c r="AR628" s="16" t="n">
        <f aca="false">IF(AQ628="","",ROUND(AQ628*Settings!$B$18,0))</f>
        <v>200</v>
      </c>
      <c r="AS628" s="13" t="s">
        <v>3568</v>
      </c>
      <c r="AT628" s="14" t="s">
        <v>3714</v>
      </c>
      <c r="AU628" s="14" t="s">
        <v>251</v>
      </c>
    </row>
    <row r="629" customFormat="false" ht="22.35" hidden="false" customHeight="false" outlineLevel="0" collapsed="false">
      <c r="A629" s="11" t="s">
        <v>3719</v>
      </c>
      <c r="B629" s="11" t="s">
        <v>3560</v>
      </c>
      <c r="C629" s="11" t="s">
        <v>3720</v>
      </c>
      <c r="D629" s="11" t="s">
        <v>3713</v>
      </c>
      <c r="E629" s="12" t="s">
        <v>3720</v>
      </c>
      <c r="F629" s="13" t="s">
        <v>141</v>
      </c>
      <c r="G629" s="13"/>
      <c r="H629" s="13"/>
      <c r="I629" s="14"/>
      <c r="J629" s="15"/>
      <c r="K629" s="13"/>
      <c r="L629" s="13"/>
      <c r="M629" s="13"/>
      <c r="N629" s="13" t="s">
        <v>1154</v>
      </c>
      <c r="O629" s="13" t="s">
        <v>504</v>
      </c>
      <c r="P629" s="13" t="s">
        <v>186</v>
      </c>
      <c r="Q629" s="16"/>
      <c r="R629" s="16"/>
      <c r="S629" s="16"/>
      <c r="T629" s="16"/>
      <c r="U629" s="16"/>
      <c r="V629" s="13" t="s">
        <v>187</v>
      </c>
      <c r="W629" s="17"/>
      <c r="X629" s="13"/>
      <c r="Y629" s="13"/>
      <c r="Z629" s="13"/>
      <c r="AA629" s="13" t="s">
        <v>188</v>
      </c>
      <c r="AB629" s="13"/>
      <c r="AC629" s="17"/>
      <c r="AD629" s="13"/>
      <c r="AE629" s="19"/>
      <c r="AF629" s="19"/>
      <c r="AG629" s="19"/>
      <c r="AH629" s="13"/>
      <c r="AI629" s="17"/>
      <c r="AJ629" s="13" t="s">
        <v>188</v>
      </c>
      <c r="AK629" s="13" t="s">
        <v>188</v>
      </c>
      <c r="AL629" s="14"/>
      <c r="AM629" s="13" t="s">
        <v>1155</v>
      </c>
      <c r="AN629" s="15"/>
      <c r="AO629" s="13"/>
      <c r="AP629" s="13" t="s">
        <v>196</v>
      </c>
      <c r="AQ629" s="16" t="n">
        <f aca="false">IFERROR(IF(AND(INDEX(Mob_Demob!$D$6:$D$14,MATCH(AM629,Mob_Demob!$A$6:$A$14,0))="",INDEX(Mob_Demob!$G$6:$G$14,MATCH(AM629,Mob_Demob!$A$6:$A$14,0))=""),"",ROUND(MAX(N(INDEX(Mob_Demob!$G$6:$G$14,MATCH(AM629,Mob_Demob!$A$6:$A$14,0))),N(INDEX(Mob_Demob!$D$6:$D$14,MATCH(AM629,Mob_Demob!$A$6:$A$14,0)))*Settings!$B$6)+IF(AP629="Y",N(INDEX(Mob_Demob!$I$6:$I$14,MATCH(AM629,Mob_Demob!$A$6:$A$14,0)))*Settings!$B$19,0)+N(INDEX(Mob_Demob!$L$6:$L$14,MATCH(AM629,Mob_Demob!$A$6:$A$14,0)))*N(INDEX(Mob_Demob!$K$6:$K$14,MATCH(AM629,Mob_Demob!$A$6:$A$14,0)))*Settings!$B$6+N(INDEX(Mob_Demob!$M$6:$M$14,MATCH(AM629,Mob_Demob!$A$6:$A$14,0)))*N(INDEX(Mob_Demob!$N$6:$N$14,MATCH(AM629,Mob_Demob!$A$6:$A$14,0))),0)),"")</f>
        <v>200</v>
      </c>
      <c r="AR629" s="16" t="n">
        <f aca="false">IF(AQ629="","",ROUND(AQ629*Settings!$B$18,0))</f>
        <v>200</v>
      </c>
      <c r="AS629" s="13" t="s">
        <v>3568</v>
      </c>
      <c r="AT629" s="14" t="s">
        <v>3714</v>
      </c>
      <c r="AU629" s="14" t="s">
        <v>251</v>
      </c>
    </row>
  </sheetData>
  <autoFilter ref="A1:AU629"/>
  <conditionalFormatting sqref="AA2:AA629">
    <cfRule type="cellIs" priority="2" operator="equal" aboveAverage="0" equalAverage="0" bottom="0" percent="0" rank="0" text="" dxfId="10">
      <formula>"A"</formula>
    </cfRule>
    <cfRule type="cellIs" priority="3" operator="equal" aboveAverage="0" equalAverage="0" bottom="0" percent="0" rank="0" text="" dxfId="11">
      <formula>"B"</formula>
    </cfRule>
    <cfRule type="cellIs" priority="4" operator="equal" aboveAverage="0" equalAverage="0" bottom="0" percent="0" rank="0" text="" dxfId="12">
      <formula>"C"</formula>
    </cfRule>
    <cfRule type="cellIs" priority="5" operator="equal" aboveAverage="0" equalAverage="0" bottom="0" percent="0" rank="0" text="" dxfId="13">
      <formula>"D"</formula>
    </cfRule>
  </conditionalFormatting>
  <conditionalFormatting sqref="AJ2:AJ629">
    <cfRule type="cellIs" priority="6" operator="equal" aboveAverage="0" equalAverage="0" bottom="0" percent="0" rank="0" text="" dxfId="10">
      <formula>"A"</formula>
    </cfRule>
    <cfRule type="cellIs" priority="7" operator="equal" aboveAverage="0" equalAverage="0" bottom="0" percent="0" rank="0" text="" dxfId="11">
      <formula>"B"</formula>
    </cfRule>
    <cfRule type="cellIs" priority="8" operator="equal" aboveAverage="0" equalAverage="0" bottom="0" percent="0" rank="0" text="" dxfId="12">
      <formula>"C"</formula>
    </cfRule>
    <cfRule type="cellIs" priority="9" operator="equal" aboveAverage="0" equalAverage="0" bottom="0" percent="0" rank="0" text="" dxfId="13">
      <formula>"D"</formula>
    </cfRule>
  </conditionalFormatting>
  <conditionalFormatting sqref="AK2:AK629">
    <cfRule type="cellIs" priority="10" operator="equal" aboveAverage="0" equalAverage="0" bottom="0" percent="0" rank="0" text="" dxfId="10">
      <formula>"A"</formula>
    </cfRule>
    <cfRule type="cellIs" priority="11" operator="equal" aboveAverage="0" equalAverage="0" bottom="0" percent="0" rank="0" text="" dxfId="11">
      <formula>"B"</formula>
    </cfRule>
    <cfRule type="cellIs" priority="12" operator="equal" aboveAverage="0" equalAverage="0" bottom="0" percent="0" rank="0" text="" dxfId="12">
      <formula>"C"</formula>
    </cfRule>
    <cfRule type="cellIs" priority="13" operator="equal" aboveAverage="0" equalAverage="0" bottom="0" percent="0" rank="0" text="" dxfId="13">
      <formula>"D"</formula>
    </cfRule>
  </conditionalFormatting>
  <conditionalFormatting sqref="AU2:AU629">
    <cfRule type="expression" priority="14" aboveAverage="0" equalAverage="0" bottom="0" percent="0" rank="0" text="" dxfId="14">
      <formula>ISNUMBER(SEARCH("⚠",AU2))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44"/>
    <col collapsed="false" customWidth="true" hidden="false" outlineLevel="0" max="4" min="4" style="0" width="14"/>
    <col collapsed="false" customWidth="true" hidden="false" outlineLevel="0" max="5" min="5" style="0" width="28"/>
    <col collapsed="false" customWidth="true" hidden="false" outlineLevel="0" max="6" min="6" style="0" width="80"/>
    <col collapsed="false" customWidth="true" hidden="false" outlineLevel="0" max="7" min="7" style="0" width="34"/>
    <col collapsed="false" customWidth="true" hidden="false" outlineLevel="0" max="8" min="8" style="0" width="30"/>
    <col collapsed="false" customWidth="true" hidden="false" outlineLevel="0" max="9" min="9" style="0" width="12"/>
  </cols>
  <sheetData>
    <row r="1" customFormat="false" ht="30" hidden="false" customHeight="true" outlineLevel="0" collapsed="false">
      <c r="A1" s="10" t="s">
        <v>3721</v>
      </c>
      <c r="B1" s="10" t="s">
        <v>3722</v>
      </c>
      <c r="C1" s="10" t="s">
        <v>3723</v>
      </c>
      <c r="D1" s="10" t="s">
        <v>3724</v>
      </c>
      <c r="E1" s="10" t="s">
        <v>3725</v>
      </c>
      <c r="F1" s="10" t="s">
        <v>3726</v>
      </c>
      <c r="G1" s="10" t="s">
        <v>3727</v>
      </c>
      <c r="H1" s="10" t="s">
        <v>3728</v>
      </c>
      <c r="I1" s="10" t="s">
        <v>3729</v>
      </c>
    </row>
    <row r="2" customFormat="false" ht="22.35" hidden="false" customHeight="false" outlineLevel="0" collapsed="false">
      <c r="A2" s="13" t="s">
        <v>3730</v>
      </c>
      <c r="B2" s="13" t="s">
        <v>3731</v>
      </c>
      <c r="C2" s="14" t="s">
        <v>3732</v>
      </c>
      <c r="D2" s="13" t="s">
        <v>3733</v>
      </c>
      <c r="E2" s="14" t="s">
        <v>3734</v>
      </c>
      <c r="F2" s="14" t="s">
        <v>3735</v>
      </c>
      <c r="G2" s="14" t="s">
        <v>3736</v>
      </c>
      <c r="H2" s="13" t="s">
        <v>3737</v>
      </c>
      <c r="I2" s="13" t="s">
        <v>18</v>
      </c>
    </row>
    <row r="3" customFormat="false" ht="22.35" hidden="false" customHeight="false" outlineLevel="0" collapsed="false">
      <c r="A3" s="13" t="s">
        <v>3738</v>
      </c>
      <c r="B3" s="13" t="s">
        <v>3731</v>
      </c>
      <c r="C3" s="14" t="s">
        <v>3739</v>
      </c>
      <c r="D3" s="13" t="s">
        <v>3733</v>
      </c>
      <c r="E3" s="14" t="s">
        <v>3734</v>
      </c>
      <c r="F3" s="14" t="s">
        <v>3740</v>
      </c>
      <c r="G3" s="14" t="s">
        <v>3741</v>
      </c>
      <c r="H3" s="13" t="s">
        <v>3742</v>
      </c>
      <c r="I3" s="13" t="s">
        <v>18</v>
      </c>
    </row>
    <row r="4" customFormat="false" ht="15" hidden="false" customHeight="false" outlineLevel="0" collapsed="false">
      <c r="A4" s="13" t="s">
        <v>3743</v>
      </c>
      <c r="B4" s="13" t="s">
        <v>3744</v>
      </c>
      <c r="C4" s="14" t="s">
        <v>3745</v>
      </c>
      <c r="D4" s="13" t="s">
        <v>3746</v>
      </c>
      <c r="E4" s="14" t="s">
        <v>3747</v>
      </c>
      <c r="F4" s="14" t="s">
        <v>3748</v>
      </c>
      <c r="G4" s="14" t="s">
        <v>3749</v>
      </c>
      <c r="H4" s="13" t="s">
        <v>3750</v>
      </c>
      <c r="I4" s="13" t="s">
        <v>18</v>
      </c>
    </row>
    <row r="5" customFormat="false" ht="22.35" hidden="false" customHeight="false" outlineLevel="0" collapsed="false">
      <c r="A5" s="13" t="s">
        <v>3751</v>
      </c>
      <c r="B5" s="13" t="s">
        <v>3752</v>
      </c>
      <c r="C5" s="14" t="s">
        <v>3753</v>
      </c>
      <c r="D5" s="13" t="s">
        <v>3746</v>
      </c>
      <c r="E5" s="14" t="s">
        <v>3747</v>
      </c>
      <c r="F5" s="14" t="s">
        <v>3754</v>
      </c>
      <c r="G5" s="14" t="s">
        <v>3755</v>
      </c>
      <c r="H5" s="13" t="s">
        <v>3750</v>
      </c>
      <c r="I5" s="13" t="s">
        <v>18</v>
      </c>
    </row>
    <row r="6" customFormat="false" ht="15" hidden="false" customHeight="false" outlineLevel="0" collapsed="false">
      <c r="A6" s="13" t="s">
        <v>3756</v>
      </c>
      <c r="B6" s="13" t="s">
        <v>3752</v>
      </c>
      <c r="C6" s="14" t="s">
        <v>3757</v>
      </c>
      <c r="D6" s="13" t="s">
        <v>3746</v>
      </c>
      <c r="E6" s="14" t="s">
        <v>3747</v>
      </c>
      <c r="F6" s="14" t="s">
        <v>3758</v>
      </c>
      <c r="G6" s="14"/>
      <c r="H6" s="13" t="s">
        <v>3750</v>
      </c>
      <c r="I6" s="13" t="s">
        <v>18</v>
      </c>
    </row>
    <row r="7" customFormat="false" ht="15" hidden="false" customHeight="false" outlineLevel="0" collapsed="false">
      <c r="A7" s="13" t="s">
        <v>3759</v>
      </c>
      <c r="B7" s="13" t="s">
        <v>3752</v>
      </c>
      <c r="C7" s="14" t="s">
        <v>3760</v>
      </c>
      <c r="D7" s="13" t="s">
        <v>3746</v>
      </c>
      <c r="E7" s="14" t="s">
        <v>3747</v>
      </c>
      <c r="F7" s="14" t="s">
        <v>3761</v>
      </c>
      <c r="G7" s="14"/>
      <c r="H7" s="13" t="s">
        <v>3750</v>
      </c>
      <c r="I7" s="13" t="s">
        <v>18</v>
      </c>
    </row>
    <row r="8" customFormat="false" ht="22.35" hidden="false" customHeight="false" outlineLevel="0" collapsed="false">
      <c r="A8" s="13" t="s">
        <v>3762</v>
      </c>
      <c r="B8" s="13" t="s">
        <v>3763</v>
      </c>
      <c r="C8" s="14" t="s">
        <v>3764</v>
      </c>
      <c r="D8" s="13" t="s">
        <v>3746</v>
      </c>
      <c r="E8" s="14" t="s">
        <v>3747</v>
      </c>
      <c r="F8" s="14" t="s">
        <v>3765</v>
      </c>
      <c r="G8" s="14" t="s">
        <v>3766</v>
      </c>
      <c r="H8" s="13" t="s">
        <v>3767</v>
      </c>
      <c r="I8" s="13" t="s">
        <v>18</v>
      </c>
    </row>
    <row r="9" customFormat="false" ht="15" hidden="false" customHeight="false" outlineLevel="0" collapsed="false">
      <c r="A9" s="13" t="s">
        <v>3768</v>
      </c>
      <c r="B9" s="13" t="s">
        <v>3763</v>
      </c>
      <c r="C9" s="14" t="s">
        <v>3769</v>
      </c>
      <c r="D9" s="13" t="s">
        <v>3770</v>
      </c>
      <c r="E9" s="14" t="s">
        <v>3771</v>
      </c>
      <c r="F9" s="14" t="s">
        <v>3772</v>
      </c>
      <c r="G9" s="14"/>
      <c r="H9" s="13" t="s">
        <v>3742</v>
      </c>
      <c r="I9" s="13" t="s">
        <v>18</v>
      </c>
    </row>
    <row r="10" customFormat="false" ht="22.35" hidden="false" customHeight="false" outlineLevel="0" collapsed="false">
      <c r="A10" s="13" t="s">
        <v>3773</v>
      </c>
      <c r="B10" s="13" t="s">
        <v>3774</v>
      </c>
      <c r="C10" s="14" t="s">
        <v>3775</v>
      </c>
      <c r="D10" s="13" t="s">
        <v>3776</v>
      </c>
      <c r="E10" s="14" t="s">
        <v>3777</v>
      </c>
      <c r="F10" s="14" t="s">
        <v>3778</v>
      </c>
      <c r="G10" s="14" t="s">
        <v>3779</v>
      </c>
      <c r="H10" s="13" t="s">
        <v>3780</v>
      </c>
      <c r="I10" s="13" t="s">
        <v>18</v>
      </c>
    </row>
    <row r="11" customFormat="false" ht="22.35" hidden="false" customHeight="false" outlineLevel="0" collapsed="false">
      <c r="A11" s="13" t="s">
        <v>474</v>
      </c>
      <c r="B11" s="13" t="s">
        <v>3781</v>
      </c>
      <c r="C11" s="14" t="s">
        <v>3782</v>
      </c>
      <c r="D11" s="13" t="s">
        <v>3776</v>
      </c>
      <c r="E11" s="14" t="s">
        <v>3747</v>
      </c>
      <c r="F11" s="14" t="s">
        <v>3783</v>
      </c>
      <c r="G11" s="14" t="s">
        <v>3784</v>
      </c>
      <c r="H11" s="13" t="s">
        <v>3785</v>
      </c>
      <c r="I11" s="13" t="s">
        <v>18</v>
      </c>
    </row>
    <row r="12" customFormat="false" ht="22.35" hidden="false" customHeight="false" outlineLevel="0" collapsed="false">
      <c r="A12" s="13" t="s">
        <v>464</v>
      </c>
      <c r="B12" s="13" t="s">
        <v>3781</v>
      </c>
      <c r="C12" s="14" t="s">
        <v>3786</v>
      </c>
      <c r="D12" s="13" t="s">
        <v>3776</v>
      </c>
      <c r="E12" s="14" t="s">
        <v>3747</v>
      </c>
      <c r="F12" s="14" t="s">
        <v>3787</v>
      </c>
      <c r="G12" s="14" t="s">
        <v>3788</v>
      </c>
      <c r="H12" s="13" t="s">
        <v>3789</v>
      </c>
      <c r="I12" s="13" t="s">
        <v>18</v>
      </c>
    </row>
    <row r="13" customFormat="false" ht="22.35" hidden="false" customHeight="false" outlineLevel="0" collapsed="false">
      <c r="A13" s="13" t="s">
        <v>3790</v>
      </c>
      <c r="B13" s="13" t="s">
        <v>3791</v>
      </c>
      <c r="C13" s="14" t="s">
        <v>3792</v>
      </c>
      <c r="D13" s="13" t="s">
        <v>3776</v>
      </c>
      <c r="E13" s="14" t="s">
        <v>3747</v>
      </c>
      <c r="F13" s="14" t="s">
        <v>3793</v>
      </c>
      <c r="G13" s="14" t="s">
        <v>3794</v>
      </c>
      <c r="H13" s="13" t="s">
        <v>3795</v>
      </c>
      <c r="I13" s="13" t="s">
        <v>18</v>
      </c>
    </row>
    <row r="14" customFormat="false" ht="22.35" hidden="false" customHeight="false" outlineLevel="0" collapsed="false">
      <c r="A14" s="13" t="s">
        <v>3796</v>
      </c>
      <c r="B14" s="13" t="s">
        <v>3791</v>
      </c>
      <c r="C14" s="14" t="s">
        <v>3797</v>
      </c>
      <c r="D14" s="13" t="s">
        <v>3776</v>
      </c>
      <c r="E14" s="14" t="s">
        <v>3747</v>
      </c>
      <c r="F14" s="14" t="s">
        <v>3798</v>
      </c>
      <c r="G14" s="14"/>
      <c r="H14" s="13" t="s">
        <v>3795</v>
      </c>
      <c r="I14" s="13" t="s">
        <v>18</v>
      </c>
    </row>
    <row r="15" customFormat="false" ht="15" hidden="false" customHeight="false" outlineLevel="0" collapsed="false">
      <c r="A15" s="13" t="s">
        <v>3799</v>
      </c>
      <c r="B15" s="13" t="s">
        <v>3791</v>
      </c>
      <c r="C15" s="14" t="s">
        <v>3800</v>
      </c>
      <c r="D15" s="13" t="s">
        <v>3776</v>
      </c>
      <c r="E15" s="14" t="s">
        <v>3747</v>
      </c>
      <c r="F15" s="14" t="s">
        <v>3801</v>
      </c>
      <c r="G15" s="14"/>
      <c r="H15" s="13" t="s">
        <v>3795</v>
      </c>
      <c r="I15" s="13" t="s">
        <v>18</v>
      </c>
    </row>
    <row r="16" customFormat="false" ht="15" hidden="false" customHeight="false" outlineLevel="0" collapsed="false">
      <c r="A16" s="13" t="s">
        <v>3802</v>
      </c>
      <c r="B16" s="13" t="s">
        <v>3781</v>
      </c>
      <c r="C16" s="14" t="s">
        <v>3803</v>
      </c>
      <c r="D16" s="13" t="s">
        <v>3776</v>
      </c>
      <c r="E16" s="14" t="s">
        <v>3747</v>
      </c>
      <c r="F16" s="14" t="s">
        <v>3804</v>
      </c>
      <c r="G16" s="14"/>
      <c r="H16" s="13" t="s">
        <v>3805</v>
      </c>
      <c r="I16" s="13" t="s">
        <v>18</v>
      </c>
    </row>
    <row r="17" customFormat="false" ht="22.35" hidden="false" customHeight="false" outlineLevel="0" collapsed="false">
      <c r="A17" s="13" t="s">
        <v>3806</v>
      </c>
      <c r="B17" s="13" t="s">
        <v>3807</v>
      </c>
      <c r="C17" s="14" t="s">
        <v>3808</v>
      </c>
      <c r="D17" s="13" t="s">
        <v>3746</v>
      </c>
      <c r="E17" s="14" t="s">
        <v>3747</v>
      </c>
      <c r="F17" s="14" t="s">
        <v>3809</v>
      </c>
      <c r="G17" s="14" t="s">
        <v>3810</v>
      </c>
      <c r="H17" s="13" t="s">
        <v>3811</v>
      </c>
      <c r="I17" s="13" t="s">
        <v>18</v>
      </c>
    </row>
    <row r="18" customFormat="false" ht="22.35" hidden="false" customHeight="false" outlineLevel="0" collapsed="false">
      <c r="A18" s="13" t="s">
        <v>693</v>
      </c>
      <c r="B18" s="13" t="s">
        <v>3781</v>
      </c>
      <c r="C18" s="14" t="s">
        <v>3812</v>
      </c>
      <c r="D18" s="13" t="s">
        <v>3746</v>
      </c>
      <c r="E18" s="14" t="s">
        <v>3747</v>
      </c>
      <c r="F18" s="14" t="s">
        <v>3813</v>
      </c>
      <c r="G18" s="14" t="s">
        <v>3814</v>
      </c>
      <c r="H18" s="13" t="s">
        <v>3815</v>
      </c>
      <c r="I18" s="13" t="s">
        <v>18</v>
      </c>
    </row>
    <row r="19" customFormat="false" ht="15" hidden="false" customHeight="false" outlineLevel="0" collapsed="false">
      <c r="A19" s="13" t="s">
        <v>3816</v>
      </c>
      <c r="B19" s="13" t="s">
        <v>3781</v>
      </c>
      <c r="C19" s="14" t="s">
        <v>3817</v>
      </c>
      <c r="D19" s="13" t="s">
        <v>3746</v>
      </c>
      <c r="E19" s="14" t="s">
        <v>3747</v>
      </c>
      <c r="F19" s="14" t="s">
        <v>3818</v>
      </c>
      <c r="G19" s="14"/>
      <c r="H19" s="13" t="s">
        <v>3819</v>
      </c>
      <c r="I19" s="13" t="s">
        <v>18</v>
      </c>
    </row>
    <row r="20" customFormat="false" ht="32.8" hidden="false" customHeight="false" outlineLevel="0" collapsed="false">
      <c r="A20" s="13" t="s">
        <v>3820</v>
      </c>
      <c r="B20" s="13" t="s">
        <v>3821</v>
      </c>
      <c r="C20" s="14" t="s">
        <v>3822</v>
      </c>
      <c r="D20" s="13" t="s">
        <v>3776</v>
      </c>
      <c r="E20" s="14" t="s">
        <v>3823</v>
      </c>
      <c r="F20" s="14" t="s">
        <v>3824</v>
      </c>
      <c r="G20" s="14" t="s">
        <v>3825</v>
      </c>
      <c r="H20" s="13" t="s">
        <v>3826</v>
      </c>
      <c r="I20" s="13" t="s">
        <v>18</v>
      </c>
    </row>
    <row r="21" customFormat="false" ht="15" hidden="false" customHeight="false" outlineLevel="0" collapsed="false">
      <c r="A21" s="13" t="s">
        <v>3827</v>
      </c>
      <c r="B21" s="13" t="s">
        <v>3821</v>
      </c>
      <c r="C21" s="14" t="s">
        <v>3828</v>
      </c>
      <c r="D21" s="13" t="s">
        <v>3776</v>
      </c>
      <c r="E21" s="14" t="s">
        <v>3829</v>
      </c>
      <c r="F21" s="14" t="s">
        <v>3830</v>
      </c>
      <c r="G21" s="14"/>
      <c r="H21" s="13" t="s">
        <v>3831</v>
      </c>
      <c r="I21" s="13" t="s">
        <v>18</v>
      </c>
    </row>
    <row r="22" customFormat="false" ht="15" hidden="false" customHeight="false" outlineLevel="0" collapsed="false">
      <c r="A22" s="13" t="s">
        <v>3832</v>
      </c>
      <c r="B22" s="13" t="s">
        <v>3821</v>
      </c>
      <c r="C22" s="14" t="s">
        <v>3833</v>
      </c>
      <c r="D22" s="13" t="s">
        <v>3776</v>
      </c>
      <c r="E22" s="14" t="s">
        <v>3829</v>
      </c>
      <c r="F22" s="14" t="s">
        <v>3834</v>
      </c>
      <c r="G22" s="14"/>
      <c r="H22" s="13" t="s">
        <v>3831</v>
      </c>
      <c r="I22" s="13" t="s">
        <v>18</v>
      </c>
    </row>
    <row r="23" customFormat="false" ht="32.8" hidden="false" customHeight="false" outlineLevel="0" collapsed="false">
      <c r="A23" s="13" t="s">
        <v>3835</v>
      </c>
      <c r="B23" s="13" t="s">
        <v>3836</v>
      </c>
      <c r="C23" s="14" t="s">
        <v>3837</v>
      </c>
      <c r="D23" s="13" t="s">
        <v>3838</v>
      </c>
      <c r="E23" s="14" t="s">
        <v>3839</v>
      </c>
      <c r="F23" s="14" t="s">
        <v>3840</v>
      </c>
      <c r="G23" s="14" t="s">
        <v>3841</v>
      </c>
      <c r="H23" s="13" t="s">
        <v>3842</v>
      </c>
      <c r="I23" s="13" t="s">
        <v>18</v>
      </c>
    </row>
    <row r="24" customFormat="false" ht="15" hidden="false" customHeight="false" outlineLevel="0" collapsed="false">
      <c r="A24" s="13" t="s">
        <v>3481</v>
      </c>
      <c r="B24" s="13" t="s">
        <v>3836</v>
      </c>
      <c r="C24" s="14" t="s">
        <v>3843</v>
      </c>
      <c r="D24" s="13" t="s">
        <v>3838</v>
      </c>
      <c r="E24" s="14" t="s">
        <v>3839</v>
      </c>
      <c r="F24" s="14" t="s">
        <v>3844</v>
      </c>
      <c r="G24" s="14"/>
      <c r="H24" s="13" t="s">
        <v>3845</v>
      </c>
      <c r="I24" s="13" t="s">
        <v>18</v>
      </c>
    </row>
    <row r="25" customFormat="false" ht="15" hidden="false" customHeight="false" outlineLevel="0" collapsed="false">
      <c r="A25" s="13" t="s">
        <v>3846</v>
      </c>
      <c r="B25" s="13" t="s">
        <v>3836</v>
      </c>
      <c r="C25" s="14" t="s">
        <v>3847</v>
      </c>
      <c r="D25" s="13" t="s">
        <v>3838</v>
      </c>
      <c r="E25" s="14" t="s">
        <v>3839</v>
      </c>
      <c r="F25" s="14" t="s">
        <v>3848</v>
      </c>
      <c r="G25" s="14"/>
      <c r="H25" s="13" t="s">
        <v>3845</v>
      </c>
      <c r="I25" s="13" t="s">
        <v>18</v>
      </c>
    </row>
    <row r="26" customFormat="false" ht="15" hidden="false" customHeight="false" outlineLevel="0" collapsed="false">
      <c r="A26" s="13" t="s">
        <v>3849</v>
      </c>
      <c r="B26" s="13" t="s">
        <v>3836</v>
      </c>
      <c r="C26" s="14" t="s">
        <v>3850</v>
      </c>
      <c r="D26" s="13" t="s">
        <v>3838</v>
      </c>
      <c r="E26" s="14" t="s">
        <v>3839</v>
      </c>
      <c r="F26" s="14" t="s">
        <v>3851</v>
      </c>
      <c r="G26" s="14" t="s">
        <v>3852</v>
      </c>
      <c r="H26" s="13" t="s">
        <v>3853</v>
      </c>
      <c r="I26" s="13" t="s">
        <v>18</v>
      </c>
    </row>
    <row r="27" customFormat="false" ht="15" hidden="false" customHeight="false" outlineLevel="0" collapsed="false">
      <c r="A27" s="13" t="s">
        <v>3854</v>
      </c>
      <c r="B27" s="13" t="s">
        <v>3836</v>
      </c>
      <c r="C27" s="14" t="s">
        <v>3855</v>
      </c>
      <c r="D27" s="13" t="s">
        <v>3838</v>
      </c>
      <c r="E27" s="14" t="s">
        <v>3839</v>
      </c>
      <c r="F27" s="14" t="s">
        <v>3856</v>
      </c>
      <c r="G27" s="14"/>
      <c r="H27" s="13" t="s">
        <v>3857</v>
      </c>
      <c r="I27" s="13" t="s">
        <v>18</v>
      </c>
    </row>
    <row r="28" customFormat="false" ht="15" hidden="false" customHeight="false" outlineLevel="0" collapsed="false">
      <c r="A28" s="13" t="s">
        <v>3858</v>
      </c>
      <c r="B28" s="13" t="s">
        <v>3836</v>
      </c>
      <c r="C28" s="14" t="s">
        <v>3859</v>
      </c>
      <c r="D28" s="13" t="s">
        <v>3838</v>
      </c>
      <c r="E28" s="14" t="s">
        <v>3839</v>
      </c>
      <c r="F28" s="14" t="s">
        <v>3860</v>
      </c>
      <c r="G28" s="14"/>
      <c r="H28" s="13" t="s">
        <v>3857</v>
      </c>
      <c r="I28" s="13" t="s">
        <v>18</v>
      </c>
    </row>
    <row r="29" customFormat="false" ht="15" hidden="false" customHeight="false" outlineLevel="0" collapsed="false">
      <c r="A29" s="13" t="s">
        <v>972</v>
      </c>
      <c r="B29" s="13" t="s">
        <v>3836</v>
      </c>
      <c r="C29" s="14" t="s">
        <v>3861</v>
      </c>
      <c r="D29" s="13" t="s">
        <v>3838</v>
      </c>
      <c r="E29" s="14" t="s">
        <v>3839</v>
      </c>
      <c r="F29" s="14" t="s">
        <v>3862</v>
      </c>
      <c r="G29" s="14"/>
      <c r="H29" s="13" t="s">
        <v>3857</v>
      </c>
      <c r="I29" s="13" t="s">
        <v>18</v>
      </c>
    </row>
    <row r="30" customFormat="false" ht="22.35" hidden="false" customHeight="false" outlineLevel="0" collapsed="false">
      <c r="A30" s="13" t="s">
        <v>861</v>
      </c>
      <c r="B30" s="13" t="s">
        <v>3863</v>
      </c>
      <c r="C30" s="14" t="s">
        <v>3864</v>
      </c>
      <c r="D30" s="13" t="s">
        <v>3770</v>
      </c>
      <c r="E30" s="14" t="s">
        <v>3865</v>
      </c>
      <c r="F30" s="14" t="s">
        <v>3866</v>
      </c>
      <c r="G30" s="14" t="s">
        <v>3867</v>
      </c>
      <c r="H30" s="13" t="s">
        <v>3868</v>
      </c>
      <c r="I30" s="13" t="s">
        <v>18</v>
      </c>
    </row>
    <row r="31" customFormat="false" ht="22.35" hidden="false" customHeight="false" outlineLevel="0" collapsed="false">
      <c r="A31" s="13" t="s">
        <v>3869</v>
      </c>
      <c r="B31" s="13" t="s">
        <v>3863</v>
      </c>
      <c r="C31" s="14" t="s">
        <v>3870</v>
      </c>
      <c r="D31" s="13" t="s">
        <v>3871</v>
      </c>
      <c r="E31" s="14" t="s">
        <v>3872</v>
      </c>
      <c r="F31" s="14" t="s">
        <v>3873</v>
      </c>
      <c r="G31" s="14" t="s">
        <v>3874</v>
      </c>
      <c r="H31" s="13" t="s">
        <v>3875</v>
      </c>
      <c r="I31" s="13" t="s">
        <v>18</v>
      </c>
    </row>
    <row r="32" customFormat="false" ht="15" hidden="false" customHeight="false" outlineLevel="0" collapsed="false">
      <c r="A32" s="13" t="s">
        <v>3876</v>
      </c>
      <c r="B32" s="13" t="s">
        <v>3763</v>
      </c>
      <c r="C32" s="14" t="s">
        <v>3877</v>
      </c>
      <c r="D32" s="13" t="s">
        <v>3878</v>
      </c>
      <c r="E32" s="14" t="s">
        <v>3879</v>
      </c>
      <c r="F32" s="14" t="s">
        <v>3880</v>
      </c>
      <c r="G32" s="14"/>
      <c r="H32" s="13" t="s">
        <v>3881</v>
      </c>
      <c r="I32" s="13" t="s">
        <v>18</v>
      </c>
    </row>
    <row r="33" customFormat="false" ht="22.35" hidden="false" customHeight="false" outlineLevel="0" collapsed="false">
      <c r="A33" s="13" t="s">
        <v>1252</v>
      </c>
      <c r="B33" s="13" t="s">
        <v>3882</v>
      </c>
      <c r="C33" s="14" t="s">
        <v>3883</v>
      </c>
      <c r="D33" s="13" t="s">
        <v>3884</v>
      </c>
      <c r="E33" s="14" t="s">
        <v>3865</v>
      </c>
      <c r="F33" s="14" t="s">
        <v>3885</v>
      </c>
      <c r="G33" s="14" t="s">
        <v>3886</v>
      </c>
      <c r="H33" s="13" t="s">
        <v>3887</v>
      </c>
      <c r="I33" s="13" t="s">
        <v>18</v>
      </c>
    </row>
    <row r="34" customFormat="false" ht="15" hidden="false" customHeight="false" outlineLevel="0" collapsed="false">
      <c r="A34" s="13" t="s">
        <v>3888</v>
      </c>
      <c r="B34" s="13" t="s">
        <v>3882</v>
      </c>
      <c r="C34" s="14" t="s">
        <v>3889</v>
      </c>
      <c r="D34" s="13" t="s">
        <v>3884</v>
      </c>
      <c r="E34" s="14" t="s">
        <v>3865</v>
      </c>
      <c r="F34" s="14" t="s">
        <v>3890</v>
      </c>
      <c r="G34" s="14"/>
      <c r="H34" s="13" t="s">
        <v>3887</v>
      </c>
      <c r="I34" s="13" t="s">
        <v>18</v>
      </c>
    </row>
    <row r="35" customFormat="false" ht="22.35" hidden="false" customHeight="false" outlineLevel="0" collapsed="false">
      <c r="A35" s="13" t="s">
        <v>3891</v>
      </c>
      <c r="B35" s="13" t="s">
        <v>3882</v>
      </c>
      <c r="C35" s="14" t="s">
        <v>3892</v>
      </c>
      <c r="D35" s="13" t="s">
        <v>3884</v>
      </c>
      <c r="E35" s="14" t="s">
        <v>3865</v>
      </c>
      <c r="F35" s="14" t="s">
        <v>3893</v>
      </c>
      <c r="G35" s="14"/>
      <c r="H35" s="13" t="s">
        <v>3894</v>
      </c>
      <c r="I35" s="13" t="s">
        <v>18</v>
      </c>
    </row>
    <row r="36" customFormat="false" ht="15" hidden="false" customHeight="false" outlineLevel="0" collapsed="false">
      <c r="A36" s="13" t="s">
        <v>1207</v>
      </c>
      <c r="B36" s="13" t="s">
        <v>3882</v>
      </c>
      <c r="C36" s="14" t="s">
        <v>3895</v>
      </c>
      <c r="D36" s="13" t="s">
        <v>3884</v>
      </c>
      <c r="E36" s="14" t="s">
        <v>3865</v>
      </c>
      <c r="F36" s="14" t="s">
        <v>3896</v>
      </c>
      <c r="G36" s="14"/>
      <c r="H36" s="13" t="s">
        <v>3897</v>
      </c>
      <c r="I36" s="13" t="s">
        <v>18</v>
      </c>
    </row>
    <row r="37" customFormat="false" ht="22.35" hidden="false" customHeight="false" outlineLevel="0" collapsed="false">
      <c r="A37" s="13" t="s">
        <v>1199</v>
      </c>
      <c r="B37" s="13" t="s">
        <v>3882</v>
      </c>
      <c r="C37" s="14" t="s">
        <v>3898</v>
      </c>
      <c r="D37" s="13" t="s">
        <v>3884</v>
      </c>
      <c r="E37" s="14" t="s">
        <v>3865</v>
      </c>
      <c r="F37" s="14" t="s">
        <v>3899</v>
      </c>
      <c r="G37" s="14"/>
      <c r="H37" s="13" t="s">
        <v>3900</v>
      </c>
      <c r="I37" s="13" t="s">
        <v>18</v>
      </c>
    </row>
    <row r="38" customFormat="false" ht="22.35" hidden="false" customHeight="false" outlineLevel="0" collapsed="false">
      <c r="A38" s="13" t="s">
        <v>1165</v>
      </c>
      <c r="B38" s="13" t="s">
        <v>3882</v>
      </c>
      <c r="C38" s="14" t="s">
        <v>3901</v>
      </c>
      <c r="D38" s="13" t="s">
        <v>3884</v>
      </c>
      <c r="E38" s="14" t="s">
        <v>3865</v>
      </c>
      <c r="F38" s="14" t="s">
        <v>3902</v>
      </c>
      <c r="G38" s="14" t="s">
        <v>3903</v>
      </c>
      <c r="H38" s="13" t="s">
        <v>3904</v>
      </c>
      <c r="I38" s="13" t="s">
        <v>18</v>
      </c>
    </row>
    <row r="39" customFormat="false" ht="15" hidden="false" customHeight="false" outlineLevel="0" collapsed="false">
      <c r="A39" s="13" t="s">
        <v>1180</v>
      </c>
      <c r="B39" s="13" t="s">
        <v>3882</v>
      </c>
      <c r="C39" s="14" t="s">
        <v>3905</v>
      </c>
      <c r="D39" s="13" t="s">
        <v>3884</v>
      </c>
      <c r="E39" s="14" t="s">
        <v>3865</v>
      </c>
      <c r="F39" s="14" t="s">
        <v>3906</v>
      </c>
      <c r="G39" s="14" t="s">
        <v>3907</v>
      </c>
      <c r="H39" s="13" t="s">
        <v>3908</v>
      </c>
      <c r="I39" s="13" t="s">
        <v>18</v>
      </c>
    </row>
    <row r="40" customFormat="false" ht="22.35" hidden="false" customHeight="false" outlineLevel="0" collapsed="false">
      <c r="A40" s="13" t="s">
        <v>1127</v>
      </c>
      <c r="B40" s="13" t="s">
        <v>3909</v>
      </c>
      <c r="C40" s="14" t="s">
        <v>3910</v>
      </c>
      <c r="D40" s="13" t="s">
        <v>3911</v>
      </c>
      <c r="E40" s="14" t="s">
        <v>3912</v>
      </c>
      <c r="F40" s="14" t="s">
        <v>3913</v>
      </c>
      <c r="G40" s="14" t="s">
        <v>3914</v>
      </c>
      <c r="H40" s="13" t="s">
        <v>3915</v>
      </c>
      <c r="I40" s="13" t="s">
        <v>3916</v>
      </c>
    </row>
    <row r="41" customFormat="false" ht="15" hidden="false" customHeight="false" outlineLevel="0" collapsed="false">
      <c r="A41" s="13" t="s">
        <v>1148</v>
      </c>
      <c r="B41" s="13" t="s">
        <v>3909</v>
      </c>
      <c r="C41" s="14" t="s">
        <v>3917</v>
      </c>
      <c r="D41" s="13" t="s">
        <v>3918</v>
      </c>
      <c r="E41" s="14" t="s">
        <v>3912</v>
      </c>
      <c r="F41" s="14" t="s">
        <v>3919</v>
      </c>
      <c r="G41" s="14"/>
      <c r="H41" s="13" t="s">
        <v>3920</v>
      </c>
      <c r="I41" s="13" t="s">
        <v>3916</v>
      </c>
    </row>
    <row r="42" customFormat="false" ht="15" hidden="false" customHeight="false" outlineLevel="0" collapsed="false">
      <c r="A42" s="13" t="s">
        <v>3921</v>
      </c>
      <c r="B42" s="13" t="s">
        <v>3882</v>
      </c>
      <c r="C42" s="14" t="s">
        <v>3922</v>
      </c>
      <c r="D42" s="13" t="s">
        <v>3770</v>
      </c>
      <c r="E42" s="14" t="s">
        <v>3771</v>
      </c>
      <c r="F42" s="14" t="s">
        <v>3923</v>
      </c>
      <c r="G42" s="14"/>
      <c r="H42" s="13"/>
      <c r="I42" s="13" t="s">
        <v>18</v>
      </c>
    </row>
    <row r="43" customFormat="false" ht="15" hidden="false" customHeight="false" outlineLevel="0" collapsed="false">
      <c r="A43" s="13" t="s">
        <v>3924</v>
      </c>
      <c r="B43" s="13" t="s">
        <v>3763</v>
      </c>
      <c r="C43" s="14" t="s">
        <v>3925</v>
      </c>
      <c r="D43" s="13" t="s">
        <v>3746</v>
      </c>
      <c r="E43" s="14" t="s">
        <v>3771</v>
      </c>
      <c r="F43" s="14" t="s">
        <v>3926</v>
      </c>
      <c r="G43" s="14"/>
      <c r="H43" s="13"/>
      <c r="I43" s="13" t="s">
        <v>18</v>
      </c>
    </row>
    <row r="44" customFormat="false" ht="15" hidden="false" customHeight="false" outlineLevel="0" collapsed="false">
      <c r="A44" s="13" t="s">
        <v>2942</v>
      </c>
      <c r="B44" s="13" t="s">
        <v>3731</v>
      </c>
      <c r="C44" s="14" t="s">
        <v>3927</v>
      </c>
      <c r="D44" s="13" t="s">
        <v>3928</v>
      </c>
      <c r="E44" s="14" t="s">
        <v>3771</v>
      </c>
      <c r="F44" s="14" t="s">
        <v>3929</v>
      </c>
      <c r="G44" s="14"/>
      <c r="H44" s="13"/>
      <c r="I44" s="13" t="s">
        <v>18</v>
      </c>
    </row>
    <row r="45" customFormat="false" ht="22.35" hidden="false" customHeight="false" outlineLevel="0" collapsed="false">
      <c r="A45" s="13" t="s">
        <v>1464</v>
      </c>
      <c r="B45" s="13" t="s">
        <v>1289</v>
      </c>
      <c r="C45" s="14" t="s">
        <v>3930</v>
      </c>
      <c r="D45" s="13" t="s">
        <v>3931</v>
      </c>
      <c r="E45" s="14" t="s">
        <v>3932</v>
      </c>
      <c r="F45" s="14" t="s">
        <v>3933</v>
      </c>
      <c r="G45" s="14" t="s">
        <v>3934</v>
      </c>
      <c r="H45" s="13" t="s">
        <v>3935</v>
      </c>
      <c r="I45" s="13" t="s">
        <v>18</v>
      </c>
    </row>
    <row r="46" customFormat="false" ht="15" hidden="false" customHeight="false" outlineLevel="0" collapsed="false">
      <c r="A46" s="13" t="s">
        <v>1388</v>
      </c>
      <c r="B46" s="13" t="s">
        <v>1289</v>
      </c>
      <c r="C46" s="14" t="s">
        <v>3936</v>
      </c>
      <c r="D46" s="13" t="s">
        <v>3931</v>
      </c>
      <c r="E46" s="14" t="s">
        <v>3937</v>
      </c>
      <c r="F46" s="14" t="s">
        <v>3938</v>
      </c>
      <c r="G46" s="14"/>
      <c r="H46" s="13" t="s">
        <v>3939</v>
      </c>
      <c r="I46" s="13" t="s">
        <v>18</v>
      </c>
    </row>
    <row r="47" customFormat="false" ht="22.35" hidden="false" customHeight="false" outlineLevel="0" collapsed="false">
      <c r="A47" s="13" t="s">
        <v>1307</v>
      </c>
      <c r="B47" s="13" t="s">
        <v>1289</v>
      </c>
      <c r="C47" s="14" t="s">
        <v>3940</v>
      </c>
      <c r="D47" s="13" t="s">
        <v>3770</v>
      </c>
      <c r="E47" s="14" t="s">
        <v>3829</v>
      </c>
      <c r="F47" s="14" t="s">
        <v>3941</v>
      </c>
      <c r="G47" s="14" t="s">
        <v>3942</v>
      </c>
      <c r="H47" s="13" t="s">
        <v>3943</v>
      </c>
      <c r="I47" s="13" t="s">
        <v>18</v>
      </c>
    </row>
    <row r="48" customFormat="false" ht="22.35" hidden="false" customHeight="false" outlineLevel="0" collapsed="false">
      <c r="A48" s="13" t="s">
        <v>1498</v>
      </c>
      <c r="B48" s="13" t="s">
        <v>1289</v>
      </c>
      <c r="C48" s="14" t="s">
        <v>3944</v>
      </c>
      <c r="D48" s="13" t="s">
        <v>3770</v>
      </c>
      <c r="E48" s="14" t="s">
        <v>3945</v>
      </c>
      <c r="F48" s="14" t="s">
        <v>3946</v>
      </c>
      <c r="G48" s="14" t="s">
        <v>3947</v>
      </c>
      <c r="H48" s="13" t="s">
        <v>3948</v>
      </c>
      <c r="I48" s="13" t="s">
        <v>18</v>
      </c>
    </row>
    <row r="49" customFormat="false" ht="15" hidden="false" customHeight="false" outlineLevel="0" collapsed="false">
      <c r="A49" s="13" t="s">
        <v>1510</v>
      </c>
      <c r="B49" s="13" t="s">
        <v>1289</v>
      </c>
      <c r="C49" s="14" t="s">
        <v>3949</v>
      </c>
      <c r="D49" s="13" t="s">
        <v>3770</v>
      </c>
      <c r="E49" s="14" t="s">
        <v>3945</v>
      </c>
      <c r="F49" s="14" t="s">
        <v>3950</v>
      </c>
      <c r="G49" s="14"/>
      <c r="H49" s="13" t="s">
        <v>3951</v>
      </c>
      <c r="I49" s="13" t="s">
        <v>18</v>
      </c>
    </row>
    <row r="50" customFormat="false" ht="22.35" hidden="false" customHeight="false" outlineLevel="0" collapsed="false">
      <c r="A50" s="13" t="s">
        <v>1520</v>
      </c>
      <c r="B50" s="13" t="s">
        <v>1289</v>
      </c>
      <c r="C50" s="14" t="s">
        <v>3952</v>
      </c>
      <c r="D50" s="13" t="s">
        <v>3953</v>
      </c>
      <c r="E50" s="14" t="s">
        <v>3937</v>
      </c>
      <c r="F50" s="14" t="s">
        <v>3954</v>
      </c>
      <c r="G50" s="14"/>
      <c r="H50" s="13" t="s">
        <v>3955</v>
      </c>
      <c r="I50" s="13" t="s">
        <v>18</v>
      </c>
    </row>
    <row r="51" customFormat="false" ht="15" hidden="false" customHeight="false" outlineLevel="0" collapsed="false">
      <c r="A51" s="13" t="s">
        <v>3659</v>
      </c>
      <c r="B51" s="13" t="s">
        <v>1289</v>
      </c>
      <c r="C51" s="14" t="s">
        <v>3956</v>
      </c>
      <c r="D51" s="13" t="s">
        <v>3957</v>
      </c>
      <c r="E51" s="14" t="s">
        <v>3912</v>
      </c>
      <c r="F51" s="14" t="s">
        <v>3958</v>
      </c>
      <c r="G51" s="14"/>
      <c r="H51" s="13" t="s">
        <v>3959</v>
      </c>
      <c r="I51" s="13" t="s">
        <v>3916</v>
      </c>
    </row>
    <row r="52" customFormat="false" ht="15" hidden="false" customHeight="false" outlineLevel="0" collapsed="false">
      <c r="A52" s="13" t="s">
        <v>3960</v>
      </c>
      <c r="B52" s="13" t="s">
        <v>1289</v>
      </c>
      <c r="C52" s="14" t="s">
        <v>3961</v>
      </c>
      <c r="D52" s="13" t="s">
        <v>3962</v>
      </c>
      <c r="E52" s="14" t="s">
        <v>3937</v>
      </c>
      <c r="F52" s="14" t="s">
        <v>3963</v>
      </c>
      <c r="G52" s="14"/>
      <c r="H52" s="13" t="s">
        <v>3964</v>
      </c>
      <c r="I52" s="13" t="s">
        <v>18</v>
      </c>
    </row>
    <row r="53" customFormat="false" ht="15" hidden="false" customHeight="false" outlineLevel="0" collapsed="false">
      <c r="A53" s="13" t="s">
        <v>1551</v>
      </c>
      <c r="B53" s="13" t="s">
        <v>1289</v>
      </c>
      <c r="C53" s="14" t="s">
        <v>3965</v>
      </c>
      <c r="D53" s="13" t="s">
        <v>3953</v>
      </c>
      <c r="E53" s="14" t="s">
        <v>3937</v>
      </c>
      <c r="F53" s="14" t="s">
        <v>3966</v>
      </c>
      <c r="G53" s="14"/>
      <c r="H53" s="13" t="s">
        <v>3967</v>
      </c>
      <c r="I53" s="13" t="s">
        <v>18</v>
      </c>
    </row>
    <row r="54" customFormat="false" ht="15" hidden="false" customHeight="false" outlineLevel="0" collapsed="false">
      <c r="A54" s="13" t="s">
        <v>1572</v>
      </c>
      <c r="B54" s="13" t="s">
        <v>1289</v>
      </c>
      <c r="C54" s="14" t="s">
        <v>3968</v>
      </c>
      <c r="D54" s="13" t="s">
        <v>3969</v>
      </c>
      <c r="E54" s="14" t="s">
        <v>3771</v>
      </c>
      <c r="F54" s="14" t="s">
        <v>3970</v>
      </c>
      <c r="G54" s="14"/>
      <c r="H54" s="13"/>
      <c r="I54" s="13" t="s">
        <v>18</v>
      </c>
    </row>
    <row r="55" customFormat="false" ht="15" hidden="false" customHeight="false" outlineLevel="0" collapsed="false">
      <c r="A55" s="13" t="s">
        <v>1642</v>
      </c>
      <c r="B55" s="13" t="s">
        <v>1289</v>
      </c>
      <c r="C55" s="14" t="s">
        <v>3971</v>
      </c>
      <c r="D55" s="13" t="s">
        <v>3972</v>
      </c>
      <c r="E55" s="14" t="s">
        <v>3937</v>
      </c>
      <c r="F55" s="14" t="s">
        <v>3973</v>
      </c>
      <c r="G55" s="14"/>
      <c r="H55" s="13" t="s">
        <v>3974</v>
      </c>
      <c r="I55" s="13" t="s">
        <v>18</v>
      </c>
    </row>
    <row r="56" customFormat="false" ht="15" hidden="false" customHeight="false" outlineLevel="0" collapsed="false">
      <c r="A56" s="13" t="s">
        <v>1632</v>
      </c>
      <c r="B56" s="13" t="s">
        <v>1289</v>
      </c>
      <c r="C56" s="14" t="s">
        <v>3975</v>
      </c>
      <c r="D56" s="13" t="s">
        <v>3972</v>
      </c>
      <c r="E56" s="14" t="s">
        <v>3937</v>
      </c>
      <c r="F56" s="14" t="s">
        <v>3976</v>
      </c>
      <c r="G56" s="14"/>
      <c r="H56" s="13" t="s">
        <v>3977</v>
      </c>
      <c r="I56" s="13" t="s">
        <v>18</v>
      </c>
    </row>
    <row r="57" customFormat="false" ht="15" hidden="false" customHeight="false" outlineLevel="0" collapsed="false">
      <c r="A57" s="13" t="s">
        <v>1656</v>
      </c>
      <c r="B57" s="13" t="s">
        <v>1289</v>
      </c>
      <c r="C57" s="14" t="s">
        <v>3978</v>
      </c>
      <c r="D57" s="13" t="s">
        <v>3953</v>
      </c>
      <c r="E57" s="14" t="s">
        <v>3937</v>
      </c>
      <c r="F57" s="14" t="s">
        <v>3979</v>
      </c>
      <c r="G57" s="14"/>
      <c r="H57" s="13" t="s">
        <v>3964</v>
      </c>
      <c r="I57" s="13" t="s">
        <v>18</v>
      </c>
    </row>
    <row r="58" customFormat="false" ht="15" hidden="false" customHeight="false" outlineLevel="0" collapsed="false">
      <c r="A58" s="13" t="s">
        <v>1696</v>
      </c>
      <c r="B58" s="13" t="s">
        <v>1660</v>
      </c>
      <c r="C58" s="14" t="s">
        <v>3980</v>
      </c>
      <c r="D58" s="13" t="s">
        <v>3981</v>
      </c>
      <c r="E58" s="14" t="s">
        <v>3982</v>
      </c>
      <c r="F58" s="14" t="s">
        <v>3983</v>
      </c>
      <c r="G58" s="14"/>
      <c r="H58" s="13" t="s">
        <v>3984</v>
      </c>
      <c r="I58" s="13" t="s">
        <v>18</v>
      </c>
    </row>
    <row r="59" customFormat="false" ht="15" hidden="false" customHeight="false" outlineLevel="0" collapsed="false">
      <c r="A59" s="13" t="s">
        <v>1702</v>
      </c>
      <c r="B59" s="13" t="s">
        <v>1660</v>
      </c>
      <c r="C59" s="14" t="s">
        <v>3985</v>
      </c>
      <c r="D59" s="13" t="s">
        <v>3981</v>
      </c>
      <c r="E59" s="14" t="s">
        <v>3982</v>
      </c>
      <c r="F59" s="14" t="s">
        <v>3986</v>
      </c>
      <c r="G59" s="14"/>
      <c r="H59" s="13" t="s">
        <v>3987</v>
      </c>
      <c r="I59" s="13" t="s">
        <v>18</v>
      </c>
    </row>
    <row r="60" customFormat="false" ht="15" hidden="false" customHeight="false" outlineLevel="0" collapsed="false">
      <c r="A60" s="13" t="s">
        <v>1784</v>
      </c>
      <c r="B60" s="13" t="s">
        <v>1660</v>
      </c>
      <c r="C60" s="14" t="s">
        <v>3988</v>
      </c>
      <c r="D60" s="13" t="s">
        <v>3981</v>
      </c>
      <c r="E60" s="14" t="s">
        <v>3982</v>
      </c>
      <c r="F60" s="14" t="s">
        <v>3989</v>
      </c>
      <c r="G60" s="14"/>
      <c r="H60" s="13" t="s">
        <v>3987</v>
      </c>
      <c r="I60" s="13" t="s">
        <v>18</v>
      </c>
    </row>
    <row r="61" customFormat="false" ht="15" hidden="false" customHeight="false" outlineLevel="0" collapsed="false">
      <c r="A61" s="13" t="s">
        <v>1730</v>
      </c>
      <c r="B61" s="13" t="s">
        <v>1660</v>
      </c>
      <c r="C61" s="14" t="s">
        <v>3990</v>
      </c>
      <c r="D61" s="13" t="s">
        <v>3981</v>
      </c>
      <c r="E61" s="14" t="s">
        <v>3982</v>
      </c>
      <c r="F61" s="14" t="s">
        <v>3991</v>
      </c>
      <c r="G61" s="14"/>
      <c r="H61" s="13" t="s">
        <v>3987</v>
      </c>
      <c r="I61" s="13" t="s">
        <v>18</v>
      </c>
    </row>
    <row r="62" customFormat="false" ht="15" hidden="false" customHeight="false" outlineLevel="0" collapsed="false">
      <c r="A62" s="13" t="s">
        <v>1749</v>
      </c>
      <c r="B62" s="13" t="s">
        <v>1660</v>
      </c>
      <c r="C62" s="14" t="s">
        <v>3992</v>
      </c>
      <c r="D62" s="13" t="s">
        <v>3993</v>
      </c>
      <c r="E62" s="14" t="s">
        <v>3994</v>
      </c>
      <c r="F62" s="14" t="s">
        <v>3995</v>
      </c>
      <c r="G62" s="14"/>
      <c r="H62" s="13" t="s">
        <v>3996</v>
      </c>
      <c r="I62" s="13" t="s">
        <v>18</v>
      </c>
    </row>
    <row r="63" customFormat="false" ht="15" hidden="false" customHeight="false" outlineLevel="0" collapsed="false">
      <c r="A63" s="13" t="s">
        <v>1757</v>
      </c>
      <c r="B63" s="13" t="s">
        <v>1660</v>
      </c>
      <c r="C63" s="14" t="s">
        <v>3997</v>
      </c>
      <c r="D63" s="13" t="s">
        <v>3993</v>
      </c>
      <c r="E63" s="14" t="s">
        <v>3998</v>
      </c>
      <c r="F63" s="14" t="s">
        <v>3999</v>
      </c>
      <c r="G63" s="14"/>
      <c r="H63" s="13" t="s">
        <v>3996</v>
      </c>
      <c r="I63" s="13" t="s">
        <v>18</v>
      </c>
    </row>
    <row r="64" customFormat="false" ht="15" hidden="false" customHeight="false" outlineLevel="0" collapsed="false">
      <c r="A64" s="13" t="s">
        <v>1830</v>
      </c>
      <c r="B64" s="13" t="s">
        <v>1660</v>
      </c>
      <c r="C64" s="14" t="s">
        <v>4000</v>
      </c>
      <c r="D64" s="13" t="s">
        <v>3953</v>
      </c>
      <c r="E64" s="14" t="s">
        <v>3932</v>
      </c>
      <c r="F64" s="14" t="s">
        <v>4001</v>
      </c>
      <c r="G64" s="14"/>
      <c r="H64" s="13" t="s">
        <v>4002</v>
      </c>
      <c r="I64" s="13" t="s">
        <v>18</v>
      </c>
    </row>
    <row r="65" customFormat="false" ht="15" hidden="false" customHeight="false" outlineLevel="0" collapsed="false">
      <c r="A65" s="13" t="s">
        <v>1837</v>
      </c>
      <c r="B65" s="13" t="s">
        <v>1660</v>
      </c>
      <c r="C65" s="14" t="s">
        <v>4003</v>
      </c>
      <c r="D65" s="13" t="s">
        <v>3972</v>
      </c>
      <c r="E65" s="14" t="s">
        <v>3932</v>
      </c>
      <c r="F65" s="14" t="s">
        <v>4004</v>
      </c>
      <c r="G65" s="14"/>
      <c r="H65" s="13" t="s">
        <v>4005</v>
      </c>
      <c r="I65" s="13" t="s">
        <v>18</v>
      </c>
    </row>
    <row r="66" customFormat="false" ht="15" hidden="false" customHeight="false" outlineLevel="0" collapsed="false">
      <c r="A66" s="13" t="s">
        <v>1793</v>
      </c>
      <c r="B66" s="13" t="s">
        <v>1660</v>
      </c>
      <c r="C66" s="14" t="s">
        <v>4006</v>
      </c>
      <c r="D66" s="13" t="s">
        <v>4007</v>
      </c>
      <c r="E66" s="14" t="s">
        <v>3771</v>
      </c>
      <c r="F66" s="14" t="s">
        <v>4008</v>
      </c>
      <c r="G66" s="14"/>
      <c r="H66" s="13"/>
      <c r="I66" s="13" t="s">
        <v>18</v>
      </c>
    </row>
    <row r="67" customFormat="false" ht="15" hidden="false" customHeight="false" outlineLevel="0" collapsed="false">
      <c r="A67" s="13" t="s">
        <v>1820</v>
      </c>
      <c r="B67" s="13" t="s">
        <v>1660</v>
      </c>
      <c r="C67" s="14" t="s">
        <v>4009</v>
      </c>
      <c r="D67" s="13" t="s">
        <v>3981</v>
      </c>
      <c r="E67" s="14" t="s">
        <v>3771</v>
      </c>
      <c r="F67" s="14" t="s">
        <v>4010</v>
      </c>
      <c r="G67" s="14"/>
      <c r="H67" s="13"/>
      <c r="I67" s="13" t="s">
        <v>18</v>
      </c>
    </row>
    <row r="68" customFormat="false" ht="15" hidden="false" customHeight="false" outlineLevel="0" collapsed="false">
      <c r="A68" s="13" t="s">
        <v>1720</v>
      </c>
      <c r="B68" s="13" t="s">
        <v>1660</v>
      </c>
      <c r="C68" s="14" t="s">
        <v>4011</v>
      </c>
      <c r="D68" s="13" t="s">
        <v>3981</v>
      </c>
      <c r="E68" s="14" t="s">
        <v>3771</v>
      </c>
      <c r="F68" s="14" t="s">
        <v>4012</v>
      </c>
      <c r="G68" s="14"/>
      <c r="H68" s="13"/>
      <c r="I68" s="13" t="s">
        <v>18</v>
      </c>
    </row>
    <row r="69" customFormat="false" ht="15" hidden="false" customHeight="false" outlineLevel="0" collapsed="false">
      <c r="A69" s="13" t="s">
        <v>1667</v>
      </c>
      <c r="B69" s="13" t="s">
        <v>1660</v>
      </c>
      <c r="C69" s="14" t="s">
        <v>4013</v>
      </c>
      <c r="D69" s="13" t="s">
        <v>4014</v>
      </c>
      <c r="E69" s="14" t="s">
        <v>3771</v>
      </c>
      <c r="F69" s="14" t="s">
        <v>4015</v>
      </c>
      <c r="G69" s="14"/>
      <c r="H69" s="13"/>
      <c r="I69" s="13" t="s">
        <v>18</v>
      </c>
    </row>
    <row r="70" customFormat="false" ht="15" hidden="false" customHeight="false" outlineLevel="0" collapsed="false">
      <c r="A70" s="13" t="s">
        <v>4016</v>
      </c>
      <c r="B70" s="13" t="s">
        <v>4017</v>
      </c>
      <c r="C70" s="14" t="s">
        <v>4018</v>
      </c>
      <c r="D70" s="13" t="s">
        <v>3972</v>
      </c>
      <c r="E70" s="14" t="s">
        <v>4019</v>
      </c>
      <c r="F70" s="14" t="s">
        <v>4020</v>
      </c>
      <c r="G70" s="14"/>
      <c r="H70" s="13" t="s">
        <v>3977</v>
      </c>
      <c r="I70" s="13" t="s">
        <v>18</v>
      </c>
    </row>
    <row r="71" customFormat="false" ht="15" hidden="false" customHeight="false" outlineLevel="0" collapsed="false">
      <c r="A71" s="13" t="s">
        <v>4021</v>
      </c>
      <c r="B71" s="13" t="s">
        <v>4017</v>
      </c>
      <c r="C71" s="14" t="s">
        <v>4022</v>
      </c>
      <c r="D71" s="13" t="s">
        <v>3972</v>
      </c>
      <c r="E71" s="14" t="s">
        <v>3937</v>
      </c>
      <c r="F71" s="14" t="s">
        <v>4023</v>
      </c>
      <c r="G71" s="14"/>
      <c r="H71" s="13" t="s">
        <v>3977</v>
      </c>
      <c r="I71" s="13" t="s">
        <v>18</v>
      </c>
    </row>
    <row r="72" customFormat="false" ht="15" hidden="false" customHeight="false" outlineLevel="0" collapsed="false">
      <c r="A72" s="13" t="s">
        <v>4024</v>
      </c>
      <c r="B72" s="13" t="s">
        <v>4017</v>
      </c>
      <c r="C72" s="14" t="s">
        <v>4025</v>
      </c>
      <c r="D72" s="13" t="s">
        <v>3972</v>
      </c>
      <c r="E72" s="14" t="s">
        <v>3937</v>
      </c>
      <c r="F72" s="14" t="s">
        <v>4026</v>
      </c>
      <c r="G72" s="14"/>
      <c r="H72" s="13" t="s">
        <v>3977</v>
      </c>
      <c r="I72" s="13" t="s">
        <v>18</v>
      </c>
    </row>
    <row r="73" customFormat="false" ht="15" hidden="false" customHeight="false" outlineLevel="0" collapsed="false">
      <c r="A73" s="13" t="s">
        <v>4027</v>
      </c>
      <c r="B73" s="13" t="s">
        <v>4017</v>
      </c>
      <c r="C73" s="14" t="s">
        <v>4028</v>
      </c>
      <c r="D73" s="13" t="s">
        <v>3972</v>
      </c>
      <c r="E73" s="14" t="s">
        <v>3937</v>
      </c>
      <c r="F73" s="14" t="s">
        <v>4029</v>
      </c>
      <c r="G73" s="14"/>
      <c r="H73" s="13" t="s">
        <v>3977</v>
      </c>
      <c r="I73" s="13" t="s">
        <v>18</v>
      </c>
    </row>
    <row r="74" customFormat="false" ht="15" hidden="false" customHeight="false" outlineLevel="0" collapsed="false">
      <c r="A74" s="13" t="s">
        <v>2542</v>
      </c>
      <c r="B74" s="13" t="s">
        <v>4017</v>
      </c>
      <c r="C74" s="14" t="s">
        <v>4030</v>
      </c>
      <c r="D74" s="13" t="s">
        <v>4007</v>
      </c>
      <c r="E74" s="14" t="s">
        <v>4031</v>
      </c>
      <c r="F74" s="14" t="s">
        <v>4032</v>
      </c>
      <c r="G74" s="14"/>
      <c r="H74" s="13" t="s">
        <v>4033</v>
      </c>
      <c r="I74" s="13" t="s">
        <v>18</v>
      </c>
    </row>
    <row r="75" customFormat="false" ht="15" hidden="false" customHeight="false" outlineLevel="0" collapsed="false">
      <c r="A75" s="13" t="s">
        <v>2568</v>
      </c>
      <c r="B75" s="13" t="s">
        <v>4017</v>
      </c>
      <c r="C75" s="14" t="s">
        <v>4034</v>
      </c>
      <c r="D75" s="13" t="s">
        <v>3972</v>
      </c>
      <c r="E75" s="14" t="s">
        <v>3937</v>
      </c>
      <c r="F75" s="14" t="s">
        <v>4035</v>
      </c>
      <c r="G75" s="14"/>
      <c r="H75" s="13" t="s">
        <v>3964</v>
      </c>
      <c r="I75" s="13" t="s">
        <v>18</v>
      </c>
    </row>
    <row r="76" customFormat="false" ht="15" hidden="false" customHeight="false" outlineLevel="0" collapsed="false">
      <c r="A76" s="13" t="s">
        <v>2574</v>
      </c>
      <c r="B76" s="13" t="s">
        <v>4017</v>
      </c>
      <c r="C76" s="14" t="s">
        <v>4036</v>
      </c>
      <c r="D76" s="13" t="s">
        <v>3972</v>
      </c>
      <c r="E76" s="14" t="s">
        <v>4037</v>
      </c>
      <c r="F76" s="14" t="s">
        <v>4038</v>
      </c>
      <c r="G76" s="14"/>
      <c r="H76" s="13" t="s">
        <v>4039</v>
      </c>
      <c r="I76" s="13" t="s">
        <v>18</v>
      </c>
    </row>
    <row r="77" customFormat="false" ht="15" hidden="false" customHeight="false" outlineLevel="0" collapsed="false">
      <c r="A77" s="13" t="s">
        <v>2577</v>
      </c>
      <c r="B77" s="13" t="s">
        <v>4017</v>
      </c>
      <c r="C77" s="14" t="s">
        <v>4040</v>
      </c>
      <c r="D77" s="13" t="s">
        <v>3972</v>
      </c>
      <c r="E77" s="14" t="s">
        <v>4037</v>
      </c>
      <c r="F77" s="14" t="s">
        <v>4041</v>
      </c>
      <c r="G77" s="14"/>
      <c r="H77" s="13" t="s">
        <v>4039</v>
      </c>
      <c r="I77" s="13" t="s">
        <v>18</v>
      </c>
    </row>
    <row r="78" customFormat="false" ht="15" hidden="false" customHeight="false" outlineLevel="0" collapsed="false">
      <c r="A78" s="13" t="s">
        <v>2589</v>
      </c>
      <c r="B78" s="13" t="s">
        <v>4017</v>
      </c>
      <c r="C78" s="14" t="s">
        <v>4042</v>
      </c>
      <c r="D78" s="13" t="s">
        <v>3981</v>
      </c>
      <c r="E78" s="14" t="s">
        <v>4043</v>
      </c>
      <c r="F78" s="14" t="s">
        <v>4044</v>
      </c>
      <c r="G78" s="14"/>
      <c r="H78" s="13" t="s">
        <v>4045</v>
      </c>
      <c r="I78" s="13" t="s">
        <v>18</v>
      </c>
    </row>
    <row r="79" customFormat="false" ht="15" hidden="false" customHeight="false" outlineLevel="0" collapsed="false">
      <c r="A79" s="13" t="s">
        <v>2484</v>
      </c>
      <c r="B79" s="13" t="s">
        <v>4017</v>
      </c>
      <c r="C79" s="14" t="s">
        <v>4046</v>
      </c>
      <c r="D79" s="13" t="s">
        <v>4007</v>
      </c>
      <c r="E79" s="14" t="s">
        <v>3771</v>
      </c>
      <c r="F79" s="14" t="s">
        <v>4047</v>
      </c>
      <c r="G79" s="14"/>
      <c r="H79" s="13" t="s">
        <v>4048</v>
      </c>
      <c r="I79" s="13" t="s">
        <v>18</v>
      </c>
    </row>
    <row r="80" customFormat="false" ht="15" hidden="false" customHeight="false" outlineLevel="0" collapsed="false">
      <c r="A80" s="13" t="s">
        <v>2494</v>
      </c>
      <c r="B80" s="13" t="s">
        <v>4017</v>
      </c>
      <c r="C80" s="14" t="s">
        <v>4049</v>
      </c>
      <c r="D80" s="13" t="s">
        <v>4007</v>
      </c>
      <c r="E80" s="14" t="s">
        <v>3771</v>
      </c>
      <c r="F80" s="14" t="s">
        <v>4050</v>
      </c>
      <c r="G80" s="14"/>
      <c r="H80" s="13" t="s">
        <v>4048</v>
      </c>
      <c r="I80" s="13" t="s">
        <v>18</v>
      </c>
    </row>
    <row r="81" customFormat="false" ht="15" hidden="false" customHeight="false" outlineLevel="0" collapsed="false">
      <c r="A81" s="13" t="s">
        <v>2523</v>
      </c>
      <c r="B81" s="13" t="s">
        <v>4017</v>
      </c>
      <c r="C81" s="14" t="s">
        <v>4051</v>
      </c>
      <c r="D81" s="13" t="s">
        <v>4007</v>
      </c>
      <c r="E81" s="14" t="s">
        <v>3771</v>
      </c>
      <c r="F81" s="14" t="s">
        <v>4015</v>
      </c>
      <c r="G81" s="14"/>
      <c r="H81" s="13"/>
      <c r="I81" s="13" t="s">
        <v>18</v>
      </c>
    </row>
    <row r="82" customFormat="false" ht="15" hidden="false" customHeight="false" outlineLevel="0" collapsed="false">
      <c r="A82" s="13" t="s">
        <v>2610</v>
      </c>
      <c r="B82" s="13" t="s">
        <v>4017</v>
      </c>
      <c r="C82" s="14" t="s">
        <v>4052</v>
      </c>
      <c r="D82" s="13" t="s">
        <v>4007</v>
      </c>
      <c r="E82" s="14" t="s">
        <v>4053</v>
      </c>
      <c r="F82" s="14" t="s">
        <v>4054</v>
      </c>
      <c r="G82" s="14"/>
      <c r="H82" s="13"/>
      <c r="I82" s="13" t="s">
        <v>4053</v>
      </c>
    </row>
    <row r="83" customFormat="false" ht="15" hidden="false" customHeight="false" outlineLevel="0" collapsed="false">
      <c r="A83" s="13" t="s">
        <v>2667</v>
      </c>
      <c r="B83" s="13" t="s">
        <v>4017</v>
      </c>
      <c r="C83" s="14" t="s">
        <v>4055</v>
      </c>
      <c r="D83" s="13" t="s">
        <v>4056</v>
      </c>
      <c r="E83" s="14" t="s">
        <v>4053</v>
      </c>
      <c r="F83" s="14" t="s">
        <v>4057</v>
      </c>
      <c r="G83" s="14"/>
      <c r="H83" s="13" t="s">
        <v>3977</v>
      </c>
      <c r="I83" s="13" t="s">
        <v>4053</v>
      </c>
    </row>
    <row r="84" customFormat="false" ht="15" hidden="false" customHeight="false" outlineLevel="0" collapsed="false">
      <c r="A84" s="13" t="s">
        <v>2749</v>
      </c>
      <c r="B84" s="13" t="s">
        <v>4058</v>
      </c>
      <c r="C84" s="14" t="s">
        <v>4059</v>
      </c>
      <c r="D84" s="13" t="s">
        <v>3972</v>
      </c>
      <c r="E84" s="14" t="s">
        <v>3932</v>
      </c>
      <c r="F84" s="14" t="s">
        <v>4060</v>
      </c>
      <c r="G84" s="14"/>
      <c r="H84" s="13" t="s">
        <v>4061</v>
      </c>
      <c r="I84" s="13" t="s">
        <v>18</v>
      </c>
    </row>
    <row r="85" customFormat="false" ht="15" hidden="false" customHeight="false" outlineLevel="0" collapsed="false">
      <c r="A85" s="13" t="s">
        <v>2728</v>
      </c>
      <c r="B85" s="13" t="s">
        <v>4058</v>
      </c>
      <c r="C85" s="14" t="s">
        <v>4062</v>
      </c>
      <c r="D85" s="13" t="s">
        <v>3993</v>
      </c>
      <c r="E85" s="14" t="s">
        <v>3932</v>
      </c>
      <c r="F85" s="14" t="s">
        <v>4063</v>
      </c>
      <c r="G85" s="14"/>
      <c r="H85" s="13" t="s">
        <v>4061</v>
      </c>
      <c r="I85" s="13" t="s">
        <v>18</v>
      </c>
    </row>
    <row r="86" customFormat="false" ht="15" hidden="false" customHeight="false" outlineLevel="0" collapsed="false">
      <c r="A86" s="13" t="s">
        <v>4064</v>
      </c>
      <c r="B86" s="13" t="s">
        <v>4058</v>
      </c>
      <c r="C86" s="14" t="s">
        <v>4065</v>
      </c>
      <c r="D86" s="13" t="s">
        <v>3972</v>
      </c>
      <c r="E86" s="14" t="s">
        <v>3937</v>
      </c>
      <c r="F86" s="14" t="s">
        <v>4066</v>
      </c>
      <c r="G86" s="14"/>
      <c r="H86" s="13" t="s">
        <v>3967</v>
      </c>
      <c r="I86" s="13" t="s">
        <v>18</v>
      </c>
    </row>
    <row r="87" customFormat="false" ht="15" hidden="false" customHeight="false" outlineLevel="0" collapsed="false">
      <c r="A87" s="13" t="s">
        <v>4067</v>
      </c>
      <c r="B87" s="13" t="s">
        <v>4058</v>
      </c>
      <c r="C87" s="14" t="s">
        <v>4068</v>
      </c>
      <c r="D87" s="13" t="s">
        <v>3972</v>
      </c>
      <c r="E87" s="14" t="s">
        <v>3937</v>
      </c>
      <c r="F87" s="14" t="s">
        <v>4069</v>
      </c>
      <c r="G87" s="14"/>
      <c r="H87" s="13" t="s">
        <v>4070</v>
      </c>
      <c r="I87" s="13" t="s">
        <v>18</v>
      </c>
    </row>
    <row r="88" customFormat="false" ht="15" hidden="false" customHeight="false" outlineLevel="0" collapsed="false">
      <c r="A88" s="13" t="s">
        <v>4071</v>
      </c>
      <c r="B88" s="13" t="s">
        <v>4072</v>
      </c>
      <c r="C88" s="14" t="s">
        <v>4073</v>
      </c>
      <c r="D88" s="13" t="s">
        <v>4074</v>
      </c>
      <c r="E88" s="14" t="s">
        <v>3932</v>
      </c>
      <c r="F88" s="14" t="s">
        <v>4075</v>
      </c>
      <c r="G88" s="14"/>
      <c r="H88" s="13" t="s">
        <v>4076</v>
      </c>
      <c r="I88" s="13" t="s">
        <v>18</v>
      </c>
    </row>
    <row r="89" customFormat="false" ht="15" hidden="false" customHeight="false" outlineLevel="0" collapsed="false">
      <c r="A89" s="13" t="s">
        <v>4077</v>
      </c>
      <c r="B89" s="13" t="s">
        <v>4072</v>
      </c>
      <c r="C89" s="14" t="s">
        <v>4078</v>
      </c>
      <c r="D89" s="13" t="s">
        <v>4074</v>
      </c>
      <c r="E89" s="14" t="s">
        <v>3937</v>
      </c>
      <c r="F89" s="14" t="s">
        <v>4079</v>
      </c>
      <c r="G89" s="14"/>
      <c r="H89" s="13" t="s">
        <v>4076</v>
      </c>
      <c r="I89" s="13" t="s">
        <v>18</v>
      </c>
    </row>
    <row r="90" customFormat="false" ht="15" hidden="false" customHeight="false" outlineLevel="0" collapsed="false">
      <c r="A90" s="13" t="s">
        <v>2455</v>
      </c>
      <c r="B90" s="13" t="s">
        <v>4072</v>
      </c>
      <c r="C90" s="14" t="s">
        <v>4080</v>
      </c>
      <c r="D90" s="13" t="s">
        <v>4081</v>
      </c>
      <c r="E90" s="14" t="s">
        <v>4082</v>
      </c>
      <c r="F90" s="14" t="s">
        <v>4083</v>
      </c>
      <c r="G90" s="14"/>
      <c r="H90" s="13" t="s">
        <v>4084</v>
      </c>
      <c r="I90" s="13" t="s">
        <v>18</v>
      </c>
    </row>
    <row r="91" customFormat="false" ht="15" hidden="false" customHeight="false" outlineLevel="0" collapsed="false">
      <c r="A91" s="13" t="s">
        <v>2302</v>
      </c>
      <c r="B91" s="13" t="s">
        <v>4072</v>
      </c>
      <c r="C91" s="14" t="s">
        <v>4085</v>
      </c>
      <c r="D91" s="13" t="s">
        <v>4086</v>
      </c>
      <c r="E91" s="14" t="s">
        <v>4053</v>
      </c>
      <c r="F91" s="14" t="s">
        <v>4087</v>
      </c>
      <c r="G91" s="14"/>
      <c r="H91" s="13" t="s">
        <v>4088</v>
      </c>
      <c r="I91" s="13" t="s">
        <v>4053</v>
      </c>
    </row>
    <row r="92" customFormat="false" ht="15" hidden="false" customHeight="false" outlineLevel="0" collapsed="false">
      <c r="A92" s="13" t="s">
        <v>1856</v>
      </c>
      <c r="B92" s="13" t="s">
        <v>4072</v>
      </c>
      <c r="C92" s="14" t="s">
        <v>4089</v>
      </c>
      <c r="D92" s="13" t="s">
        <v>4056</v>
      </c>
      <c r="E92" s="14" t="s">
        <v>4053</v>
      </c>
      <c r="F92" s="14" t="s">
        <v>4090</v>
      </c>
      <c r="G92" s="14"/>
      <c r="H92" s="13" t="s">
        <v>1853</v>
      </c>
      <c r="I92" s="13" t="s">
        <v>4053</v>
      </c>
    </row>
    <row r="93" customFormat="false" ht="15" hidden="false" customHeight="false" outlineLevel="0" collapsed="false">
      <c r="A93" s="13" t="s">
        <v>2174</v>
      </c>
      <c r="B93" s="13" t="s">
        <v>4072</v>
      </c>
      <c r="C93" s="14" t="s">
        <v>4091</v>
      </c>
      <c r="D93" s="13" t="s">
        <v>4056</v>
      </c>
      <c r="E93" s="14" t="s">
        <v>4053</v>
      </c>
      <c r="F93" s="14" t="s">
        <v>4092</v>
      </c>
      <c r="G93" s="14"/>
      <c r="H93" s="13" t="s">
        <v>4093</v>
      </c>
      <c r="I93" s="13" t="s">
        <v>4053</v>
      </c>
    </row>
    <row r="94" customFormat="false" ht="15" hidden="false" customHeight="false" outlineLevel="0" collapsed="false">
      <c r="A94" s="13" t="s">
        <v>2273</v>
      </c>
      <c r="B94" s="13" t="s">
        <v>4072</v>
      </c>
      <c r="C94" s="14" t="s">
        <v>4094</v>
      </c>
      <c r="D94" s="13" t="s">
        <v>4056</v>
      </c>
      <c r="E94" s="14" t="s">
        <v>4053</v>
      </c>
      <c r="F94" s="14" t="s">
        <v>4095</v>
      </c>
      <c r="G94" s="14"/>
      <c r="H94" s="13"/>
      <c r="I94" s="13" t="s">
        <v>4053</v>
      </c>
    </row>
    <row r="95" customFormat="false" ht="15" hidden="false" customHeight="false" outlineLevel="0" collapsed="false">
      <c r="A95" s="13" t="s">
        <v>2843</v>
      </c>
      <c r="B95" s="13" t="s">
        <v>4096</v>
      </c>
      <c r="C95" s="14" t="s">
        <v>4097</v>
      </c>
      <c r="D95" s="13" t="s">
        <v>3953</v>
      </c>
      <c r="E95" s="14" t="s">
        <v>3932</v>
      </c>
      <c r="F95" s="14" t="s">
        <v>4098</v>
      </c>
      <c r="G95" s="14"/>
      <c r="H95" s="13" t="s">
        <v>4005</v>
      </c>
      <c r="I95" s="13" t="s">
        <v>18</v>
      </c>
    </row>
    <row r="96" customFormat="false" ht="15" hidden="false" customHeight="false" outlineLevel="0" collapsed="false">
      <c r="A96" s="13" t="s">
        <v>4099</v>
      </c>
      <c r="B96" s="13" t="s">
        <v>4096</v>
      </c>
      <c r="C96" s="14" t="s">
        <v>4100</v>
      </c>
      <c r="D96" s="13" t="s">
        <v>3953</v>
      </c>
      <c r="E96" s="14" t="s">
        <v>3937</v>
      </c>
      <c r="F96" s="14" t="s">
        <v>4101</v>
      </c>
      <c r="G96" s="14"/>
      <c r="H96" s="13" t="s">
        <v>3977</v>
      </c>
      <c r="I96" s="13" t="s">
        <v>18</v>
      </c>
    </row>
    <row r="97" customFormat="false" ht="15" hidden="false" customHeight="false" outlineLevel="0" collapsed="false">
      <c r="A97" s="13" t="s">
        <v>4102</v>
      </c>
      <c r="B97" s="13" t="s">
        <v>4096</v>
      </c>
      <c r="C97" s="14" t="s">
        <v>4103</v>
      </c>
      <c r="D97" s="13" t="s">
        <v>3972</v>
      </c>
      <c r="E97" s="14" t="s">
        <v>3937</v>
      </c>
      <c r="F97" s="14" t="s">
        <v>4104</v>
      </c>
      <c r="G97" s="14"/>
      <c r="H97" s="13" t="s">
        <v>3977</v>
      </c>
      <c r="I97" s="13" t="s">
        <v>18</v>
      </c>
    </row>
    <row r="98" customFormat="false" ht="15" hidden="false" customHeight="false" outlineLevel="0" collapsed="false">
      <c r="A98" s="13" t="s">
        <v>2819</v>
      </c>
      <c r="B98" s="13" t="s">
        <v>4096</v>
      </c>
      <c r="C98" s="14" t="s">
        <v>4105</v>
      </c>
      <c r="D98" s="13" t="s">
        <v>3993</v>
      </c>
      <c r="E98" s="14" t="s">
        <v>3771</v>
      </c>
      <c r="F98" s="14" t="s">
        <v>4106</v>
      </c>
      <c r="G98" s="14"/>
      <c r="H98" s="13"/>
      <c r="I98" s="13" t="s">
        <v>18</v>
      </c>
    </row>
    <row r="99" customFormat="false" ht="15" hidden="false" customHeight="false" outlineLevel="0" collapsed="false">
      <c r="A99" s="13" t="s">
        <v>3666</v>
      </c>
      <c r="B99" s="13" t="s">
        <v>3713</v>
      </c>
      <c r="C99" s="14" t="s">
        <v>4107</v>
      </c>
      <c r="D99" s="13" t="s">
        <v>4108</v>
      </c>
      <c r="E99" s="14" t="s">
        <v>3937</v>
      </c>
      <c r="F99" s="14" t="s">
        <v>4109</v>
      </c>
      <c r="G99" s="14"/>
      <c r="H99" s="13" t="s">
        <v>4110</v>
      </c>
      <c r="I99" s="13" t="s">
        <v>18</v>
      </c>
    </row>
    <row r="100" customFormat="false" ht="15" hidden="false" customHeight="false" outlineLevel="0" collapsed="false">
      <c r="A100" s="13" t="s">
        <v>3568</v>
      </c>
      <c r="B100" s="13" t="s">
        <v>3713</v>
      </c>
      <c r="C100" s="14" t="s">
        <v>4111</v>
      </c>
      <c r="D100" s="13" t="s">
        <v>4112</v>
      </c>
      <c r="E100" s="14" t="s">
        <v>4053</v>
      </c>
      <c r="F100" s="14" t="s">
        <v>4113</v>
      </c>
      <c r="G100" s="14"/>
      <c r="H100" s="13"/>
      <c r="I100" s="13" t="s">
        <v>4053</v>
      </c>
    </row>
    <row r="101" customFormat="false" ht="15" hidden="false" customHeight="false" outlineLevel="0" collapsed="false">
      <c r="A101" s="13" t="s">
        <v>3061</v>
      </c>
      <c r="B101" s="13" t="s">
        <v>3713</v>
      </c>
      <c r="C101" s="14" t="s">
        <v>4114</v>
      </c>
      <c r="D101" s="13" t="s">
        <v>4056</v>
      </c>
      <c r="E101" s="14" t="s">
        <v>4053</v>
      </c>
      <c r="F101" s="14" t="s">
        <v>4115</v>
      </c>
      <c r="G101" s="14"/>
      <c r="H101" s="13" t="s">
        <v>4116</v>
      </c>
      <c r="I101" s="13" t="s">
        <v>4053</v>
      </c>
    </row>
    <row r="102" customFormat="false" ht="15" hidden="false" customHeight="false" outlineLevel="0" collapsed="false">
      <c r="A102" s="13" t="s">
        <v>3121</v>
      </c>
      <c r="B102" s="13" t="s">
        <v>3713</v>
      </c>
      <c r="C102" s="14" t="s">
        <v>4117</v>
      </c>
      <c r="D102" s="13" t="s">
        <v>4056</v>
      </c>
      <c r="E102" s="14" t="s">
        <v>4053</v>
      </c>
      <c r="F102" s="14" t="s">
        <v>4118</v>
      </c>
      <c r="G102" s="14"/>
      <c r="H102" s="13" t="s">
        <v>4116</v>
      </c>
      <c r="I102" s="13" t="s">
        <v>4053</v>
      </c>
    </row>
    <row r="103" customFormat="false" ht="15" hidden="false" customHeight="false" outlineLevel="0" collapsed="false">
      <c r="A103" s="13" t="s">
        <v>3231</v>
      </c>
      <c r="B103" s="13" t="s">
        <v>3713</v>
      </c>
      <c r="C103" s="14" t="s">
        <v>4119</v>
      </c>
      <c r="D103" s="13" t="s">
        <v>4120</v>
      </c>
      <c r="E103" s="14" t="s">
        <v>4053</v>
      </c>
      <c r="F103" s="14" t="s">
        <v>4121</v>
      </c>
      <c r="G103" s="14"/>
      <c r="H103" s="13"/>
      <c r="I103" s="13" t="s">
        <v>4053</v>
      </c>
    </row>
    <row r="104" customFormat="false" ht="15" hidden="false" customHeight="false" outlineLevel="0" collapsed="false">
      <c r="A104" s="13" t="s">
        <v>3275</v>
      </c>
      <c r="B104" s="13" t="s">
        <v>3713</v>
      </c>
      <c r="C104" s="14" t="s">
        <v>4122</v>
      </c>
      <c r="D104" s="13" t="s">
        <v>4056</v>
      </c>
      <c r="E104" s="14" t="s">
        <v>4053</v>
      </c>
      <c r="F104" s="14" t="s">
        <v>4123</v>
      </c>
      <c r="G104" s="14"/>
      <c r="H104" s="13"/>
      <c r="I104" s="13" t="s">
        <v>4053</v>
      </c>
    </row>
    <row r="105" customFormat="false" ht="15" hidden="false" customHeight="false" outlineLevel="0" collapsed="false">
      <c r="A105" s="13" t="s">
        <v>3303</v>
      </c>
      <c r="B105" s="13" t="s">
        <v>3713</v>
      </c>
      <c r="C105" s="14" t="s">
        <v>4124</v>
      </c>
      <c r="D105" s="13" t="s">
        <v>4056</v>
      </c>
      <c r="E105" s="14" t="s">
        <v>4053</v>
      </c>
      <c r="F105" s="14" t="s">
        <v>4125</v>
      </c>
      <c r="G105" s="14"/>
      <c r="H105" s="13" t="s">
        <v>4116</v>
      </c>
      <c r="I105" s="13" t="s">
        <v>4053</v>
      </c>
    </row>
  </sheetData>
  <autoFilter ref="A1:I1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28"/>
    <col collapsed="false" customWidth="true" hidden="false" outlineLevel="0" max="4" min="4" style="0" width="34"/>
    <col collapsed="false" customWidth="true" hidden="false" outlineLevel="0" max="5" min="5" style="0" width="9"/>
    <col collapsed="false" customWidth="true" hidden="false" outlineLevel="0" max="6" min="6" style="0" width="14"/>
    <col collapsed="false" customWidth="true" hidden="false" outlineLevel="0" max="9" min="7" style="0" width="10"/>
    <col collapsed="false" customWidth="true" hidden="false" outlineLevel="0" max="10" min="10" style="0" width="14"/>
    <col collapsed="false" customWidth="true" hidden="false" outlineLevel="0" max="11" min="11" style="0" width="22"/>
    <col collapsed="false" customWidth="true" hidden="false" outlineLevel="0" max="12" min="12" style="0" width="50"/>
    <col collapsed="false" customWidth="true" hidden="false" outlineLevel="0" max="13" min="13" style="0" width="60"/>
    <col collapsed="false" customWidth="true" hidden="false" outlineLevel="0" max="14" min="14" style="0" width="22"/>
    <col collapsed="false" customWidth="true" hidden="false" outlineLevel="0" max="15" min="15" style="0" width="9"/>
    <col collapsed="false" customWidth="true" hidden="false" outlineLevel="0" max="16" min="16" style="0" width="30"/>
  </cols>
  <sheetData>
    <row r="1" customFormat="false" ht="30" hidden="false" customHeight="true" outlineLevel="0" collapsed="false">
      <c r="A1" s="10" t="s">
        <v>46</v>
      </c>
      <c r="B1" s="10" t="s">
        <v>3721</v>
      </c>
      <c r="C1" s="10" t="s">
        <v>143</v>
      </c>
      <c r="D1" s="10" t="s">
        <v>3723</v>
      </c>
      <c r="E1" s="10" t="s">
        <v>4126</v>
      </c>
      <c r="F1" s="10" t="s">
        <v>4127</v>
      </c>
      <c r="G1" s="10" t="s">
        <v>4128</v>
      </c>
      <c r="H1" s="10" t="s">
        <v>4129</v>
      </c>
      <c r="I1" s="10" t="s">
        <v>4130</v>
      </c>
      <c r="J1" s="10" t="s">
        <v>3450</v>
      </c>
      <c r="K1" s="10" t="s">
        <v>4131</v>
      </c>
      <c r="L1" s="10" t="s">
        <v>4132</v>
      </c>
      <c r="M1" s="10" t="s">
        <v>4133</v>
      </c>
      <c r="N1" s="10" t="s">
        <v>3728</v>
      </c>
      <c r="O1" s="10" t="s">
        <v>4134</v>
      </c>
      <c r="P1" s="10" t="s">
        <v>174</v>
      </c>
    </row>
    <row r="2" customFormat="false" ht="53.7" hidden="false" customHeight="false" outlineLevel="0" collapsed="false">
      <c r="A2" s="13" t="s">
        <v>175</v>
      </c>
      <c r="B2" s="13" t="s">
        <v>3743</v>
      </c>
      <c r="C2" s="14" t="s">
        <v>179</v>
      </c>
      <c r="D2" s="14" t="s">
        <v>3745</v>
      </c>
      <c r="E2" s="23" t="n">
        <v>1.99</v>
      </c>
      <c r="F2" s="13" t="s">
        <v>4135</v>
      </c>
      <c r="G2" s="24" t="n">
        <f aca="false">IF($E2="","",$E2*60/(Settings!$B$30+50/(Settings!$B$28*88)+50/(Settings!$B$29*88))*Settings!$B$7*1*0.75*0.8)</f>
        <v>151.490505575419</v>
      </c>
      <c r="H2" s="24" t="n">
        <f aca="false">IF($E2="","",$E2*60/(Settings!$B$30+50/(Settings!$B$28*88)+50/(Settings!$B$29*88))*Settings!$B$7*1*0.75)</f>
        <v>189.363131969273</v>
      </c>
      <c r="I2" s="24" t="n">
        <f aca="false">IF($E2="","",$E2*60/(Settings!$B$30+50/(Settings!$B$28*88)+50/(Settings!$B$29*88))*Settings!$B$7*1*1*1.2)</f>
        <v>302.981011150837</v>
      </c>
      <c r="J2" s="13" t="s">
        <v>3746</v>
      </c>
      <c r="K2" s="13" t="s">
        <v>4136</v>
      </c>
      <c r="L2" s="14" t="s">
        <v>4137</v>
      </c>
      <c r="M2" s="14" t="s">
        <v>4138</v>
      </c>
      <c r="N2" s="13" t="s">
        <v>4139</v>
      </c>
      <c r="O2" s="13" t="str">
        <f aca="false">IF(H2="","D","C")</f>
        <v>C</v>
      </c>
      <c r="P2" s="14"/>
    </row>
    <row r="3" customFormat="false" ht="53.7" hidden="false" customHeight="false" outlineLevel="0" collapsed="false">
      <c r="A3" s="13" t="s">
        <v>175</v>
      </c>
      <c r="B3" s="13" t="s">
        <v>3751</v>
      </c>
      <c r="C3" s="14" t="s">
        <v>179</v>
      </c>
      <c r="D3" s="14" t="s">
        <v>3753</v>
      </c>
      <c r="E3" s="23" t="n">
        <v>1.99</v>
      </c>
      <c r="F3" s="13" t="s">
        <v>4135</v>
      </c>
      <c r="G3" s="24" t="n">
        <f aca="false">IF($E3="","",$E3*60/(Settings!$B$30+100/(Settings!$B$28*88)+100/(Settings!$B$29*88))*Settings!$B$7*1*0.75*0.8)</f>
        <v>80.8978821793685</v>
      </c>
      <c r="H3" s="24" t="n">
        <f aca="false">IF($E3="","",$E3*60/(Settings!$B$30+100/(Settings!$B$28*88)+100/(Settings!$B$29*88))*Settings!$B$7*1*0.75)</f>
        <v>101.122352724211</v>
      </c>
      <c r="I3" s="24" t="n">
        <f aca="false">IF($E3="","",$E3*60/(Settings!$B$30+100/(Settings!$B$28*88)+100/(Settings!$B$29*88))*Settings!$B$7*1*1*1.2)</f>
        <v>161.795764358737</v>
      </c>
      <c r="J3" s="13" t="s">
        <v>3746</v>
      </c>
      <c r="K3" s="13" t="s">
        <v>4136</v>
      </c>
      <c r="L3" s="14" t="s">
        <v>4140</v>
      </c>
      <c r="M3" s="14" t="s">
        <v>4141</v>
      </c>
      <c r="N3" s="13" t="s">
        <v>4139</v>
      </c>
      <c r="O3" s="13" t="str">
        <f aca="false">IF(H3="","D","C")</f>
        <v>C</v>
      </c>
      <c r="P3" s="14"/>
    </row>
    <row r="4" customFormat="false" ht="53.7" hidden="false" customHeight="false" outlineLevel="0" collapsed="false">
      <c r="A4" s="13" t="s">
        <v>175</v>
      </c>
      <c r="B4" s="13" t="s">
        <v>3762</v>
      </c>
      <c r="C4" s="14" t="s">
        <v>179</v>
      </c>
      <c r="D4" s="14" t="s">
        <v>3764</v>
      </c>
      <c r="E4" s="23" t="n">
        <v>1.99</v>
      </c>
      <c r="F4" s="13" t="s">
        <v>4135</v>
      </c>
      <c r="G4" s="24" t="n">
        <f aca="false">IF($E4="","",$E4*60/(Settings!$B$30+50/(Settings!$B$28*88)+50/(Settings!$B$29*88))*Settings!$B$7*1.2*0.75*0.8)</f>
        <v>181.788606690502</v>
      </c>
      <c r="H4" s="24" t="n">
        <f aca="false">IF($E4="","",$E4*60/(Settings!$B$30+50/(Settings!$B$28*88)+50/(Settings!$B$29*88))*Settings!$B$7*1.2*0.75)</f>
        <v>227.235758363128</v>
      </c>
      <c r="I4" s="24" t="n">
        <f aca="false">IF($E4="","",$E4*60/(Settings!$B$30+50/(Settings!$B$28*88)+50/(Settings!$B$29*88))*Settings!$B$7*1.2*1*1.2)</f>
        <v>363.577213381004</v>
      </c>
      <c r="J4" s="13" t="s">
        <v>3746</v>
      </c>
      <c r="K4" s="13" t="s">
        <v>4136</v>
      </c>
      <c r="L4" s="14" t="s">
        <v>4142</v>
      </c>
      <c r="M4" s="14" t="s">
        <v>4143</v>
      </c>
      <c r="N4" s="13" t="s">
        <v>4139</v>
      </c>
      <c r="O4" s="13" t="str">
        <f aca="false">IF(H4="","D","C")</f>
        <v>C</v>
      </c>
      <c r="P4" s="14"/>
    </row>
    <row r="5" customFormat="false" ht="15" hidden="false" customHeight="false" outlineLevel="0" collapsed="false">
      <c r="A5" s="13" t="s">
        <v>175</v>
      </c>
      <c r="B5" s="13" t="s">
        <v>3768</v>
      </c>
      <c r="C5" s="14" t="s">
        <v>179</v>
      </c>
      <c r="D5" s="14" t="s">
        <v>3769</v>
      </c>
      <c r="E5" s="13"/>
      <c r="F5" s="13"/>
      <c r="G5" s="24"/>
      <c r="H5" s="24"/>
      <c r="I5" s="24"/>
      <c r="J5" s="13" t="s">
        <v>3770</v>
      </c>
      <c r="K5" s="13" t="s">
        <v>3771</v>
      </c>
      <c r="L5" s="14"/>
      <c r="M5" s="14" t="s">
        <v>4144</v>
      </c>
      <c r="N5" s="13" t="s">
        <v>3742</v>
      </c>
      <c r="O5" s="13" t="s">
        <v>188</v>
      </c>
      <c r="P5" s="14" t="s">
        <v>4145</v>
      </c>
    </row>
    <row r="6" customFormat="false" ht="53.7" hidden="false" customHeight="false" outlineLevel="0" collapsed="false">
      <c r="A6" s="13" t="s">
        <v>200</v>
      </c>
      <c r="B6" s="13" t="s">
        <v>3743</v>
      </c>
      <c r="C6" s="14" t="s">
        <v>201</v>
      </c>
      <c r="D6" s="14" t="s">
        <v>3745</v>
      </c>
      <c r="E6" s="23" t="n">
        <v>2.59</v>
      </c>
      <c r="F6" s="13" t="s">
        <v>4135</v>
      </c>
      <c r="G6" s="24" t="n">
        <f aca="false">IF($E6="","",$E6*60/(Settings!$B$30+50/(Settings!$B$28*88)+50/(Settings!$B$29*88))*Settings!$B$7*1*0.75*0.8)</f>
        <v>197.16603489464</v>
      </c>
      <c r="H6" s="24" t="n">
        <f aca="false">IF($E6="","",$E6*60/(Settings!$B$30+50/(Settings!$B$28*88)+50/(Settings!$B$29*88))*Settings!$B$7*1*0.75)</f>
        <v>246.4575436183</v>
      </c>
      <c r="I6" s="24" t="n">
        <f aca="false">IF($E6="","",$E6*60/(Settings!$B$30+50/(Settings!$B$28*88)+50/(Settings!$B$29*88))*Settings!$B$7*1*1*1.2)</f>
        <v>394.33206978928</v>
      </c>
      <c r="J6" s="13" t="s">
        <v>3746</v>
      </c>
      <c r="K6" s="13" t="s">
        <v>4136</v>
      </c>
      <c r="L6" s="14" t="s">
        <v>4137</v>
      </c>
      <c r="M6" s="14" t="s">
        <v>4146</v>
      </c>
      <c r="N6" s="13" t="s">
        <v>4139</v>
      </c>
      <c r="O6" s="13" t="str">
        <f aca="false">IF(H6="","D","C")</f>
        <v>C</v>
      </c>
      <c r="P6" s="14"/>
    </row>
    <row r="7" customFormat="false" ht="53.7" hidden="false" customHeight="false" outlineLevel="0" collapsed="false">
      <c r="A7" s="13" t="s">
        <v>200</v>
      </c>
      <c r="B7" s="13" t="s">
        <v>3751</v>
      </c>
      <c r="C7" s="14" t="s">
        <v>201</v>
      </c>
      <c r="D7" s="14" t="s">
        <v>3753</v>
      </c>
      <c r="E7" s="23" t="n">
        <v>2.59</v>
      </c>
      <c r="F7" s="13" t="s">
        <v>4135</v>
      </c>
      <c r="G7" s="24" t="n">
        <f aca="false">IF($E7="","",$E7*60/(Settings!$B$30+100/(Settings!$B$28*88)+100/(Settings!$B$29*88))*Settings!$B$7*1*0.75*0.8)</f>
        <v>105.28920343948</v>
      </c>
      <c r="H7" s="24" t="n">
        <f aca="false">IF($E7="","",$E7*60/(Settings!$B$30+100/(Settings!$B$28*88)+100/(Settings!$B$29*88))*Settings!$B$7*1*0.75)</f>
        <v>131.61150429935</v>
      </c>
      <c r="I7" s="24" t="n">
        <f aca="false">IF($E7="","",$E7*60/(Settings!$B$30+100/(Settings!$B$28*88)+100/(Settings!$B$29*88))*Settings!$B$7*1*1*1.2)</f>
        <v>210.578406878959</v>
      </c>
      <c r="J7" s="13" t="s">
        <v>3746</v>
      </c>
      <c r="K7" s="13" t="s">
        <v>4136</v>
      </c>
      <c r="L7" s="14" t="s">
        <v>4140</v>
      </c>
      <c r="M7" s="14" t="s">
        <v>4147</v>
      </c>
      <c r="N7" s="13" t="s">
        <v>4139</v>
      </c>
      <c r="O7" s="13" t="str">
        <f aca="false">IF(H7="","D","C")</f>
        <v>C</v>
      </c>
      <c r="P7" s="14"/>
    </row>
    <row r="8" customFormat="false" ht="53.7" hidden="false" customHeight="false" outlineLevel="0" collapsed="false">
      <c r="A8" s="13" t="s">
        <v>200</v>
      </c>
      <c r="B8" s="13" t="s">
        <v>3762</v>
      </c>
      <c r="C8" s="14" t="s">
        <v>201</v>
      </c>
      <c r="D8" s="14" t="s">
        <v>3764</v>
      </c>
      <c r="E8" s="23" t="n">
        <v>2.59</v>
      </c>
      <c r="F8" s="13" t="s">
        <v>4135</v>
      </c>
      <c r="G8" s="24" t="n">
        <f aca="false">IF($E8="","",$E8*60/(Settings!$B$30+50/(Settings!$B$28*88)+50/(Settings!$B$29*88))*Settings!$B$7*1.2*0.75*0.8)</f>
        <v>236.599241873568</v>
      </c>
      <c r="H8" s="24" t="n">
        <f aca="false">IF($E8="","",$E8*60/(Settings!$B$30+50/(Settings!$B$28*88)+50/(Settings!$B$29*88))*Settings!$B$7*1.2*0.75)</f>
        <v>295.74905234196</v>
      </c>
      <c r="I8" s="24" t="n">
        <f aca="false">IF($E8="","",$E8*60/(Settings!$B$30+50/(Settings!$B$28*88)+50/(Settings!$B$29*88))*Settings!$B$7*1.2*1*1.2)</f>
        <v>473.198483747136</v>
      </c>
      <c r="J8" s="13" t="s">
        <v>3746</v>
      </c>
      <c r="K8" s="13" t="s">
        <v>4136</v>
      </c>
      <c r="L8" s="14" t="s">
        <v>4142</v>
      </c>
      <c r="M8" s="14" t="s">
        <v>4148</v>
      </c>
      <c r="N8" s="13" t="s">
        <v>4139</v>
      </c>
      <c r="O8" s="13" t="str">
        <f aca="false">IF(H8="","D","C")</f>
        <v>C</v>
      </c>
      <c r="P8" s="14"/>
    </row>
    <row r="9" customFormat="false" ht="15" hidden="false" customHeight="false" outlineLevel="0" collapsed="false">
      <c r="A9" s="13" t="s">
        <v>200</v>
      </c>
      <c r="B9" s="13" t="s">
        <v>3768</v>
      </c>
      <c r="C9" s="14" t="s">
        <v>201</v>
      </c>
      <c r="D9" s="14" t="s">
        <v>3769</v>
      </c>
      <c r="E9" s="13"/>
      <c r="F9" s="13"/>
      <c r="G9" s="24"/>
      <c r="H9" s="24"/>
      <c r="I9" s="24"/>
      <c r="J9" s="13" t="s">
        <v>3770</v>
      </c>
      <c r="K9" s="13" t="s">
        <v>3771</v>
      </c>
      <c r="L9" s="14"/>
      <c r="M9" s="14" t="s">
        <v>4144</v>
      </c>
      <c r="N9" s="13" t="s">
        <v>3742</v>
      </c>
      <c r="O9" s="13" t="s">
        <v>188</v>
      </c>
      <c r="P9" s="14" t="s">
        <v>4145</v>
      </c>
    </row>
    <row r="10" customFormat="false" ht="53.7" hidden="false" customHeight="false" outlineLevel="0" collapsed="false">
      <c r="A10" s="13" t="s">
        <v>207</v>
      </c>
      <c r="B10" s="13" t="s">
        <v>3743</v>
      </c>
      <c r="C10" s="14" t="s">
        <v>208</v>
      </c>
      <c r="D10" s="14" t="s">
        <v>3745</v>
      </c>
      <c r="E10" s="23" t="n">
        <v>2.86</v>
      </c>
      <c r="F10" s="13" t="s">
        <v>4135</v>
      </c>
      <c r="G10" s="24" t="n">
        <f aca="false">IF($E10="","",$E10*60/(Settings!$B$30+50/(Settings!$B$28*88)+50/(Settings!$B$29*88))*Settings!$B$7*1*0.75*0.8)</f>
        <v>217.72002308829</v>
      </c>
      <c r="H10" s="24" t="n">
        <f aca="false">IF($E10="","",$E10*60/(Settings!$B$30+50/(Settings!$B$28*88)+50/(Settings!$B$29*88))*Settings!$B$7*1*0.75)</f>
        <v>272.150028860362</v>
      </c>
      <c r="I10" s="24" t="n">
        <f aca="false">IF($E10="","",$E10*60/(Settings!$B$30+50/(Settings!$B$28*88)+50/(Settings!$B$29*88))*Settings!$B$7*1*1*1.2)</f>
        <v>435.44004617658</v>
      </c>
      <c r="J10" s="13" t="s">
        <v>3746</v>
      </c>
      <c r="K10" s="13" t="s">
        <v>4136</v>
      </c>
      <c r="L10" s="14" t="s">
        <v>4137</v>
      </c>
      <c r="M10" s="14" t="s">
        <v>4149</v>
      </c>
      <c r="N10" s="13" t="s">
        <v>4139</v>
      </c>
      <c r="O10" s="13" t="str">
        <f aca="false">IF(H10="","D","C")</f>
        <v>C</v>
      </c>
      <c r="P10" s="14"/>
    </row>
    <row r="11" customFormat="false" ht="53.7" hidden="false" customHeight="false" outlineLevel="0" collapsed="false">
      <c r="A11" s="13" t="s">
        <v>207</v>
      </c>
      <c r="B11" s="13" t="s">
        <v>3751</v>
      </c>
      <c r="C11" s="14" t="s">
        <v>208</v>
      </c>
      <c r="D11" s="14" t="s">
        <v>3753</v>
      </c>
      <c r="E11" s="23" t="n">
        <v>2.86</v>
      </c>
      <c r="F11" s="13" t="s">
        <v>4135</v>
      </c>
      <c r="G11" s="24" t="n">
        <f aca="false">IF($E11="","",$E11*60/(Settings!$B$30+100/(Settings!$B$28*88)+100/(Settings!$B$29*88))*Settings!$B$7*1*0.75*0.8)</f>
        <v>116.26529800653</v>
      </c>
      <c r="H11" s="24" t="n">
        <f aca="false">IF($E11="","",$E11*60/(Settings!$B$30+100/(Settings!$B$28*88)+100/(Settings!$B$29*88))*Settings!$B$7*1*0.75)</f>
        <v>145.331622508162</v>
      </c>
      <c r="I11" s="24" t="n">
        <f aca="false">IF($E11="","",$E11*60/(Settings!$B$30+100/(Settings!$B$28*88)+100/(Settings!$B$29*88))*Settings!$B$7*1*1*1.2)</f>
        <v>232.530596013059</v>
      </c>
      <c r="J11" s="13" t="s">
        <v>3746</v>
      </c>
      <c r="K11" s="13" t="s">
        <v>4136</v>
      </c>
      <c r="L11" s="14" t="s">
        <v>4140</v>
      </c>
      <c r="M11" s="14" t="s">
        <v>4150</v>
      </c>
      <c r="N11" s="13" t="s">
        <v>4139</v>
      </c>
      <c r="O11" s="13" t="str">
        <f aca="false">IF(H11="","D","C")</f>
        <v>C</v>
      </c>
      <c r="P11" s="14"/>
    </row>
    <row r="12" customFormat="false" ht="53.7" hidden="false" customHeight="false" outlineLevel="0" collapsed="false">
      <c r="A12" s="13" t="s">
        <v>207</v>
      </c>
      <c r="B12" s="13" t="s">
        <v>3756</v>
      </c>
      <c r="C12" s="14" t="s">
        <v>208</v>
      </c>
      <c r="D12" s="14" t="s">
        <v>3757</v>
      </c>
      <c r="E12" s="23" t="n">
        <v>2.86</v>
      </c>
      <c r="F12" s="13" t="s">
        <v>4135</v>
      </c>
      <c r="G12" s="24" t="n">
        <f aca="false">IF($E12="","",$E12*60/(Settings!$B$30+200/(Settings!$B$28*88)+200/(Settings!$B$29*88))*Settings!$B$7*1*0.75*0.8)</f>
        <v>60.1795284830046</v>
      </c>
      <c r="H12" s="24" t="n">
        <f aca="false">IF($E12="","",$E12*60/(Settings!$B$30+200/(Settings!$B$28*88)+200/(Settings!$B$29*88))*Settings!$B$7*1*0.75)</f>
        <v>75.2244106037557</v>
      </c>
      <c r="I12" s="24" t="n">
        <f aca="false">IF($E12="","",$E12*60/(Settings!$B$30+200/(Settings!$B$28*88)+200/(Settings!$B$29*88))*Settings!$B$7*1*1*1.2)</f>
        <v>120.359056966009</v>
      </c>
      <c r="J12" s="13" t="s">
        <v>3746</v>
      </c>
      <c r="K12" s="13" t="s">
        <v>4136</v>
      </c>
      <c r="L12" s="14" t="s">
        <v>4151</v>
      </c>
      <c r="M12" s="14" t="s">
        <v>4152</v>
      </c>
      <c r="N12" s="13" t="s">
        <v>4139</v>
      </c>
      <c r="O12" s="13" t="str">
        <f aca="false">IF(H12="","D","C")</f>
        <v>C</v>
      </c>
      <c r="P12" s="14"/>
    </row>
    <row r="13" customFormat="false" ht="53.7" hidden="false" customHeight="false" outlineLevel="0" collapsed="false">
      <c r="A13" s="13" t="s">
        <v>207</v>
      </c>
      <c r="B13" s="13" t="s">
        <v>3762</v>
      </c>
      <c r="C13" s="14" t="s">
        <v>208</v>
      </c>
      <c r="D13" s="14" t="s">
        <v>3764</v>
      </c>
      <c r="E13" s="23" t="n">
        <v>2.86</v>
      </c>
      <c r="F13" s="13" t="s">
        <v>4135</v>
      </c>
      <c r="G13" s="24" t="n">
        <f aca="false">IF($E13="","",$E13*60/(Settings!$B$30+50/(Settings!$B$28*88)+50/(Settings!$B$29*88))*Settings!$B$7*1.2*0.75*0.8)</f>
        <v>261.264027705948</v>
      </c>
      <c r="H13" s="24" t="n">
        <f aca="false">IF($E13="","",$E13*60/(Settings!$B$30+50/(Settings!$B$28*88)+50/(Settings!$B$29*88))*Settings!$B$7*1.2*0.75)</f>
        <v>326.580034632435</v>
      </c>
      <c r="I13" s="24" t="n">
        <f aca="false">IF($E13="","",$E13*60/(Settings!$B$30+50/(Settings!$B$28*88)+50/(Settings!$B$29*88))*Settings!$B$7*1.2*1*1.2)</f>
        <v>522.528055411896</v>
      </c>
      <c r="J13" s="13" t="s">
        <v>3746</v>
      </c>
      <c r="K13" s="13" t="s">
        <v>4136</v>
      </c>
      <c r="L13" s="14" t="s">
        <v>4142</v>
      </c>
      <c r="M13" s="14" t="s">
        <v>4153</v>
      </c>
      <c r="N13" s="13" t="s">
        <v>4139</v>
      </c>
      <c r="O13" s="13" t="str">
        <f aca="false">IF(H13="","D","C")</f>
        <v>C</v>
      </c>
      <c r="P13" s="14"/>
    </row>
    <row r="14" customFormat="false" ht="15" hidden="false" customHeight="false" outlineLevel="0" collapsed="false">
      <c r="A14" s="13" t="s">
        <v>207</v>
      </c>
      <c r="B14" s="13" t="s">
        <v>3768</v>
      </c>
      <c r="C14" s="14" t="s">
        <v>208</v>
      </c>
      <c r="D14" s="14" t="s">
        <v>3769</v>
      </c>
      <c r="E14" s="13"/>
      <c r="F14" s="13"/>
      <c r="G14" s="24"/>
      <c r="H14" s="24"/>
      <c r="I14" s="24"/>
      <c r="J14" s="13" t="s">
        <v>3770</v>
      </c>
      <c r="K14" s="13" t="s">
        <v>3771</v>
      </c>
      <c r="L14" s="14"/>
      <c r="M14" s="14" t="s">
        <v>4144</v>
      </c>
      <c r="N14" s="13" t="s">
        <v>3742</v>
      </c>
      <c r="O14" s="13" t="s">
        <v>188</v>
      </c>
      <c r="P14" s="14" t="s">
        <v>4145</v>
      </c>
    </row>
    <row r="15" customFormat="false" ht="22.35" hidden="false" customHeight="false" outlineLevel="0" collapsed="false">
      <c r="A15" s="13" t="s">
        <v>219</v>
      </c>
      <c r="B15" s="13" t="s">
        <v>3730</v>
      </c>
      <c r="C15" s="14" t="s">
        <v>221</v>
      </c>
      <c r="D15" s="14" t="s">
        <v>3732</v>
      </c>
      <c r="E15" s="13"/>
      <c r="F15" s="13"/>
      <c r="G15" s="24" t="n">
        <f aca="false">1/10</f>
        <v>0.1</v>
      </c>
      <c r="H15" s="24" t="n">
        <f aca="false">1/5</f>
        <v>0.2</v>
      </c>
      <c r="I15" s="24" t="n">
        <f aca="false">1/2.5</f>
        <v>0.4</v>
      </c>
      <c r="J15" s="13" t="s">
        <v>3733</v>
      </c>
      <c r="K15" s="13" t="s">
        <v>4154</v>
      </c>
      <c r="L15" s="14" t="s">
        <v>4155</v>
      </c>
      <c r="M15" s="14" t="s">
        <v>4156</v>
      </c>
      <c r="N15" s="13" t="s">
        <v>3742</v>
      </c>
      <c r="O15" s="13" t="s">
        <v>192</v>
      </c>
      <c r="P15" s="14"/>
    </row>
    <row r="16" customFormat="false" ht="43.25" hidden="false" customHeight="false" outlineLevel="0" collapsed="false">
      <c r="A16" s="13" t="s">
        <v>219</v>
      </c>
      <c r="B16" s="13" t="s">
        <v>3743</v>
      </c>
      <c r="C16" s="14" t="s">
        <v>221</v>
      </c>
      <c r="D16" s="14" t="s">
        <v>3745</v>
      </c>
      <c r="E16" s="25"/>
      <c r="F16" s="13" t="s">
        <v>4135</v>
      </c>
      <c r="G16" s="24" t="str">
        <f aca="false">IF($E16="","",$E16*60/(Settings!$B$30+50/(Settings!$B$28*88)+50/(Settings!$B$29*88))*Settings!$B$7*1*0.75*0.8)</f>
        <v/>
      </c>
      <c r="H16" s="24" t="str">
        <f aca="false">IF($E16="","",$E16*60/(Settings!$B$30+50/(Settings!$B$28*88)+50/(Settings!$B$29*88))*Settings!$B$7*1*0.75)</f>
        <v/>
      </c>
      <c r="I16" s="24" t="str">
        <f aca="false">IF($E16="","",$E16*60/(Settings!$B$30+50/(Settings!$B$28*88)+50/(Settings!$B$29*88))*Settings!$B$7*1*1*1.2)</f>
        <v/>
      </c>
      <c r="J16" s="13" t="s">
        <v>3746</v>
      </c>
      <c r="K16" s="13" t="s">
        <v>4136</v>
      </c>
      <c r="L16" s="14" t="s">
        <v>4137</v>
      </c>
      <c r="M16" s="14" t="s">
        <v>4157</v>
      </c>
      <c r="N16" s="13" t="s">
        <v>3750</v>
      </c>
      <c r="O16" s="13" t="str">
        <f aca="false">IF(H16="","D","C")</f>
        <v>D</v>
      </c>
      <c r="P16" s="14" t="s">
        <v>4158</v>
      </c>
    </row>
    <row r="17" customFormat="false" ht="43.25" hidden="false" customHeight="false" outlineLevel="0" collapsed="false">
      <c r="A17" s="13" t="s">
        <v>219</v>
      </c>
      <c r="B17" s="13" t="s">
        <v>3751</v>
      </c>
      <c r="C17" s="14" t="s">
        <v>221</v>
      </c>
      <c r="D17" s="14" t="s">
        <v>3753</v>
      </c>
      <c r="E17" s="25"/>
      <c r="F17" s="13" t="s">
        <v>4135</v>
      </c>
      <c r="G17" s="24" t="str">
        <f aca="false">IF($E17="","",$E17*60/(Settings!$B$30+100/(Settings!$B$28*88)+100/(Settings!$B$29*88))*Settings!$B$7*1*0.75*0.8)</f>
        <v/>
      </c>
      <c r="H17" s="24" t="str">
        <f aca="false">IF($E17="","",$E17*60/(Settings!$B$30+100/(Settings!$B$28*88)+100/(Settings!$B$29*88))*Settings!$B$7*1*0.75)</f>
        <v/>
      </c>
      <c r="I17" s="24" t="str">
        <f aca="false">IF($E17="","",$E17*60/(Settings!$B$30+100/(Settings!$B$28*88)+100/(Settings!$B$29*88))*Settings!$B$7*1*1*1.2)</f>
        <v/>
      </c>
      <c r="J17" s="13" t="s">
        <v>3746</v>
      </c>
      <c r="K17" s="13" t="s">
        <v>4136</v>
      </c>
      <c r="L17" s="14" t="s">
        <v>4140</v>
      </c>
      <c r="M17" s="14" t="s">
        <v>4159</v>
      </c>
      <c r="N17" s="13" t="s">
        <v>3750</v>
      </c>
      <c r="O17" s="13" t="str">
        <f aca="false">IF(H17="","D","C")</f>
        <v>D</v>
      </c>
      <c r="P17" s="14" t="s">
        <v>4158</v>
      </c>
    </row>
    <row r="18" customFormat="false" ht="43.25" hidden="false" customHeight="false" outlineLevel="0" collapsed="false">
      <c r="A18" s="13" t="s">
        <v>219</v>
      </c>
      <c r="B18" s="13" t="s">
        <v>3756</v>
      </c>
      <c r="C18" s="14" t="s">
        <v>221</v>
      </c>
      <c r="D18" s="14" t="s">
        <v>3757</v>
      </c>
      <c r="E18" s="25"/>
      <c r="F18" s="13" t="s">
        <v>4135</v>
      </c>
      <c r="G18" s="24" t="str">
        <f aca="false">IF($E18="","",$E18*60/(Settings!$B$30+200/(Settings!$B$28*88)+200/(Settings!$B$29*88))*Settings!$B$7*1*0.75*0.8)</f>
        <v/>
      </c>
      <c r="H18" s="24" t="str">
        <f aca="false">IF($E18="","",$E18*60/(Settings!$B$30+200/(Settings!$B$28*88)+200/(Settings!$B$29*88))*Settings!$B$7*1*0.75)</f>
        <v/>
      </c>
      <c r="I18" s="24" t="str">
        <f aca="false">IF($E18="","",$E18*60/(Settings!$B$30+200/(Settings!$B$28*88)+200/(Settings!$B$29*88))*Settings!$B$7*1*1*1.2)</f>
        <v/>
      </c>
      <c r="J18" s="13" t="s">
        <v>3746</v>
      </c>
      <c r="K18" s="13" t="s">
        <v>4136</v>
      </c>
      <c r="L18" s="14" t="s">
        <v>4151</v>
      </c>
      <c r="M18" s="14" t="s">
        <v>4160</v>
      </c>
      <c r="N18" s="13" t="s">
        <v>3750</v>
      </c>
      <c r="O18" s="13" t="str">
        <f aca="false">IF(H18="","D","C")</f>
        <v>D</v>
      </c>
      <c r="P18" s="14" t="s">
        <v>4158</v>
      </c>
    </row>
    <row r="19" customFormat="false" ht="43.25" hidden="false" customHeight="false" outlineLevel="0" collapsed="false">
      <c r="A19" s="13" t="s">
        <v>219</v>
      </c>
      <c r="B19" s="13" t="s">
        <v>3762</v>
      </c>
      <c r="C19" s="14" t="s">
        <v>221</v>
      </c>
      <c r="D19" s="14" t="s">
        <v>3764</v>
      </c>
      <c r="E19" s="25"/>
      <c r="F19" s="13" t="s">
        <v>4135</v>
      </c>
      <c r="G19" s="24" t="str">
        <f aca="false">IF($E19="","",$E19*60/(Settings!$B$30+50/(Settings!$B$28*88)+50/(Settings!$B$29*88))*Settings!$B$7*1.2*0.75*0.8)</f>
        <v/>
      </c>
      <c r="H19" s="24" t="str">
        <f aca="false">IF($E19="","",$E19*60/(Settings!$B$30+50/(Settings!$B$28*88)+50/(Settings!$B$29*88))*Settings!$B$7*1.2*0.75)</f>
        <v/>
      </c>
      <c r="I19" s="24" t="str">
        <f aca="false">IF($E19="","",$E19*60/(Settings!$B$30+50/(Settings!$B$28*88)+50/(Settings!$B$29*88))*Settings!$B$7*1.2*1*1.2)</f>
        <v/>
      </c>
      <c r="J19" s="13" t="s">
        <v>3746</v>
      </c>
      <c r="K19" s="13" t="s">
        <v>4136</v>
      </c>
      <c r="L19" s="14" t="s">
        <v>4142</v>
      </c>
      <c r="M19" s="14" t="s">
        <v>4161</v>
      </c>
      <c r="N19" s="13" t="s">
        <v>3750</v>
      </c>
      <c r="O19" s="13" t="str">
        <f aca="false">IF(H19="","D","C")</f>
        <v>D</v>
      </c>
      <c r="P19" s="14" t="s">
        <v>4158</v>
      </c>
    </row>
    <row r="20" customFormat="false" ht="15" hidden="false" customHeight="false" outlineLevel="0" collapsed="false">
      <c r="A20" s="13" t="s">
        <v>219</v>
      </c>
      <c r="B20" s="13" t="s">
        <v>3768</v>
      </c>
      <c r="C20" s="14" t="s">
        <v>221</v>
      </c>
      <c r="D20" s="14" t="s">
        <v>3769</v>
      </c>
      <c r="E20" s="13"/>
      <c r="F20" s="13"/>
      <c r="G20" s="24"/>
      <c r="H20" s="24"/>
      <c r="I20" s="24"/>
      <c r="J20" s="13" t="s">
        <v>3770</v>
      </c>
      <c r="K20" s="13" t="s">
        <v>3771</v>
      </c>
      <c r="L20" s="14"/>
      <c r="M20" s="14" t="s">
        <v>4144</v>
      </c>
      <c r="N20" s="13" t="s">
        <v>3742</v>
      </c>
      <c r="O20" s="13" t="s">
        <v>188</v>
      </c>
      <c r="P20" s="14" t="s">
        <v>4145</v>
      </c>
    </row>
    <row r="21" customFormat="false" ht="22.35" hidden="false" customHeight="false" outlineLevel="0" collapsed="false">
      <c r="A21" s="13" t="s">
        <v>228</v>
      </c>
      <c r="B21" s="13" t="s">
        <v>3730</v>
      </c>
      <c r="C21" s="14" t="s">
        <v>229</v>
      </c>
      <c r="D21" s="14" t="s">
        <v>3732</v>
      </c>
      <c r="E21" s="13"/>
      <c r="F21" s="13"/>
      <c r="G21" s="24" t="n">
        <f aca="false">1/10</f>
        <v>0.1</v>
      </c>
      <c r="H21" s="24" t="n">
        <f aca="false">1/5</f>
        <v>0.2</v>
      </c>
      <c r="I21" s="24" t="n">
        <f aca="false">1/2.5</f>
        <v>0.4</v>
      </c>
      <c r="J21" s="13" t="s">
        <v>3733</v>
      </c>
      <c r="K21" s="13" t="s">
        <v>4154</v>
      </c>
      <c r="L21" s="14" t="s">
        <v>4155</v>
      </c>
      <c r="M21" s="14" t="s">
        <v>4156</v>
      </c>
      <c r="N21" s="13" t="s">
        <v>3742</v>
      </c>
      <c r="O21" s="13" t="s">
        <v>192</v>
      </c>
      <c r="P21" s="14"/>
    </row>
    <row r="22" customFormat="false" ht="53.7" hidden="false" customHeight="false" outlineLevel="0" collapsed="false">
      <c r="A22" s="13" t="s">
        <v>228</v>
      </c>
      <c r="B22" s="13" t="s">
        <v>3743</v>
      </c>
      <c r="C22" s="14" t="s">
        <v>229</v>
      </c>
      <c r="D22" s="14" t="s">
        <v>3745</v>
      </c>
      <c r="E22" s="23" t="n">
        <v>4.6</v>
      </c>
      <c r="F22" s="13" t="s">
        <v>4135</v>
      </c>
      <c r="G22" s="24" t="n">
        <f aca="false">IF($E22="","",$E22*60/(Settings!$B$30+50/(Settings!$B$28*88)+50/(Settings!$B$29*88))*Settings!$B$7*1*0.75*0.8)</f>
        <v>350.179058114033</v>
      </c>
      <c r="H22" s="24" t="n">
        <f aca="false">IF($E22="","",$E22*60/(Settings!$B$30+50/(Settings!$B$28*88)+50/(Settings!$B$29*88))*Settings!$B$7*1*0.75)</f>
        <v>437.723822642541</v>
      </c>
      <c r="I22" s="24" t="n">
        <f aca="false">IF($E22="","",$E22*60/(Settings!$B$30+50/(Settings!$B$28*88)+50/(Settings!$B$29*88))*Settings!$B$7*1*1*1.2)</f>
        <v>700.358116228065</v>
      </c>
      <c r="J22" s="13" t="s">
        <v>3746</v>
      </c>
      <c r="K22" s="13" t="s">
        <v>4136</v>
      </c>
      <c r="L22" s="14" t="s">
        <v>4137</v>
      </c>
      <c r="M22" s="14" t="s">
        <v>4162</v>
      </c>
      <c r="N22" s="13" t="s">
        <v>4139</v>
      </c>
      <c r="O22" s="13" t="str">
        <f aca="false">IF(H22="","D","C")</f>
        <v>C</v>
      </c>
      <c r="P22" s="14"/>
    </row>
    <row r="23" customFormat="false" ht="53.7" hidden="false" customHeight="false" outlineLevel="0" collapsed="false">
      <c r="A23" s="13" t="s">
        <v>228</v>
      </c>
      <c r="B23" s="13" t="s">
        <v>3751</v>
      </c>
      <c r="C23" s="14" t="s">
        <v>229</v>
      </c>
      <c r="D23" s="14" t="s">
        <v>3753</v>
      </c>
      <c r="E23" s="23" t="n">
        <v>4.6</v>
      </c>
      <c r="F23" s="13" t="s">
        <v>4135</v>
      </c>
      <c r="G23" s="24" t="n">
        <f aca="false">IF($E23="","",$E23*60/(Settings!$B$30+100/(Settings!$B$28*88)+100/(Settings!$B$29*88))*Settings!$B$7*1*0.75*0.8)</f>
        <v>187.000129660852</v>
      </c>
      <c r="H23" s="24" t="n">
        <f aca="false">IF($E23="","",$E23*60/(Settings!$B$30+100/(Settings!$B$28*88)+100/(Settings!$B$29*88))*Settings!$B$7*1*0.75)</f>
        <v>233.750162076065</v>
      </c>
      <c r="I23" s="24" t="n">
        <f aca="false">IF($E23="","",$E23*60/(Settings!$B$30+100/(Settings!$B$28*88)+100/(Settings!$B$29*88))*Settings!$B$7*1*1*1.2)</f>
        <v>374.000259321704</v>
      </c>
      <c r="J23" s="13" t="s">
        <v>3746</v>
      </c>
      <c r="K23" s="13" t="s">
        <v>4136</v>
      </c>
      <c r="L23" s="14" t="s">
        <v>4140</v>
      </c>
      <c r="M23" s="14" t="s">
        <v>4163</v>
      </c>
      <c r="N23" s="13" t="s">
        <v>4139</v>
      </c>
      <c r="O23" s="13" t="str">
        <f aca="false">IF(H23="","D","C")</f>
        <v>C</v>
      </c>
      <c r="P23" s="14"/>
    </row>
    <row r="24" customFormat="false" ht="53.7" hidden="false" customHeight="false" outlineLevel="0" collapsed="false">
      <c r="A24" s="13" t="s">
        <v>228</v>
      </c>
      <c r="B24" s="13" t="s">
        <v>3756</v>
      </c>
      <c r="C24" s="14" t="s">
        <v>229</v>
      </c>
      <c r="D24" s="14" t="s">
        <v>3757</v>
      </c>
      <c r="E24" s="23" t="n">
        <v>4.6</v>
      </c>
      <c r="F24" s="13" t="s">
        <v>4135</v>
      </c>
      <c r="G24" s="24" t="n">
        <f aca="false">IF($E24="","",$E24*60/(Settings!$B$30+200/(Settings!$B$28*88)+200/(Settings!$B$29*88))*Settings!$B$7*1*0.75*0.8)</f>
        <v>96.7922486090283</v>
      </c>
      <c r="H24" s="24" t="n">
        <f aca="false">IF($E24="","",$E24*60/(Settings!$B$30+200/(Settings!$B$28*88)+200/(Settings!$B$29*88))*Settings!$B$7*1*0.75)</f>
        <v>120.990310761285</v>
      </c>
      <c r="I24" s="24" t="n">
        <f aca="false">IF($E24="","",$E24*60/(Settings!$B$30+200/(Settings!$B$28*88)+200/(Settings!$B$29*88))*Settings!$B$7*1*1*1.2)</f>
        <v>193.584497218057</v>
      </c>
      <c r="J24" s="13" t="s">
        <v>3746</v>
      </c>
      <c r="K24" s="13" t="s">
        <v>4136</v>
      </c>
      <c r="L24" s="14" t="s">
        <v>4151</v>
      </c>
      <c r="M24" s="14" t="s">
        <v>4164</v>
      </c>
      <c r="N24" s="13" t="s">
        <v>4139</v>
      </c>
      <c r="O24" s="13" t="str">
        <f aca="false">IF(H24="","D","C")</f>
        <v>C</v>
      </c>
      <c r="P24" s="14"/>
    </row>
    <row r="25" customFormat="false" ht="53.7" hidden="false" customHeight="false" outlineLevel="0" collapsed="false">
      <c r="A25" s="13" t="s">
        <v>228</v>
      </c>
      <c r="B25" s="13" t="s">
        <v>3759</v>
      </c>
      <c r="C25" s="14" t="s">
        <v>229</v>
      </c>
      <c r="D25" s="14" t="s">
        <v>3760</v>
      </c>
      <c r="E25" s="23" t="n">
        <v>4.6</v>
      </c>
      <c r="F25" s="13" t="s">
        <v>4135</v>
      </c>
      <c r="G25" s="24" t="n">
        <f aca="false">IF($E25="","",$E25*60/(Settings!$B$30+300/(Settings!$B$28*88)+300/(Settings!$B$29*88))*Settings!$B$7*1*0.75*0.8)</f>
        <v>65.2945165383926</v>
      </c>
      <c r="H25" s="24" t="n">
        <f aca="false">IF($E25="","",$E25*60/(Settings!$B$30+300/(Settings!$B$28*88)+300/(Settings!$B$29*88))*Settings!$B$7*1*0.75)</f>
        <v>81.6181456729908</v>
      </c>
      <c r="I25" s="24" t="n">
        <f aca="false">IF($E25="","",$E25*60/(Settings!$B$30+300/(Settings!$B$28*88)+300/(Settings!$B$29*88))*Settings!$B$7*1*1*1.2)</f>
        <v>130.589033076785</v>
      </c>
      <c r="J25" s="13" t="s">
        <v>3746</v>
      </c>
      <c r="K25" s="13" t="s">
        <v>4136</v>
      </c>
      <c r="L25" s="14" t="s">
        <v>4165</v>
      </c>
      <c r="M25" s="14" t="s">
        <v>4166</v>
      </c>
      <c r="N25" s="13" t="s">
        <v>4139</v>
      </c>
      <c r="O25" s="13" t="str">
        <f aca="false">IF(H25="","D","C")</f>
        <v>C</v>
      </c>
      <c r="P25" s="14"/>
    </row>
    <row r="26" customFormat="false" ht="53.7" hidden="false" customHeight="false" outlineLevel="0" collapsed="false">
      <c r="A26" s="13" t="s">
        <v>228</v>
      </c>
      <c r="B26" s="13" t="s">
        <v>3762</v>
      </c>
      <c r="C26" s="14" t="s">
        <v>229</v>
      </c>
      <c r="D26" s="14" t="s">
        <v>3764</v>
      </c>
      <c r="E26" s="23" t="n">
        <v>4.6</v>
      </c>
      <c r="F26" s="13" t="s">
        <v>4135</v>
      </c>
      <c r="G26" s="24" t="n">
        <f aca="false">IF($E26="","",$E26*60/(Settings!$B$30+50/(Settings!$B$28*88)+50/(Settings!$B$29*88))*Settings!$B$7*1.2*0.75*0.8)</f>
        <v>420.214869736839</v>
      </c>
      <c r="H26" s="24" t="n">
        <f aca="false">IF($E26="","",$E26*60/(Settings!$B$30+50/(Settings!$B$28*88)+50/(Settings!$B$29*88))*Settings!$B$7*1.2*0.75)</f>
        <v>525.268587171049</v>
      </c>
      <c r="I26" s="24" t="n">
        <f aca="false">IF($E26="","",$E26*60/(Settings!$B$30+50/(Settings!$B$28*88)+50/(Settings!$B$29*88))*Settings!$B$7*1.2*1*1.2)</f>
        <v>840.429739473678</v>
      </c>
      <c r="J26" s="13" t="s">
        <v>3746</v>
      </c>
      <c r="K26" s="13" t="s">
        <v>4136</v>
      </c>
      <c r="L26" s="14" t="s">
        <v>4142</v>
      </c>
      <c r="M26" s="14" t="s">
        <v>4167</v>
      </c>
      <c r="N26" s="13" t="s">
        <v>4139</v>
      </c>
      <c r="O26" s="13" t="str">
        <f aca="false">IF(H26="","D","C")</f>
        <v>C</v>
      </c>
      <c r="P26" s="14"/>
    </row>
    <row r="27" customFormat="false" ht="15" hidden="false" customHeight="false" outlineLevel="0" collapsed="false">
      <c r="A27" s="13" t="s">
        <v>228</v>
      </c>
      <c r="B27" s="13" t="s">
        <v>3768</v>
      </c>
      <c r="C27" s="14" t="s">
        <v>229</v>
      </c>
      <c r="D27" s="14" t="s">
        <v>3769</v>
      </c>
      <c r="E27" s="13"/>
      <c r="F27" s="13"/>
      <c r="G27" s="24"/>
      <c r="H27" s="24"/>
      <c r="I27" s="24"/>
      <c r="J27" s="13" t="s">
        <v>3770</v>
      </c>
      <c r="K27" s="13" t="s">
        <v>3771</v>
      </c>
      <c r="L27" s="14"/>
      <c r="M27" s="14" t="s">
        <v>4144</v>
      </c>
      <c r="N27" s="13" t="s">
        <v>3742</v>
      </c>
      <c r="O27" s="13" t="s">
        <v>188</v>
      </c>
      <c r="P27" s="14" t="s">
        <v>4145</v>
      </c>
    </row>
    <row r="28" customFormat="false" ht="22.35" hidden="false" customHeight="false" outlineLevel="0" collapsed="false">
      <c r="A28" s="13" t="s">
        <v>235</v>
      </c>
      <c r="B28" s="13" t="s">
        <v>3730</v>
      </c>
      <c r="C28" s="14" t="s">
        <v>236</v>
      </c>
      <c r="D28" s="14" t="s">
        <v>3732</v>
      </c>
      <c r="E28" s="13"/>
      <c r="F28" s="13"/>
      <c r="G28" s="24" t="n">
        <f aca="false">1/10</f>
        <v>0.1</v>
      </c>
      <c r="H28" s="24" t="n">
        <f aca="false">1/5</f>
        <v>0.2</v>
      </c>
      <c r="I28" s="24" t="n">
        <f aca="false">1/2.5</f>
        <v>0.4</v>
      </c>
      <c r="J28" s="13" t="s">
        <v>3733</v>
      </c>
      <c r="K28" s="13" t="s">
        <v>4154</v>
      </c>
      <c r="L28" s="14" t="s">
        <v>4155</v>
      </c>
      <c r="M28" s="14" t="s">
        <v>4156</v>
      </c>
      <c r="N28" s="13" t="s">
        <v>3742</v>
      </c>
      <c r="O28" s="13" t="s">
        <v>192</v>
      </c>
      <c r="P28" s="14"/>
    </row>
    <row r="29" customFormat="false" ht="53.7" hidden="false" customHeight="false" outlineLevel="0" collapsed="false">
      <c r="A29" s="13" t="s">
        <v>235</v>
      </c>
      <c r="B29" s="13" t="s">
        <v>3743</v>
      </c>
      <c r="C29" s="14" t="s">
        <v>236</v>
      </c>
      <c r="D29" s="14" t="s">
        <v>3745</v>
      </c>
      <c r="E29" s="23" t="n">
        <v>7.5</v>
      </c>
      <c r="F29" s="13" t="s">
        <v>4135</v>
      </c>
      <c r="G29" s="24" t="n">
        <f aca="false">IF($E29="","",$E29*60/(Settings!$B$30+50/(Settings!$B$28*88)+50/(Settings!$B$29*88))*Settings!$B$7*1*0.75*0.8)</f>
        <v>570.944116490271</v>
      </c>
      <c r="H29" s="24" t="n">
        <f aca="false">IF($E29="","",$E29*60/(Settings!$B$30+50/(Settings!$B$28*88)+50/(Settings!$B$29*88))*Settings!$B$7*1*0.75)</f>
        <v>713.680145612838</v>
      </c>
      <c r="I29" s="24" t="n">
        <f aca="false">IF($E29="","",$E29*60/(Settings!$B$30+50/(Settings!$B$28*88)+50/(Settings!$B$29*88))*Settings!$B$7*1*1*1.2)</f>
        <v>1141.88823298054</v>
      </c>
      <c r="J29" s="13" t="s">
        <v>3746</v>
      </c>
      <c r="K29" s="13" t="s">
        <v>4136</v>
      </c>
      <c r="L29" s="14" t="s">
        <v>4137</v>
      </c>
      <c r="M29" s="14" t="s">
        <v>4168</v>
      </c>
      <c r="N29" s="13" t="s">
        <v>4139</v>
      </c>
      <c r="O29" s="13" t="str">
        <f aca="false">IF(H29="","D","C")</f>
        <v>C</v>
      </c>
      <c r="P29" s="14"/>
    </row>
    <row r="30" customFormat="false" ht="53.7" hidden="false" customHeight="false" outlineLevel="0" collapsed="false">
      <c r="A30" s="13" t="s">
        <v>235</v>
      </c>
      <c r="B30" s="13" t="s">
        <v>3751</v>
      </c>
      <c r="C30" s="14" t="s">
        <v>236</v>
      </c>
      <c r="D30" s="14" t="s">
        <v>3753</v>
      </c>
      <c r="E30" s="23" t="n">
        <v>7.5</v>
      </c>
      <c r="F30" s="13" t="s">
        <v>4135</v>
      </c>
      <c r="G30" s="24" t="n">
        <f aca="false">IF($E30="","",$E30*60/(Settings!$B$30+100/(Settings!$B$28*88)+100/(Settings!$B$29*88))*Settings!$B$7*1*0.75*0.8)</f>
        <v>304.891515751389</v>
      </c>
      <c r="H30" s="24" t="n">
        <f aca="false">IF($E30="","",$E30*60/(Settings!$B$30+100/(Settings!$B$28*88)+100/(Settings!$B$29*88))*Settings!$B$7*1*0.75)</f>
        <v>381.114394689236</v>
      </c>
      <c r="I30" s="24" t="n">
        <f aca="false">IF($E30="","",$E30*60/(Settings!$B$30+100/(Settings!$B$28*88)+100/(Settings!$B$29*88))*Settings!$B$7*1*1*1.2)</f>
        <v>609.783031502778</v>
      </c>
      <c r="J30" s="13" t="s">
        <v>3746</v>
      </c>
      <c r="K30" s="13" t="s">
        <v>4136</v>
      </c>
      <c r="L30" s="14" t="s">
        <v>4140</v>
      </c>
      <c r="M30" s="14" t="s">
        <v>4169</v>
      </c>
      <c r="N30" s="13" t="s">
        <v>4139</v>
      </c>
      <c r="O30" s="13" t="str">
        <f aca="false">IF(H30="","D","C")</f>
        <v>C</v>
      </c>
      <c r="P30" s="14"/>
    </row>
    <row r="31" customFormat="false" ht="53.7" hidden="false" customHeight="false" outlineLevel="0" collapsed="false">
      <c r="A31" s="13" t="s">
        <v>235</v>
      </c>
      <c r="B31" s="13" t="s">
        <v>3756</v>
      </c>
      <c r="C31" s="14" t="s">
        <v>236</v>
      </c>
      <c r="D31" s="14" t="s">
        <v>3757</v>
      </c>
      <c r="E31" s="23" t="n">
        <v>7.5</v>
      </c>
      <c r="F31" s="13" t="s">
        <v>4135</v>
      </c>
      <c r="G31" s="24" t="n">
        <f aca="false">IF($E31="","",$E31*60/(Settings!$B$30+200/(Settings!$B$28*88)+200/(Settings!$B$29*88))*Settings!$B$7*1*0.75*0.8)</f>
        <v>157.813448819068</v>
      </c>
      <c r="H31" s="24" t="n">
        <f aca="false">IF($E31="","",$E31*60/(Settings!$B$30+200/(Settings!$B$28*88)+200/(Settings!$B$29*88))*Settings!$B$7*1*0.75)</f>
        <v>197.266811023835</v>
      </c>
      <c r="I31" s="24" t="n">
        <f aca="false">IF($E31="","",$E31*60/(Settings!$B$30+200/(Settings!$B$28*88)+200/(Settings!$B$29*88))*Settings!$B$7*1*1*1.2)</f>
        <v>315.626897638136</v>
      </c>
      <c r="J31" s="13" t="s">
        <v>3746</v>
      </c>
      <c r="K31" s="13" t="s">
        <v>4136</v>
      </c>
      <c r="L31" s="14" t="s">
        <v>4151</v>
      </c>
      <c r="M31" s="14" t="s">
        <v>4170</v>
      </c>
      <c r="N31" s="13" t="s">
        <v>4139</v>
      </c>
      <c r="O31" s="13" t="str">
        <f aca="false">IF(H31="","D","C")</f>
        <v>C</v>
      </c>
      <c r="P31" s="14"/>
    </row>
    <row r="32" customFormat="false" ht="53.7" hidden="false" customHeight="false" outlineLevel="0" collapsed="false">
      <c r="A32" s="13" t="s">
        <v>235</v>
      </c>
      <c r="B32" s="13" t="s">
        <v>3759</v>
      </c>
      <c r="C32" s="14" t="s">
        <v>236</v>
      </c>
      <c r="D32" s="14" t="s">
        <v>3760</v>
      </c>
      <c r="E32" s="23" t="n">
        <v>7.5</v>
      </c>
      <c r="F32" s="13" t="s">
        <v>4135</v>
      </c>
      <c r="G32" s="24" t="n">
        <f aca="false">IF($E32="","",$E32*60/(Settings!$B$30+300/(Settings!$B$28*88)+300/(Settings!$B$29*88))*Settings!$B$7*1*0.75*0.8)</f>
        <v>106.458450877814</v>
      </c>
      <c r="H32" s="24" t="n">
        <f aca="false">IF($E32="","",$E32*60/(Settings!$B$30+300/(Settings!$B$28*88)+300/(Settings!$B$29*88))*Settings!$B$7*1*0.75)</f>
        <v>133.073063597268</v>
      </c>
      <c r="I32" s="24" t="n">
        <f aca="false">IF($E32="","",$E32*60/(Settings!$B$30+300/(Settings!$B$28*88)+300/(Settings!$B$29*88))*Settings!$B$7*1*1*1.2)</f>
        <v>212.916901755628</v>
      </c>
      <c r="J32" s="13" t="s">
        <v>3746</v>
      </c>
      <c r="K32" s="13" t="s">
        <v>4136</v>
      </c>
      <c r="L32" s="14" t="s">
        <v>4165</v>
      </c>
      <c r="M32" s="14" t="s">
        <v>4171</v>
      </c>
      <c r="N32" s="13" t="s">
        <v>4139</v>
      </c>
      <c r="O32" s="13" t="str">
        <f aca="false">IF(H32="","D","C")</f>
        <v>C</v>
      </c>
      <c r="P32" s="14"/>
    </row>
    <row r="33" customFormat="false" ht="53.7" hidden="false" customHeight="false" outlineLevel="0" collapsed="false">
      <c r="A33" s="13" t="s">
        <v>235</v>
      </c>
      <c r="B33" s="13" t="s">
        <v>3762</v>
      </c>
      <c r="C33" s="14" t="s">
        <v>236</v>
      </c>
      <c r="D33" s="14" t="s">
        <v>3764</v>
      </c>
      <c r="E33" s="23" t="n">
        <v>7.5</v>
      </c>
      <c r="F33" s="13" t="s">
        <v>4135</v>
      </c>
      <c r="G33" s="24" t="n">
        <f aca="false">IF($E33="","",$E33*60/(Settings!$B$30+50/(Settings!$B$28*88)+50/(Settings!$B$29*88))*Settings!$B$7*1.2*0.75*0.8)</f>
        <v>685.132939788325</v>
      </c>
      <c r="H33" s="24" t="n">
        <f aca="false">IF($E33="","",$E33*60/(Settings!$B$30+50/(Settings!$B$28*88)+50/(Settings!$B$29*88))*Settings!$B$7*1.2*0.75)</f>
        <v>856.416174735406</v>
      </c>
      <c r="I33" s="24" t="n">
        <f aca="false">IF($E33="","",$E33*60/(Settings!$B$30+50/(Settings!$B$28*88)+50/(Settings!$B$29*88))*Settings!$B$7*1.2*1*1.2)</f>
        <v>1370.26587957665</v>
      </c>
      <c r="J33" s="13" t="s">
        <v>3746</v>
      </c>
      <c r="K33" s="13" t="s">
        <v>4136</v>
      </c>
      <c r="L33" s="14" t="s">
        <v>4142</v>
      </c>
      <c r="M33" s="14" t="s">
        <v>4172</v>
      </c>
      <c r="N33" s="13" t="s">
        <v>4139</v>
      </c>
      <c r="O33" s="13" t="str">
        <f aca="false">IF(H33="","D","C")</f>
        <v>C</v>
      </c>
      <c r="P33" s="14"/>
    </row>
    <row r="34" customFormat="false" ht="15" hidden="false" customHeight="false" outlineLevel="0" collapsed="false">
      <c r="A34" s="13" t="s">
        <v>235</v>
      </c>
      <c r="B34" s="13" t="s">
        <v>3768</v>
      </c>
      <c r="C34" s="14" t="s">
        <v>236</v>
      </c>
      <c r="D34" s="14" t="s">
        <v>3769</v>
      </c>
      <c r="E34" s="13"/>
      <c r="F34" s="13"/>
      <c r="G34" s="24"/>
      <c r="H34" s="24"/>
      <c r="I34" s="24"/>
      <c r="J34" s="13" t="s">
        <v>3770</v>
      </c>
      <c r="K34" s="13" t="s">
        <v>3771</v>
      </c>
      <c r="L34" s="14"/>
      <c r="M34" s="14" t="s">
        <v>4144</v>
      </c>
      <c r="N34" s="13" t="s">
        <v>3742</v>
      </c>
      <c r="O34" s="13" t="s">
        <v>188</v>
      </c>
      <c r="P34" s="14" t="s">
        <v>4145</v>
      </c>
    </row>
    <row r="35" customFormat="false" ht="43.25" hidden="false" customHeight="false" outlineLevel="0" collapsed="false">
      <c r="A35" s="13" t="s">
        <v>243</v>
      </c>
      <c r="B35" s="13" t="s">
        <v>3743</v>
      </c>
      <c r="C35" s="14" t="s">
        <v>245</v>
      </c>
      <c r="D35" s="14" t="s">
        <v>3745</v>
      </c>
      <c r="E35" s="25"/>
      <c r="F35" s="13" t="s">
        <v>4135</v>
      </c>
      <c r="G35" s="24" t="str">
        <f aca="false">IF($E35="","",$E35*60/(Settings!$B$30+50/(Settings!$B$28*88)+50/(Settings!$B$29*88))*Settings!$B$7*1*0.75*0.8)</f>
        <v/>
      </c>
      <c r="H35" s="24" t="str">
        <f aca="false">IF($E35="","",$E35*60/(Settings!$B$30+50/(Settings!$B$28*88)+50/(Settings!$B$29*88))*Settings!$B$7*1*0.75)</f>
        <v/>
      </c>
      <c r="I35" s="24" t="str">
        <f aca="false">IF($E35="","",$E35*60/(Settings!$B$30+50/(Settings!$B$28*88)+50/(Settings!$B$29*88))*Settings!$B$7*1*1*1.2)</f>
        <v/>
      </c>
      <c r="J35" s="13" t="s">
        <v>3746</v>
      </c>
      <c r="K35" s="13" t="s">
        <v>4136</v>
      </c>
      <c r="L35" s="14" t="s">
        <v>4137</v>
      </c>
      <c r="M35" s="14" t="s">
        <v>4157</v>
      </c>
      <c r="N35" s="13" t="s">
        <v>3750</v>
      </c>
      <c r="O35" s="13" t="str">
        <f aca="false">IF(H35="","D","C")</f>
        <v>D</v>
      </c>
      <c r="P35" s="14" t="s">
        <v>4158</v>
      </c>
    </row>
    <row r="36" customFormat="false" ht="43.25" hidden="false" customHeight="false" outlineLevel="0" collapsed="false">
      <c r="A36" s="13" t="s">
        <v>243</v>
      </c>
      <c r="B36" s="13" t="s">
        <v>3751</v>
      </c>
      <c r="C36" s="14" t="s">
        <v>245</v>
      </c>
      <c r="D36" s="14" t="s">
        <v>3753</v>
      </c>
      <c r="E36" s="25"/>
      <c r="F36" s="13" t="s">
        <v>4135</v>
      </c>
      <c r="G36" s="24" t="str">
        <f aca="false">IF($E36="","",$E36*60/(Settings!$B$30+100/(Settings!$B$28*88)+100/(Settings!$B$29*88))*Settings!$B$7*1*0.75*0.8)</f>
        <v/>
      </c>
      <c r="H36" s="24" t="str">
        <f aca="false">IF($E36="","",$E36*60/(Settings!$B$30+100/(Settings!$B$28*88)+100/(Settings!$B$29*88))*Settings!$B$7*1*0.75)</f>
        <v/>
      </c>
      <c r="I36" s="24" t="str">
        <f aca="false">IF($E36="","",$E36*60/(Settings!$B$30+100/(Settings!$B$28*88)+100/(Settings!$B$29*88))*Settings!$B$7*1*1*1.2)</f>
        <v/>
      </c>
      <c r="J36" s="13" t="s">
        <v>3746</v>
      </c>
      <c r="K36" s="13" t="s">
        <v>4136</v>
      </c>
      <c r="L36" s="14" t="s">
        <v>4140</v>
      </c>
      <c r="M36" s="14" t="s">
        <v>4159</v>
      </c>
      <c r="N36" s="13" t="s">
        <v>3750</v>
      </c>
      <c r="O36" s="13" t="str">
        <f aca="false">IF(H36="","D","C")</f>
        <v>D</v>
      </c>
      <c r="P36" s="14" t="s">
        <v>4158</v>
      </c>
    </row>
    <row r="37" customFormat="false" ht="43.25" hidden="false" customHeight="false" outlineLevel="0" collapsed="false">
      <c r="A37" s="13" t="s">
        <v>243</v>
      </c>
      <c r="B37" s="13" t="s">
        <v>3756</v>
      </c>
      <c r="C37" s="14" t="s">
        <v>245</v>
      </c>
      <c r="D37" s="14" t="s">
        <v>3757</v>
      </c>
      <c r="E37" s="25"/>
      <c r="F37" s="13" t="s">
        <v>4135</v>
      </c>
      <c r="G37" s="24" t="str">
        <f aca="false">IF($E37="","",$E37*60/(Settings!$B$30+200/(Settings!$B$28*88)+200/(Settings!$B$29*88))*Settings!$B$7*1*0.75*0.8)</f>
        <v/>
      </c>
      <c r="H37" s="24" t="str">
        <f aca="false">IF($E37="","",$E37*60/(Settings!$B$30+200/(Settings!$B$28*88)+200/(Settings!$B$29*88))*Settings!$B$7*1*0.75)</f>
        <v/>
      </c>
      <c r="I37" s="24" t="str">
        <f aca="false">IF($E37="","",$E37*60/(Settings!$B$30+200/(Settings!$B$28*88)+200/(Settings!$B$29*88))*Settings!$B$7*1*1*1.2)</f>
        <v/>
      </c>
      <c r="J37" s="13" t="s">
        <v>3746</v>
      </c>
      <c r="K37" s="13" t="s">
        <v>4136</v>
      </c>
      <c r="L37" s="14" t="s">
        <v>4151</v>
      </c>
      <c r="M37" s="14" t="s">
        <v>4160</v>
      </c>
      <c r="N37" s="13" t="s">
        <v>3750</v>
      </c>
      <c r="O37" s="13" t="str">
        <f aca="false">IF(H37="","D","C")</f>
        <v>D</v>
      </c>
      <c r="P37" s="14" t="s">
        <v>4158</v>
      </c>
    </row>
    <row r="38" customFormat="false" ht="43.25" hidden="false" customHeight="false" outlineLevel="0" collapsed="false">
      <c r="A38" s="13" t="s">
        <v>243</v>
      </c>
      <c r="B38" s="13" t="s">
        <v>3759</v>
      </c>
      <c r="C38" s="14" t="s">
        <v>245</v>
      </c>
      <c r="D38" s="14" t="s">
        <v>3760</v>
      </c>
      <c r="E38" s="25"/>
      <c r="F38" s="13" t="s">
        <v>4135</v>
      </c>
      <c r="G38" s="24" t="str">
        <f aca="false">IF($E38="","",$E38*60/(Settings!$B$30+300/(Settings!$B$28*88)+300/(Settings!$B$29*88))*Settings!$B$7*1*0.75*0.8)</f>
        <v/>
      </c>
      <c r="H38" s="24" t="str">
        <f aca="false">IF($E38="","",$E38*60/(Settings!$B$30+300/(Settings!$B$28*88)+300/(Settings!$B$29*88))*Settings!$B$7*1*0.75)</f>
        <v/>
      </c>
      <c r="I38" s="24" t="str">
        <f aca="false">IF($E38="","",$E38*60/(Settings!$B$30+300/(Settings!$B$28*88)+300/(Settings!$B$29*88))*Settings!$B$7*1*1*1.2)</f>
        <v/>
      </c>
      <c r="J38" s="13" t="s">
        <v>3746</v>
      </c>
      <c r="K38" s="13" t="s">
        <v>4136</v>
      </c>
      <c r="L38" s="14" t="s">
        <v>4165</v>
      </c>
      <c r="M38" s="14" t="s">
        <v>4173</v>
      </c>
      <c r="N38" s="13" t="s">
        <v>3750</v>
      </c>
      <c r="O38" s="13" t="str">
        <f aca="false">IF(H38="","D","C")</f>
        <v>D</v>
      </c>
      <c r="P38" s="14" t="s">
        <v>4158</v>
      </c>
    </row>
    <row r="39" customFormat="false" ht="43.25" hidden="false" customHeight="false" outlineLevel="0" collapsed="false">
      <c r="A39" s="13" t="s">
        <v>243</v>
      </c>
      <c r="B39" s="13" t="s">
        <v>3762</v>
      </c>
      <c r="C39" s="14" t="s">
        <v>245</v>
      </c>
      <c r="D39" s="14" t="s">
        <v>3764</v>
      </c>
      <c r="E39" s="25"/>
      <c r="F39" s="13" t="s">
        <v>4135</v>
      </c>
      <c r="G39" s="24" t="str">
        <f aca="false">IF($E39="","",$E39*60/(Settings!$B$30+50/(Settings!$B$28*88)+50/(Settings!$B$29*88))*Settings!$B$7*1.2*0.75*0.8)</f>
        <v/>
      </c>
      <c r="H39" s="24" t="str">
        <f aca="false">IF($E39="","",$E39*60/(Settings!$B$30+50/(Settings!$B$28*88)+50/(Settings!$B$29*88))*Settings!$B$7*1.2*0.75)</f>
        <v/>
      </c>
      <c r="I39" s="24" t="str">
        <f aca="false">IF($E39="","",$E39*60/(Settings!$B$30+50/(Settings!$B$28*88)+50/(Settings!$B$29*88))*Settings!$B$7*1.2*1*1.2)</f>
        <v/>
      </c>
      <c r="J39" s="13" t="s">
        <v>3746</v>
      </c>
      <c r="K39" s="13" t="s">
        <v>4136</v>
      </c>
      <c r="L39" s="14" t="s">
        <v>4142</v>
      </c>
      <c r="M39" s="14" t="s">
        <v>4161</v>
      </c>
      <c r="N39" s="13" t="s">
        <v>3750</v>
      </c>
      <c r="O39" s="13" t="str">
        <f aca="false">IF(H39="","D","C")</f>
        <v>D</v>
      </c>
      <c r="P39" s="14" t="s">
        <v>4158</v>
      </c>
    </row>
    <row r="40" customFormat="false" ht="15" hidden="false" customHeight="false" outlineLevel="0" collapsed="false">
      <c r="A40" s="13" t="s">
        <v>243</v>
      </c>
      <c r="B40" s="13" t="s">
        <v>3768</v>
      </c>
      <c r="C40" s="14" t="s">
        <v>245</v>
      </c>
      <c r="D40" s="14" t="s">
        <v>3769</v>
      </c>
      <c r="E40" s="13"/>
      <c r="F40" s="13"/>
      <c r="G40" s="24"/>
      <c r="H40" s="24"/>
      <c r="I40" s="24"/>
      <c r="J40" s="13" t="s">
        <v>3770</v>
      </c>
      <c r="K40" s="13" t="s">
        <v>3771</v>
      </c>
      <c r="L40" s="14"/>
      <c r="M40" s="14" t="s">
        <v>4144</v>
      </c>
      <c r="N40" s="13" t="s">
        <v>3742</v>
      </c>
      <c r="O40" s="13" t="s">
        <v>188</v>
      </c>
      <c r="P40" s="14" t="s">
        <v>4145</v>
      </c>
    </row>
    <row r="41" customFormat="false" ht="53.7" hidden="false" customHeight="false" outlineLevel="0" collapsed="false">
      <c r="A41" s="13" t="s">
        <v>252</v>
      </c>
      <c r="B41" s="13" t="s">
        <v>3743</v>
      </c>
      <c r="C41" s="14" t="s">
        <v>254</v>
      </c>
      <c r="D41" s="14" t="s">
        <v>3745</v>
      </c>
      <c r="E41" s="23" t="n">
        <v>7.6</v>
      </c>
      <c r="F41" s="13" t="s">
        <v>4135</v>
      </c>
      <c r="G41" s="24" t="n">
        <f aca="false">IF($E41="","",$E41*60/(Settings!$B$30+50/(Settings!$B$28*88)+50/(Settings!$B$29*88))*Settings!$B$7*1*0.75*0.8)</f>
        <v>578.556704710141</v>
      </c>
      <c r="H41" s="24" t="n">
        <f aca="false">IF($E41="","",$E41*60/(Settings!$B$30+50/(Settings!$B$28*88)+50/(Settings!$B$29*88))*Settings!$B$7*1*0.75)</f>
        <v>723.195880887676</v>
      </c>
      <c r="I41" s="24" t="n">
        <f aca="false">IF($E41="","",$E41*60/(Settings!$B$30+50/(Settings!$B$28*88)+50/(Settings!$B$29*88))*Settings!$B$7*1*1*1.2)</f>
        <v>1157.11340942028</v>
      </c>
      <c r="J41" s="13" t="s">
        <v>3746</v>
      </c>
      <c r="K41" s="13" t="s">
        <v>4136</v>
      </c>
      <c r="L41" s="14" t="s">
        <v>4137</v>
      </c>
      <c r="M41" s="14" t="s">
        <v>4174</v>
      </c>
      <c r="N41" s="13" t="s">
        <v>4139</v>
      </c>
      <c r="O41" s="13" t="str">
        <f aca="false">IF(H41="","D","C")</f>
        <v>C</v>
      </c>
      <c r="P41" s="14"/>
    </row>
    <row r="42" customFormat="false" ht="53.7" hidden="false" customHeight="false" outlineLevel="0" collapsed="false">
      <c r="A42" s="13" t="s">
        <v>252</v>
      </c>
      <c r="B42" s="13" t="s">
        <v>3751</v>
      </c>
      <c r="C42" s="14" t="s">
        <v>254</v>
      </c>
      <c r="D42" s="14" t="s">
        <v>3753</v>
      </c>
      <c r="E42" s="23" t="n">
        <v>7.6</v>
      </c>
      <c r="F42" s="13" t="s">
        <v>4135</v>
      </c>
      <c r="G42" s="24" t="n">
        <f aca="false">IF($E42="","",$E42*60/(Settings!$B$30+100/(Settings!$B$28*88)+100/(Settings!$B$29*88))*Settings!$B$7*1*0.75*0.8)</f>
        <v>308.956735961407</v>
      </c>
      <c r="H42" s="24" t="n">
        <f aca="false">IF($E42="","",$E42*60/(Settings!$B$30+100/(Settings!$B$28*88)+100/(Settings!$B$29*88))*Settings!$B$7*1*0.75)</f>
        <v>386.195919951759</v>
      </c>
      <c r="I42" s="24" t="n">
        <f aca="false">IF($E42="","",$E42*60/(Settings!$B$30+100/(Settings!$B$28*88)+100/(Settings!$B$29*88))*Settings!$B$7*1*1*1.2)</f>
        <v>617.913471922815</v>
      </c>
      <c r="J42" s="13" t="s">
        <v>3746</v>
      </c>
      <c r="K42" s="13" t="s">
        <v>4136</v>
      </c>
      <c r="L42" s="14" t="s">
        <v>4140</v>
      </c>
      <c r="M42" s="14" t="s">
        <v>4175</v>
      </c>
      <c r="N42" s="13" t="s">
        <v>4139</v>
      </c>
      <c r="O42" s="13" t="str">
        <f aca="false">IF(H42="","D","C")</f>
        <v>C</v>
      </c>
      <c r="P42" s="14"/>
    </row>
    <row r="43" customFormat="false" ht="53.7" hidden="false" customHeight="false" outlineLevel="0" collapsed="false">
      <c r="A43" s="13" t="s">
        <v>252</v>
      </c>
      <c r="B43" s="13" t="s">
        <v>3762</v>
      </c>
      <c r="C43" s="14" t="s">
        <v>254</v>
      </c>
      <c r="D43" s="14" t="s">
        <v>3764</v>
      </c>
      <c r="E43" s="23" t="n">
        <v>7.6</v>
      </c>
      <c r="F43" s="13" t="s">
        <v>4135</v>
      </c>
      <c r="G43" s="24" t="n">
        <f aca="false">IF($E43="","",$E43*60/(Settings!$B$30+50/(Settings!$B$28*88)+50/(Settings!$B$29*88))*Settings!$B$7*1.2*0.75*0.8)</f>
        <v>694.268045652169</v>
      </c>
      <c r="H43" s="24" t="n">
        <f aca="false">IF($E43="","",$E43*60/(Settings!$B$30+50/(Settings!$B$28*88)+50/(Settings!$B$29*88))*Settings!$B$7*1.2*0.75)</f>
        <v>867.835057065212</v>
      </c>
      <c r="I43" s="24" t="n">
        <f aca="false">IF($E43="","",$E43*60/(Settings!$B$30+50/(Settings!$B$28*88)+50/(Settings!$B$29*88))*Settings!$B$7*1.2*1*1.2)</f>
        <v>1388.53609130434</v>
      </c>
      <c r="J43" s="13" t="s">
        <v>3746</v>
      </c>
      <c r="K43" s="13" t="s">
        <v>4136</v>
      </c>
      <c r="L43" s="14" t="s">
        <v>4142</v>
      </c>
      <c r="M43" s="14" t="s">
        <v>4176</v>
      </c>
      <c r="N43" s="13" t="s">
        <v>4139</v>
      </c>
      <c r="O43" s="13" t="str">
        <f aca="false">IF(H43="","D","C")</f>
        <v>C</v>
      </c>
      <c r="P43" s="14"/>
    </row>
    <row r="44" customFormat="false" ht="15" hidden="false" customHeight="false" outlineLevel="0" collapsed="false">
      <c r="A44" s="13" t="s">
        <v>252</v>
      </c>
      <c r="B44" s="13" t="s">
        <v>3768</v>
      </c>
      <c r="C44" s="14" t="s">
        <v>254</v>
      </c>
      <c r="D44" s="14" t="s">
        <v>3769</v>
      </c>
      <c r="E44" s="13"/>
      <c r="F44" s="13"/>
      <c r="G44" s="24"/>
      <c r="H44" s="24"/>
      <c r="I44" s="24"/>
      <c r="J44" s="13" t="s">
        <v>3770</v>
      </c>
      <c r="K44" s="13" t="s">
        <v>3771</v>
      </c>
      <c r="L44" s="14"/>
      <c r="M44" s="14" t="s">
        <v>4144</v>
      </c>
      <c r="N44" s="13" t="s">
        <v>3742</v>
      </c>
      <c r="O44" s="13" t="s">
        <v>188</v>
      </c>
      <c r="P44" s="14" t="s">
        <v>4145</v>
      </c>
    </row>
    <row r="45" customFormat="false" ht="22.35" hidden="false" customHeight="false" outlineLevel="0" collapsed="false">
      <c r="A45" s="13" t="s">
        <v>263</v>
      </c>
      <c r="B45" s="13" t="s">
        <v>3730</v>
      </c>
      <c r="C45" s="14" t="s">
        <v>264</v>
      </c>
      <c r="D45" s="14" t="s">
        <v>3732</v>
      </c>
      <c r="E45" s="13"/>
      <c r="F45" s="13"/>
      <c r="G45" s="24" t="n">
        <f aca="false">1/10</f>
        <v>0.1</v>
      </c>
      <c r="H45" s="24" t="n">
        <f aca="false">1/5</f>
        <v>0.2</v>
      </c>
      <c r="I45" s="24" t="n">
        <f aca="false">1/2.5</f>
        <v>0.4</v>
      </c>
      <c r="J45" s="13" t="s">
        <v>3733</v>
      </c>
      <c r="K45" s="13" t="s">
        <v>4154</v>
      </c>
      <c r="L45" s="14" t="s">
        <v>4155</v>
      </c>
      <c r="M45" s="14" t="s">
        <v>4156</v>
      </c>
      <c r="N45" s="13" t="s">
        <v>3742</v>
      </c>
      <c r="O45" s="13" t="s">
        <v>192</v>
      </c>
      <c r="P45" s="14"/>
    </row>
    <row r="46" customFormat="false" ht="53.7" hidden="false" customHeight="false" outlineLevel="0" collapsed="false">
      <c r="A46" s="13" t="s">
        <v>263</v>
      </c>
      <c r="B46" s="13" t="s">
        <v>3743</v>
      </c>
      <c r="C46" s="14" t="s">
        <v>264</v>
      </c>
      <c r="D46" s="14" t="s">
        <v>3745</v>
      </c>
      <c r="E46" s="23" t="n">
        <v>9.7</v>
      </c>
      <c r="F46" s="13" t="s">
        <v>4135</v>
      </c>
      <c r="G46" s="24" t="n">
        <f aca="false">IF($E46="","",$E46*60/(Settings!$B$30+50/(Settings!$B$28*88)+50/(Settings!$B$29*88))*Settings!$B$7*1*0.75*0.8)</f>
        <v>738.421057327417</v>
      </c>
      <c r="H46" s="24" t="n">
        <f aca="false">IF($E46="","",$E46*60/(Settings!$B$30+50/(Settings!$B$28*88)+50/(Settings!$B$29*88))*Settings!$B$7*1*0.75)</f>
        <v>923.026321659271</v>
      </c>
      <c r="I46" s="24" t="n">
        <f aca="false">IF($E46="","",$E46*60/(Settings!$B$30+50/(Settings!$B$28*88)+50/(Settings!$B$29*88))*Settings!$B$7*1*1*1.2)</f>
        <v>1476.84211465483</v>
      </c>
      <c r="J46" s="13" t="s">
        <v>3746</v>
      </c>
      <c r="K46" s="13" t="s">
        <v>4136</v>
      </c>
      <c r="L46" s="14" t="s">
        <v>4137</v>
      </c>
      <c r="M46" s="14" t="s">
        <v>4177</v>
      </c>
      <c r="N46" s="13" t="s">
        <v>4139</v>
      </c>
      <c r="O46" s="13" t="str">
        <f aca="false">IF(H46="","D","C")</f>
        <v>C</v>
      </c>
      <c r="P46" s="14"/>
    </row>
    <row r="47" customFormat="false" ht="53.7" hidden="false" customHeight="false" outlineLevel="0" collapsed="false">
      <c r="A47" s="13" t="s">
        <v>263</v>
      </c>
      <c r="B47" s="13" t="s">
        <v>3751</v>
      </c>
      <c r="C47" s="14" t="s">
        <v>264</v>
      </c>
      <c r="D47" s="14" t="s">
        <v>3753</v>
      </c>
      <c r="E47" s="23" t="n">
        <v>9.7</v>
      </c>
      <c r="F47" s="13" t="s">
        <v>4135</v>
      </c>
      <c r="G47" s="24" t="n">
        <f aca="false">IF($E47="","",$E47*60/(Settings!$B$30+100/(Settings!$B$28*88)+100/(Settings!$B$29*88))*Settings!$B$7*1*0.75*0.8)</f>
        <v>394.326360371796</v>
      </c>
      <c r="H47" s="24" t="n">
        <f aca="false">IF($E47="","",$E47*60/(Settings!$B$30+100/(Settings!$B$28*88)+100/(Settings!$B$29*88))*Settings!$B$7*1*0.75)</f>
        <v>492.907950464745</v>
      </c>
      <c r="I47" s="24" t="n">
        <f aca="false">IF($E47="","",$E47*60/(Settings!$B$30+100/(Settings!$B$28*88)+100/(Settings!$B$29*88))*Settings!$B$7*1*1*1.2)</f>
        <v>788.652720743592</v>
      </c>
      <c r="J47" s="13" t="s">
        <v>3746</v>
      </c>
      <c r="K47" s="13" t="s">
        <v>4136</v>
      </c>
      <c r="L47" s="14" t="s">
        <v>4140</v>
      </c>
      <c r="M47" s="14" t="s">
        <v>4178</v>
      </c>
      <c r="N47" s="13" t="s">
        <v>4139</v>
      </c>
      <c r="O47" s="13" t="str">
        <f aca="false">IF(H47="","D","C")</f>
        <v>C</v>
      </c>
      <c r="P47" s="14"/>
    </row>
    <row r="48" customFormat="false" ht="53.7" hidden="false" customHeight="false" outlineLevel="0" collapsed="false">
      <c r="A48" s="13" t="s">
        <v>263</v>
      </c>
      <c r="B48" s="13" t="s">
        <v>3756</v>
      </c>
      <c r="C48" s="14" t="s">
        <v>264</v>
      </c>
      <c r="D48" s="14" t="s">
        <v>3757</v>
      </c>
      <c r="E48" s="23" t="n">
        <v>9.7</v>
      </c>
      <c r="F48" s="13" t="s">
        <v>4135</v>
      </c>
      <c r="G48" s="24" t="n">
        <f aca="false">IF($E48="","",$E48*60/(Settings!$B$30+200/(Settings!$B$28*88)+200/(Settings!$B$29*88))*Settings!$B$7*1*0.75*0.8)</f>
        <v>204.105393805994</v>
      </c>
      <c r="H48" s="24" t="n">
        <f aca="false">IF($E48="","",$E48*60/(Settings!$B$30+200/(Settings!$B$28*88)+200/(Settings!$B$29*88))*Settings!$B$7*1*0.75)</f>
        <v>255.131742257493</v>
      </c>
      <c r="I48" s="24" t="n">
        <f aca="false">IF($E48="","",$E48*60/(Settings!$B$30+200/(Settings!$B$28*88)+200/(Settings!$B$29*88))*Settings!$B$7*1*1*1.2)</f>
        <v>408.210787611989</v>
      </c>
      <c r="J48" s="13" t="s">
        <v>3746</v>
      </c>
      <c r="K48" s="13" t="s">
        <v>4136</v>
      </c>
      <c r="L48" s="14" t="s">
        <v>4151</v>
      </c>
      <c r="M48" s="14" t="s">
        <v>4179</v>
      </c>
      <c r="N48" s="13" t="s">
        <v>4139</v>
      </c>
      <c r="O48" s="13" t="str">
        <f aca="false">IF(H48="","D","C")</f>
        <v>C</v>
      </c>
      <c r="P48" s="14"/>
    </row>
    <row r="49" customFormat="false" ht="53.7" hidden="false" customHeight="false" outlineLevel="0" collapsed="false">
      <c r="A49" s="13" t="s">
        <v>263</v>
      </c>
      <c r="B49" s="13" t="s">
        <v>3759</v>
      </c>
      <c r="C49" s="14" t="s">
        <v>264</v>
      </c>
      <c r="D49" s="14" t="s">
        <v>3760</v>
      </c>
      <c r="E49" s="23" t="n">
        <v>9.7</v>
      </c>
      <c r="F49" s="13" t="s">
        <v>4135</v>
      </c>
      <c r="G49" s="24" t="n">
        <f aca="false">IF($E49="","",$E49*60/(Settings!$B$30+300/(Settings!$B$28*88)+300/(Settings!$B$29*88))*Settings!$B$7*1*0.75*0.8)</f>
        <v>137.686263135306</v>
      </c>
      <c r="H49" s="24" t="n">
        <f aca="false">IF($E49="","",$E49*60/(Settings!$B$30+300/(Settings!$B$28*88)+300/(Settings!$B$29*88))*Settings!$B$7*1*0.75)</f>
        <v>172.107828919133</v>
      </c>
      <c r="I49" s="24" t="n">
        <f aca="false">IF($E49="","",$E49*60/(Settings!$B$30+300/(Settings!$B$28*88)+300/(Settings!$B$29*88))*Settings!$B$7*1*1*1.2)</f>
        <v>275.372526270612</v>
      </c>
      <c r="J49" s="13" t="s">
        <v>3746</v>
      </c>
      <c r="K49" s="13" t="s">
        <v>4136</v>
      </c>
      <c r="L49" s="14" t="s">
        <v>4165</v>
      </c>
      <c r="M49" s="14" t="s">
        <v>4180</v>
      </c>
      <c r="N49" s="13" t="s">
        <v>4139</v>
      </c>
      <c r="O49" s="13" t="str">
        <f aca="false">IF(H49="","D","C")</f>
        <v>C</v>
      </c>
      <c r="P49" s="14"/>
    </row>
    <row r="50" customFormat="false" ht="53.7" hidden="false" customHeight="false" outlineLevel="0" collapsed="false">
      <c r="A50" s="13" t="s">
        <v>263</v>
      </c>
      <c r="B50" s="13" t="s">
        <v>3762</v>
      </c>
      <c r="C50" s="14" t="s">
        <v>264</v>
      </c>
      <c r="D50" s="14" t="s">
        <v>3764</v>
      </c>
      <c r="E50" s="23" t="n">
        <v>9.7</v>
      </c>
      <c r="F50" s="13" t="s">
        <v>4135</v>
      </c>
      <c r="G50" s="24" t="n">
        <f aca="false">IF($E50="","",$E50*60/(Settings!$B$30+50/(Settings!$B$28*88)+50/(Settings!$B$29*88))*Settings!$B$7*1.2*0.75*0.8)</f>
        <v>886.1052687929</v>
      </c>
      <c r="H50" s="24" t="n">
        <f aca="false">IF($E50="","",$E50*60/(Settings!$B$30+50/(Settings!$B$28*88)+50/(Settings!$B$29*88))*Settings!$B$7*1.2*0.75)</f>
        <v>1107.63158599113</v>
      </c>
      <c r="I50" s="24" t="n">
        <f aca="false">IF($E50="","",$E50*60/(Settings!$B$30+50/(Settings!$B$28*88)+50/(Settings!$B$29*88))*Settings!$B$7*1.2*1*1.2)</f>
        <v>1772.2105375858</v>
      </c>
      <c r="J50" s="13" t="s">
        <v>3746</v>
      </c>
      <c r="K50" s="13" t="s">
        <v>4136</v>
      </c>
      <c r="L50" s="14" t="s">
        <v>4142</v>
      </c>
      <c r="M50" s="14" t="s">
        <v>4181</v>
      </c>
      <c r="N50" s="13" t="s">
        <v>4139</v>
      </c>
      <c r="O50" s="13" t="str">
        <f aca="false">IF(H50="","D","C")</f>
        <v>C</v>
      </c>
      <c r="P50" s="14"/>
    </row>
    <row r="51" customFormat="false" ht="15" hidden="false" customHeight="false" outlineLevel="0" collapsed="false">
      <c r="A51" s="13" t="s">
        <v>263</v>
      </c>
      <c r="B51" s="13" t="s">
        <v>3768</v>
      </c>
      <c r="C51" s="14" t="s">
        <v>264</v>
      </c>
      <c r="D51" s="14" t="s">
        <v>3769</v>
      </c>
      <c r="E51" s="13"/>
      <c r="F51" s="13"/>
      <c r="G51" s="24"/>
      <c r="H51" s="24"/>
      <c r="I51" s="24"/>
      <c r="J51" s="13" t="s">
        <v>3770</v>
      </c>
      <c r="K51" s="13" t="s">
        <v>3771</v>
      </c>
      <c r="L51" s="14"/>
      <c r="M51" s="14" t="s">
        <v>4144</v>
      </c>
      <c r="N51" s="13" t="s">
        <v>3742</v>
      </c>
      <c r="O51" s="13" t="s">
        <v>188</v>
      </c>
      <c r="P51" s="14" t="s">
        <v>4145</v>
      </c>
    </row>
    <row r="52" customFormat="false" ht="22.35" hidden="false" customHeight="false" outlineLevel="0" collapsed="false">
      <c r="A52" s="13" t="s">
        <v>271</v>
      </c>
      <c r="B52" s="13" t="s">
        <v>3738</v>
      </c>
      <c r="C52" s="14" t="s">
        <v>273</v>
      </c>
      <c r="D52" s="14" t="s">
        <v>3739</v>
      </c>
      <c r="E52" s="13"/>
      <c r="F52" s="13"/>
      <c r="G52" s="24" t="n">
        <f aca="false">1/8</f>
        <v>0.125</v>
      </c>
      <c r="H52" s="24" t="n">
        <f aca="false">1/3</f>
        <v>0.333333333333333</v>
      </c>
      <c r="I52" s="24" t="n">
        <f aca="false">1/1.5</f>
        <v>0.666666666666667</v>
      </c>
      <c r="J52" s="13" t="s">
        <v>3733</v>
      </c>
      <c r="K52" s="13" t="s">
        <v>4154</v>
      </c>
      <c r="L52" s="14" t="s">
        <v>4182</v>
      </c>
      <c r="M52" s="14" t="s">
        <v>4183</v>
      </c>
      <c r="N52" s="13" t="s">
        <v>3742</v>
      </c>
      <c r="O52" s="13" t="s">
        <v>192</v>
      </c>
      <c r="P52" s="14"/>
    </row>
    <row r="53" customFormat="false" ht="53.7" hidden="false" customHeight="false" outlineLevel="0" collapsed="false">
      <c r="A53" s="13" t="s">
        <v>271</v>
      </c>
      <c r="B53" s="13" t="s">
        <v>3751</v>
      </c>
      <c r="C53" s="14" t="s">
        <v>273</v>
      </c>
      <c r="D53" s="14" t="s">
        <v>3753</v>
      </c>
      <c r="E53" s="23" t="n">
        <v>13.47</v>
      </c>
      <c r="F53" s="13" t="s">
        <v>4135</v>
      </c>
      <c r="G53" s="24" t="n">
        <f aca="false">IF($E53="","",$E53*60/(Settings!$B$30+100/(Settings!$B$28*88)+100/(Settings!$B$29*88))*Settings!$B$7*1*0.75*0.8)</f>
        <v>547.585162289494</v>
      </c>
      <c r="H53" s="24" t="n">
        <f aca="false">IF($E53="","",$E53*60/(Settings!$B$30+100/(Settings!$B$28*88)+100/(Settings!$B$29*88))*Settings!$B$7*1*0.75)</f>
        <v>684.481452861868</v>
      </c>
      <c r="I53" s="24" t="n">
        <f aca="false">IF($E53="","",$E53*60/(Settings!$B$30+100/(Settings!$B$28*88)+100/(Settings!$B$29*88))*Settings!$B$7*1*1*1.2)</f>
        <v>1095.17032457899</v>
      </c>
      <c r="J53" s="13" t="s">
        <v>3746</v>
      </c>
      <c r="K53" s="13" t="s">
        <v>4136</v>
      </c>
      <c r="L53" s="14" t="s">
        <v>4140</v>
      </c>
      <c r="M53" s="14" t="s">
        <v>4184</v>
      </c>
      <c r="N53" s="13" t="s">
        <v>4139</v>
      </c>
      <c r="O53" s="13" t="str">
        <f aca="false">IF(H53="","D","C")</f>
        <v>C</v>
      </c>
      <c r="P53" s="14"/>
    </row>
    <row r="54" customFormat="false" ht="53.7" hidden="false" customHeight="false" outlineLevel="0" collapsed="false">
      <c r="A54" s="13" t="s">
        <v>271</v>
      </c>
      <c r="B54" s="13" t="s">
        <v>3756</v>
      </c>
      <c r="C54" s="14" t="s">
        <v>273</v>
      </c>
      <c r="D54" s="14" t="s">
        <v>3757</v>
      </c>
      <c r="E54" s="23" t="n">
        <v>13.47</v>
      </c>
      <c r="F54" s="13" t="s">
        <v>4135</v>
      </c>
      <c r="G54" s="24" t="n">
        <f aca="false">IF($E54="","",$E54*60/(Settings!$B$30+200/(Settings!$B$28*88)+200/(Settings!$B$29*88))*Settings!$B$7*1*0.75*0.8)</f>
        <v>283.432954079046</v>
      </c>
      <c r="H54" s="24" t="n">
        <f aca="false">IF($E54="","",$E54*60/(Settings!$B$30+200/(Settings!$B$28*88)+200/(Settings!$B$29*88))*Settings!$B$7*1*0.75)</f>
        <v>354.291192598807</v>
      </c>
      <c r="I54" s="24" t="n">
        <f aca="false">IF($E54="","",$E54*60/(Settings!$B$30+200/(Settings!$B$28*88)+200/(Settings!$B$29*88))*Settings!$B$7*1*1*1.2)</f>
        <v>566.865908158092</v>
      </c>
      <c r="J54" s="13" t="s">
        <v>3746</v>
      </c>
      <c r="K54" s="13" t="s">
        <v>4136</v>
      </c>
      <c r="L54" s="14" t="s">
        <v>4151</v>
      </c>
      <c r="M54" s="14" t="s">
        <v>4185</v>
      </c>
      <c r="N54" s="13" t="s">
        <v>4139</v>
      </c>
      <c r="O54" s="13" t="str">
        <f aca="false">IF(H54="","D","C")</f>
        <v>C</v>
      </c>
      <c r="P54" s="14"/>
    </row>
    <row r="55" customFormat="false" ht="53.7" hidden="false" customHeight="false" outlineLevel="0" collapsed="false">
      <c r="A55" s="13" t="s">
        <v>271</v>
      </c>
      <c r="B55" s="13" t="s">
        <v>3759</v>
      </c>
      <c r="C55" s="14" t="s">
        <v>273</v>
      </c>
      <c r="D55" s="14" t="s">
        <v>3760</v>
      </c>
      <c r="E55" s="23" t="n">
        <v>13.47</v>
      </c>
      <c r="F55" s="13" t="s">
        <v>4135</v>
      </c>
      <c r="G55" s="24" t="n">
        <f aca="false">IF($E55="","",$E55*60/(Settings!$B$30+300/(Settings!$B$28*88)+300/(Settings!$B$29*88))*Settings!$B$7*1*0.75*0.8)</f>
        <v>191.199377776554</v>
      </c>
      <c r="H55" s="24" t="n">
        <f aca="false">IF($E55="","",$E55*60/(Settings!$B$30+300/(Settings!$B$28*88)+300/(Settings!$B$29*88))*Settings!$B$7*1*0.75)</f>
        <v>238.999222220693</v>
      </c>
      <c r="I55" s="24" t="n">
        <f aca="false">IF($E55="","",$E55*60/(Settings!$B$30+300/(Settings!$B$28*88)+300/(Settings!$B$29*88))*Settings!$B$7*1*1*1.2)</f>
        <v>382.398755553108</v>
      </c>
      <c r="J55" s="13" t="s">
        <v>3746</v>
      </c>
      <c r="K55" s="13" t="s">
        <v>4136</v>
      </c>
      <c r="L55" s="14" t="s">
        <v>4165</v>
      </c>
      <c r="M55" s="14" t="s">
        <v>4186</v>
      </c>
      <c r="N55" s="13" t="s">
        <v>4139</v>
      </c>
      <c r="O55" s="13" t="str">
        <f aca="false">IF(H55="","D","C")</f>
        <v>C</v>
      </c>
      <c r="P55" s="14"/>
    </row>
    <row r="56" customFormat="false" ht="53.7" hidden="false" customHeight="false" outlineLevel="0" collapsed="false">
      <c r="A56" s="13" t="s">
        <v>271</v>
      </c>
      <c r="B56" s="13" t="s">
        <v>3762</v>
      </c>
      <c r="C56" s="14" t="s">
        <v>273</v>
      </c>
      <c r="D56" s="14" t="s">
        <v>3764</v>
      </c>
      <c r="E56" s="23" t="n">
        <v>13.47</v>
      </c>
      <c r="F56" s="13" t="s">
        <v>4135</v>
      </c>
      <c r="G56" s="24" t="n">
        <f aca="false">IF($E56="","",$E56*60/(Settings!$B$30+50/(Settings!$B$28*88)+50/(Settings!$B$29*88))*Settings!$B$7*1.2*0.75*0.8)</f>
        <v>1230.49875985983</v>
      </c>
      <c r="H56" s="24" t="n">
        <f aca="false">IF($E56="","",$E56*60/(Settings!$B$30+50/(Settings!$B$28*88)+50/(Settings!$B$29*88))*Settings!$B$7*1.2*0.75)</f>
        <v>1538.12344982479</v>
      </c>
      <c r="I56" s="24" t="n">
        <f aca="false">IF($E56="","",$E56*60/(Settings!$B$30+50/(Settings!$B$28*88)+50/(Settings!$B$29*88))*Settings!$B$7*1.2*1*1.2)</f>
        <v>2460.99751971966</v>
      </c>
      <c r="J56" s="13" t="s">
        <v>3746</v>
      </c>
      <c r="K56" s="13" t="s">
        <v>4136</v>
      </c>
      <c r="L56" s="14" t="s">
        <v>4142</v>
      </c>
      <c r="M56" s="14" t="s">
        <v>4187</v>
      </c>
      <c r="N56" s="13" t="s">
        <v>4139</v>
      </c>
      <c r="O56" s="13" t="str">
        <f aca="false">IF(H56="","D","C")</f>
        <v>C</v>
      </c>
      <c r="P56" s="14"/>
    </row>
    <row r="57" customFormat="false" ht="32.8" hidden="false" customHeight="false" outlineLevel="0" collapsed="false">
      <c r="A57" s="13" t="s">
        <v>271</v>
      </c>
      <c r="B57" s="13" t="s">
        <v>3773</v>
      </c>
      <c r="C57" s="14" t="s">
        <v>273</v>
      </c>
      <c r="D57" s="14" t="s">
        <v>3775</v>
      </c>
      <c r="E57" s="13"/>
      <c r="F57" s="13"/>
      <c r="G57" s="24" t="n">
        <v>150</v>
      </c>
      <c r="H57" s="24" t="n">
        <v>300</v>
      </c>
      <c r="I57" s="24" t="n">
        <v>500</v>
      </c>
      <c r="J57" s="13" t="s">
        <v>3776</v>
      </c>
      <c r="K57" s="13" t="s">
        <v>4188</v>
      </c>
      <c r="L57" s="14" t="s">
        <v>4189</v>
      </c>
      <c r="M57" s="14" t="s">
        <v>4190</v>
      </c>
      <c r="N57" s="13" t="s">
        <v>3780</v>
      </c>
      <c r="O57" s="13" t="s">
        <v>193</v>
      </c>
      <c r="P57" s="14" t="s">
        <v>4191</v>
      </c>
    </row>
    <row r="58" customFormat="false" ht="22.35" hidden="false" customHeight="false" outlineLevel="0" collapsed="false">
      <c r="A58" s="13" t="s">
        <v>280</v>
      </c>
      <c r="B58" s="13" t="s">
        <v>3738</v>
      </c>
      <c r="C58" s="14" t="s">
        <v>281</v>
      </c>
      <c r="D58" s="14" t="s">
        <v>3739</v>
      </c>
      <c r="E58" s="13"/>
      <c r="F58" s="13"/>
      <c r="G58" s="24" t="n">
        <f aca="false">1/8</f>
        <v>0.125</v>
      </c>
      <c r="H58" s="24" t="n">
        <f aca="false">1/3</f>
        <v>0.333333333333333</v>
      </c>
      <c r="I58" s="24" t="n">
        <f aca="false">1/1.5</f>
        <v>0.666666666666667</v>
      </c>
      <c r="J58" s="13" t="s">
        <v>3733</v>
      </c>
      <c r="K58" s="13" t="s">
        <v>4154</v>
      </c>
      <c r="L58" s="14" t="s">
        <v>4182</v>
      </c>
      <c r="M58" s="14" t="s">
        <v>4183</v>
      </c>
      <c r="N58" s="13" t="s">
        <v>3742</v>
      </c>
      <c r="O58" s="13" t="s">
        <v>192</v>
      </c>
      <c r="P58" s="14"/>
    </row>
    <row r="59" customFormat="false" ht="53.7" hidden="false" customHeight="false" outlineLevel="0" collapsed="false">
      <c r="A59" s="13" t="s">
        <v>280</v>
      </c>
      <c r="B59" s="13" t="s">
        <v>3751</v>
      </c>
      <c r="C59" s="14" t="s">
        <v>281</v>
      </c>
      <c r="D59" s="14" t="s">
        <v>3753</v>
      </c>
      <c r="E59" s="23" t="n">
        <v>17.8</v>
      </c>
      <c r="F59" s="13" t="s">
        <v>4135</v>
      </c>
      <c r="G59" s="24" t="n">
        <f aca="false">IF($E59="","",$E59*60/(Settings!$B$30+100/(2.2*88)+100/(4.8*88))*Settings!$B$7*1*0.75*0.8)</f>
        <v>662.122457238393</v>
      </c>
      <c r="H59" s="24" t="n">
        <f aca="false">IF($E59="","",$E59*60/(Settings!$B$30+100/(2.2*88)+100/(4.8*88))*Settings!$B$7*1*0.75)</f>
        <v>827.653071547992</v>
      </c>
      <c r="I59" s="24" t="n">
        <f aca="false">IF($E59="","",$E59*60/(Settings!$B$30+100/(2.2*88)+100/(4.8*88))*Settings!$B$7*1*1*1.2)</f>
        <v>1324.24491447679</v>
      </c>
      <c r="J59" s="13" t="s">
        <v>3746</v>
      </c>
      <c r="K59" s="13" t="s">
        <v>4136</v>
      </c>
      <c r="L59" s="14" t="s">
        <v>4192</v>
      </c>
      <c r="M59" s="14" t="s">
        <v>4193</v>
      </c>
      <c r="N59" s="13" t="s">
        <v>4139</v>
      </c>
      <c r="O59" s="13" t="str">
        <f aca="false">IF(H59="","D","C")</f>
        <v>C</v>
      </c>
      <c r="P59" s="14"/>
    </row>
    <row r="60" customFormat="false" ht="53.7" hidden="false" customHeight="false" outlineLevel="0" collapsed="false">
      <c r="A60" s="13" t="s">
        <v>280</v>
      </c>
      <c r="B60" s="13" t="s">
        <v>3756</v>
      </c>
      <c r="C60" s="14" t="s">
        <v>281</v>
      </c>
      <c r="D60" s="14" t="s">
        <v>3757</v>
      </c>
      <c r="E60" s="23" t="n">
        <v>17.8</v>
      </c>
      <c r="F60" s="13" t="s">
        <v>4135</v>
      </c>
      <c r="G60" s="24" t="n">
        <f aca="false">IF($E60="","",$E60*60/(Settings!$B$30+200/(2.2*88)+200/(4.8*88))*Settings!$B$7*1*0.75*0.8)</f>
        <v>341.695733817088</v>
      </c>
      <c r="H60" s="24" t="n">
        <f aca="false">IF($E60="","",$E60*60/(Settings!$B$30+200/(2.2*88)+200/(4.8*88))*Settings!$B$7*1*0.75)</f>
        <v>427.11966727136</v>
      </c>
      <c r="I60" s="24" t="n">
        <f aca="false">IF($E60="","",$E60*60/(Settings!$B$30+200/(2.2*88)+200/(4.8*88))*Settings!$B$7*1*1*1.2)</f>
        <v>683.391467634176</v>
      </c>
      <c r="J60" s="13" t="s">
        <v>3746</v>
      </c>
      <c r="K60" s="13" t="s">
        <v>4136</v>
      </c>
      <c r="L60" s="14" t="s">
        <v>4194</v>
      </c>
      <c r="M60" s="14" t="s">
        <v>4195</v>
      </c>
      <c r="N60" s="13" t="s">
        <v>4139</v>
      </c>
      <c r="O60" s="13" t="str">
        <f aca="false">IF(H60="","D","C")</f>
        <v>C</v>
      </c>
      <c r="P60" s="14"/>
    </row>
    <row r="61" customFormat="false" ht="53.7" hidden="false" customHeight="false" outlineLevel="0" collapsed="false">
      <c r="A61" s="13" t="s">
        <v>280</v>
      </c>
      <c r="B61" s="13" t="s">
        <v>3759</v>
      </c>
      <c r="C61" s="14" t="s">
        <v>281</v>
      </c>
      <c r="D61" s="14" t="s">
        <v>3760</v>
      </c>
      <c r="E61" s="23" t="n">
        <v>17.8</v>
      </c>
      <c r="F61" s="13" t="s">
        <v>4135</v>
      </c>
      <c r="G61" s="24" t="n">
        <f aca="false">IF($E61="","",$E61*60/(Settings!$B$30+300/(2.2*88)+300/(4.8*88))*Settings!$B$7*1*0.75*0.8)</f>
        <v>230.262691533611</v>
      </c>
      <c r="H61" s="24" t="n">
        <f aca="false">IF($E61="","",$E61*60/(Settings!$B$30+300/(2.2*88)+300/(4.8*88))*Settings!$B$7*1*0.75)</f>
        <v>287.828364417013</v>
      </c>
      <c r="I61" s="24" t="n">
        <f aca="false">IF($E61="","",$E61*60/(Settings!$B$30+300/(2.2*88)+300/(4.8*88))*Settings!$B$7*1*1*1.2)</f>
        <v>460.525383067221</v>
      </c>
      <c r="J61" s="13" t="s">
        <v>3746</v>
      </c>
      <c r="K61" s="13" t="s">
        <v>4136</v>
      </c>
      <c r="L61" s="14" t="s">
        <v>4196</v>
      </c>
      <c r="M61" s="14" t="s">
        <v>4197</v>
      </c>
      <c r="N61" s="13" t="s">
        <v>4139</v>
      </c>
      <c r="O61" s="13" t="str">
        <f aca="false">IF(H61="","D","C")</f>
        <v>C</v>
      </c>
      <c r="P61" s="14"/>
    </row>
    <row r="62" customFormat="false" ht="32.8" hidden="false" customHeight="false" outlineLevel="0" collapsed="false">
      <c r="A62" s="13" t="s">
        <v>280</v>
      </c>
      <c r="B62" s="13" t="s">
        <v>3773</v>
      </c>
      <c r="C62" s="14" t="s">
        <v>281</v>
      </c>
      <c r="D62" s="14" t="s">
        <v>3775</v>
      </c>
      <c r="E62" s="13"/>
      <c r="F62" s="13"/>
      <c r="G62" s="24" t="n">
        <v>150</v>
      </c>
      <c r="H62" s="24" t="n">
        <v>300</v>
      </c>
      <c r="I62" s="24" t="n">
        <v>500</v>
      </c>
      <c r="J62" s="13" t="s">
        <v>3776</v>
      </c>
      <c r="K62" s="13" t="s">
        <v>4188</v>
      </c>
      <c r="L62" s="14" t="s">
        <v>4189</v>
      </c>
      <c r="M62" s="14" t="s">
        <v>4190</v>
      </c>
      <c r="N62" s="13" t="s">
        <v>3780</v>
      </c>
      <c r="O62" s="13" t="s">
        <v>193</v>
      </c>
      <c r="P62" s="14" t="s">
        <v>4191</v>
      </c>
    </row>
    <row r="63" customFormat="false" ht="53.7" hidden="false" customHeight="false" outlineLevel="0" collapsed="false">
      <c r="A63" s="13" t="s">
        <v>289</v>
      </c>
      <c r="B63" s="13" t="s">
        <v>3751</v>
      </c>
      <c r="C63" s="14" t="s">
        <v>290</v>
      </c>
      <c r="D63" s="14" t="s">
        <v>3753</v>
      </c>
      <c r="E63" s="23" t="n">
        <v>24.2</v>
      </c>
      <c r="F63" s="13" t="s">
        <v>4135</v>
      </c>
      <c r="G63" s="24" t="n">
        <f aca="false">IF($E63="","",$E63*60/(Settings!$B$30+100/(2.5*88)+100/(5.6*88))*Settings!$B$7*1*0.75*0.8)</f>
        <v>1022.090720514</v>
      </c>
      <c r="H63" s="24" t="n">
        <f aca="false">IF($E63="","",$E63*60/(Settings!$B$30+100/(2.5*88)+100/(5.6*88))*Settings!$B$7*1*0.75)</f>
        <v>1277.6134006425</v>
      </c>
      <c r="I63" s="24" t="n">
        <f aca="false">IF($E63="","",$E63*60/(Settings!$B$30+100/(2.5*88)+100/(5.6*88))*Settings!$B$7*1*1*1.2)</f>
        <v>2044.18144102799</v>
      </c>
      <c r="J63" s="13" t="s">
        <v>3746</v>
      </c>
      <c r="K63" s="13" t="s">
        <v>4136</v>
      </c>
      <c r="L63" s="14" t="s">
        <v>4198</v>
      </c>
      <c r="M63" s="14" t="s">
        <v>4199</v>
      </c>
      <c r="N63" s="13" t="s">
        <v>4139</v>
      </c>
      <c r="O63" s="13" t="str">
        <f aca="false">IF(H63="","D","C")</f>
        <v>C</v>
      </c>
      <c r="P63" s="14"/>
    </row>
    <row r="64" customFormat="false" ht="53.7" hidden="false" customHeight="false" outlineLevel="0" collapsed="false">
      <c r="A64" s="13" t="s">
        <v>289</v>
      </c>
      <c r="B64" s="13" t="s">
        <v>3756</v>
      </c>
      <c r="C64" s="14" t="s">
        <v>290</v>
      </c>
      <c r="D64" s="14" t="s">
        <v>3757</v>
      </c>
      <c r="E64" s="23" t="n">
        <v>24.2</v>
      </c>
      <c r="F64" s="13" t="s">
        <v>4135</v>
      </c>
      <c r="G64" s="24" t="n">
        <f aca="false">IF($E64="","",$E64*60/(Settings!$B$30+200/(2.5*88)+200/(5.6*88))*Settings!$B$7*1*0.75*0.8)</f>
        <v>529.765861084681</v>
      </c>
      <c r="H64" s="24" t="n">
        <f aca="false">IF($E64="","",$E64*60/(Settings!$B$30+200/(2.5*88)+200/(5.6*88))*Settings!$B$7*1*0.75)</f>
        <v>662.207326355852</v>
      </c>
      <c r="I64" s="24" t="n">
        <f aca="false">IF($E64="","",$E64*60/(Settings!$B$30+200/(2.5*88)+200/(5.6*88))*Settings!$B$7*1*1*1.2)</f>
        <v>1059.53172216936</v>
      </c>
      <c r="J64" s="13" t="s">
        <v>3746</v>
      </c>
      <c r="K64" s="13" t="s">
        <v>4136</v>
      </c>
      <c r="L64" s="14" t="s">
        <v>4200</v>
      </c>
      <c r="M64" s="14" t="s">
        <v>4201</v>
      </c>
      <c r="N64" s="13" t="s">
        <v>4139</v>
      </c>
      <c r="O64" s="13" t="str">
        <f aca="false">IF(H64="","D","C")</f>
        <v>C</v>
      </c>
      <c r="P64" s="14"/>
    </row>
    <row r="65" customFormat="false" ht="53.7" hidden="false" customHeight="false" outlineLevel="0" collapsed="false">
      <c r="A65" s="13" t="s">
        <v>289</v>
      </c>
      <c r="B65" s="13" t="s">
        <v>3759</v>
      </c>
      <c r="C65" s="14" t="s">
        <v>290</v>
      </c>
      <c r="D65" s="14" t="s">
        <v>3760</v>
      </c>
      <c r="E65" s="23" t="n">
        <v>24.2</v>
      </c>
      <c r="F65" s="13" t="s">
        <v>4135</v>
      </c>
      <c r="G65" s="24" t="n">
        <f aca="false">IF($E65="","",$E65*60/(Settings!$B$30+300/(2.5*88)+300/(5.6*88))*Settings!$B$7*1*0.75*0.8)</f>
        <v>357.543053459624</v>
      </c>
      <c r="H65" s="24" t="n">
        <f aca="false">IF($E65="","",$E65*60/(Settings!$B$30+300/(2.5*88)+300/(5.6*88))*Settings!$B$7*1*0.75)</f>
        <v>446.928816824531</v>
      </c>
      <c r="I65" s="24" t="n">
        <f aca="false">IF($E65="","",$E65*60/(Settings!$B$30+300/(2.5*88)+300/(5.6*88))*Settings!$B$7*1*1*1.2)</f>
        <v>715.086106919249</v>
      </c>
      <c r="J65" s="13" t="s">
        <v>3746</v>
      </c>
      <c r="K65" s="13" t="s">
        <v>4136</v>
      </c>
      <c r="L65" s="14" t="s">
        <v>4202</v>
      </c>
      <c r="M65" s="14" t="s">
        <v>4203</v>
      </c>
      <c r="N65" s="13" t="s">
        <v>4139</v>
      </c>
      <c r="O65" s="13" t="str">
        <f aca="false">IF(H65="","D","C")</f>
        <v>C</v>
      </c>
      <c r="P65" s="14"/>
    </row>
    <row r="66" customFormat="false" ht="32.8" hidden="false" customHeight="false" outlineLevel="0" collapsed="false">
      <c r="A66" s="13" t="s">
        <v>289</v>
      </c>
      <c r="B66" s="13" t="s">
        <v>3773</v>
      </c>
      <c r="C66" s="14" t="s">
        <v>290</v>
      </c>
      <c r="D66" s="14" t="s">
        <v>3775</v>
      </c>
      <c r="E66" s="13"/>
      <c r="F66" s="13"/>
      <c r="G66" s="24" t="n">
        <v>150</v>
      </c>
      <c r="H66" s="24" t="n">
        <v>300</v>
      </c>
      <c r="I66" s="24" t="n">
        <v>500</v>
      </c>
      <c r="J66" s="13" t="s">
        <v>3776</v>
      </c>
      <c r="K66" s="13" t="s">
        <v>4188</v>
      </c>
      <c r="L66" s="14" t="s">
        <v>4189</v>
      </c>
      <c r="M66" s="14" t="s">
        <v>4190</v>
      </c>
      <c r="N66" s="13" t="s">
        <v>3780</v>
      </c>
      <c r="O66" s="13" t="s">
        <v>193</v>
      </c>
      <c r="P66" s="14" t="s">
        <v>4191</v>
      </c>
    </row>
    <row r="67" customFormat="false" ht="53.7" hidden="false" customHeight="false" outlineLevel="0" collapsed="false">
      <c r="A67" s="13" t="s">
        <v>296</v>
      </c>
      <c r="B67" s="13" t="s">
        <v>3751</v>
      </c>
      <c r="C67" s="14" t="s">
        <v>297</v>
      </c>
      <c r="D67" s="14" t="s">
        <v>3753</v>
      </c>
      <c r="E67" s="23" t="n">
        <v>35.6</v>
      </c>
      <c r="F67" s="13" t="s">
        <v>4135</v>
      </c>
      <c r="G67" s="24" t="n">
        <f aca="false">IF($E67="","",$E67*60/(Settings!$B$30+100/(2.5*88)+100/(5.3*88))*Settings!$B$7*1*0.75*0.8)</f>
        <v>1479.5500990099</v>
      </c>
      <c r="H67" s="24" t="n">
        <f aca="false">IF($E67="","",$E67*60/(Settings!$B$30+100/(2.5*88)+100/(5.3*88))*Settings!$B$7*1*0.75)</f>
        <v>1849.43762376238</v>
      </c>
      <c r="I67" s="24" t="n">
        <f aca="false">IF($E67="","",$E67*60/(Settings!$B$30+100/(2.5*88)+100/(5.3*88))*Settings!$B$7*1*1*1.2)</f>
        <v>2959.1001980198</v>
      </c>
      <c r="J67" s="13" t="s">
        <v>3746</v>
      </c>
      <c r="K67" s="13" t="s">
        <v>4136</v>
      </c>
      <c r="L67" s="14" t="s">
        <v>4204</v>
      </c>
      <c r="M67" s="14" t="s">
        <v>4205</v>
      </c>
      <c r="N67" s="13" t="s">
        <v>4139</v>
      </c>
      <c r="O67" s="13" t="str">
        <f aca="false">IF(H67="","D","C")</f>
        <v>C</v>
      </c>
      <c r="P67" s="14"/>
    </row>
    <row r="68" customFormat="false" ht="53.7" hidden="false" customHeight="false" outlineLevel="0" collapsed="false">
      <c r="A68" s="13" t="s">
        <v>296</v>
      </c>
      <c r="B68" s="13" t="s">
        <v>3756</v>
      </c>
      <c r="C68" s="14" t="s">
        <v>297</v>
      </c>
      <c r="D68" s="14" t="s">
        <v>3757</v>
      </c>
      <c r="E68" s="23" t="n">
        <v>35.6</v>
      </c>
      <c r="F68" s="13" t="s">
        <v>4135</v>
      </c>
      <c r="G68" s="24" t="n">
        <f aca="false">IF($E68="","",$E68*60/(Settings!$B$30+200/(2.5*88)+200/(5.3*88))*Settings!$B$7*1*0.75*0.8)</f>
        <v>766.425785083112</v>
      </c>
      <c r="H68" s="24" t="n">
        <f aca="false">IF($E68="","",$E68*60/(Settings!$B$30+200/(2.5*88)+200/(5.3*88))*Settings!$B$7*1*0.75)</f>
        <v>958.03223135389</v>
      </c>
      <c r="I68" s="24" t="n">
        <f aca="false">IF($E68="","",$E68*60/(Settings!$B$30+200/(2.5*88)+200/(5.3*88))*Settings!$B$7*1*1*1.2)</f>
        <v>1532.85157016622</v>
      </c>
      <c r="J68" s="13" t="s">
        <v>3746</v>
      </c>
      <c r="K68" s="13" t="s">
        <v>4136</v>
      </c>
      <c r="L68" s="14" t="s">
        <v>4206</v>
      </c>
      <c r="M68" s="14" t="s">
        <v>4207</v>
      </c>
      <c r="N68" s="13" t="s">
        <v>4139</v>
      </c>
      <c r="O68" s="13" t="str">
        <f aca="false">IF(H68="","D","C")</f>
        <v>C</v>
      </c>
      <c r="P68" s="14"/>
    </row>
    <row r="69" customFormat="false" ht="53.7" hidden="false" customHeight="false" outlineLevel="0" collapsed="false">
      <c r="A69" s="13" t="s">
        <v>296</v>
      </c>
      <c r="B69" s="13" t="s">
        <v>3759</v>
      </c>
      <c r="C69" s="14" t="s">
        <v>297</v>
      </c>
      <c r="D69" s="14" t="s">
        <v>3760</v>
      </c>
      <c r="E69" s="23" t="n">
        <v>35.6</v>
      </c>
      <c r="F69" s="13" t="s">
        <v>4135</v>
      </c>
      <c r="G69" s="24" t="n">
        <f aca="false">IF($E69="","",$E69*60/(Settings!$B$30+300/(2.5*88)+300/(5.3*88))*Settings!$B$7*1*0.75*0.8)</f>
        <v>517.16084226327</v>
      </c>
      <c r="H69" s="24" t="n">
        <f aca="false">IF($E69="","",$E69*60/(Settings!$B$30+300/(2.5*88)+300/(5.3*88))*Settings!$B$7*1*0.75)</f>
        <v>646.451052829087</v>
      </c>
      <c r="I69" s="24" t="n">
        <f aca="false">IF($E69="","",$E69*60/(Settings!$B$30+300/(2.5*88)+300/(5.3*88))*Settings!$B$7*1*1*1.2)</f>
        <v>1034.32168452654</v>
      </c>
      <c r="J69" s="13" t="s">
        <v>3746</v>
      </c>
      <c r="K69" s="13" t="s">
        <v>4136</v>
      </c>
      <c r="L69" s="14" t="s">
        <v>4208</v>
      </c>
      <c r="M69" s="14" t="s">
        <v>4209</v>
      </c>
      <c r="N69" s="13" t="s">
        <v>4139</v>
      </c>
      <c r="O69" s="13" t="str">
        <f aca="false">IF(H69="","D","C")</f>
        <v>C</v>
      </c>
      <c r="P69" s="14"/>
    </row>
    <row r="70" customFormat="false" ht="32.8" hidden="false" customHeight="false" outlineLevel="0" collapsed="false">
      <c r="A70" s="13" t="s">
        <v>296</v>
      </c>
      <c r="B70" s="13" t="s">
        <v>3773</v>
      </c>
      <c r="C70" s="14" t="s">
        <v>297</v>
      </c>
      <c r="D70" s="14" t="s">
        <v>3775</v>
      </c>
      <c r="E70" s="13"/>
      <c r="F70" s="13"/>
      <c r="G70" s="24" t="n">
        <v>150</v>
      </c>
      <c r="H70" s="24" t="n">
        <v>300</v>
      </c>
      <c r="I70" s="24" t="n">
        <v>500</v>
      </c>
      <c r="J70" s="13" t="s">
        <v>3776</v>
      </c>
      <c r="K70" s="13" t="s">
        <v>4188</v>
      </c>
      <c r="L70" s="14" t="s">
        <v>4189</v>
      </c>
      <c r="M70" s="14" t="s">
        <v>4190</v>
      </c>
      <c r="N70" s="13" t="s">
        <v>3780</v>
      </c>
      <c r="O70" s="13" t="s">
        <v>193</v>
      </c>
      <c r="P70" s="14" t="s">
        <v>4191</v>
      </c>
    </row>
    <row r="71" customFormat="false" ht="43.25" hidden="false" customHeight="false" outlineLevel="0" collapsed="false">
      <c r="A71" s="13" t="s">
        <v>303</v>
      </c>
      <c r="B71" s="13" t="s">
        <v>3751</v>
      </c>
      <c r="C71" s="14" t="s">
        <v>306</v>
      </c>
      <c r="D71" s="14" t="s">
        <v>3753</v>
      </c>
      <c r="E71" s="25"/>
      <c r="F71" s="13" t="s">
        <v>4135</v>
      </c>
      <c r="G71" s="24" t="str">
        <f aca="false">IF($E71="","",$E71*60/(Settings!$B$30+100/(Settings!$B$28*88)+100/(Settings!$B$29*88))*Settings!$B$7*1*0.75*0.8)</f>
        <v/>
      </c>
      <c r="H71" s="24" t="str">
        <f aca="false">IF($E71="","",$E71*60/(Settings!$B$30+100/(Settings!$B$28*88)+100/(Settings!$B$29*88))*Settings!$B$7*1*0.75)</f>
        <v/>
      </c>
      <c r="I71" s="24" t="str">
        <f aca="false">IF($E71="","",$E71*60/(Settings!$B$30+100/(Settings!$B$28*88)+100/(Settings!$B$29*88))*Settings!$B$7*1*1*1.2)</f>
        <v/>
      </c>
      <c r="J71" s="13" t="s">
        <v>3746</v>
      </c>
      <c r="K71" s="13" t="s">
        <v>4136</v>
      </c>
      <c r="L71" s="14" t="s">
        <v>4140</v>
      </c>
      <c r="M71" s="14" t="s">
        <v>4159</v>
      </c>
      <c r="N71" s="13" t="s">
        <v>3750</v>
      </c>
      <c r="O71" s="13" t="str">
        <f aca="false">IF(H71="","D","C")</f>
        <v>D</v>
      </c>
      <c r="P71" s="14" t="s">
        <v>4158</v>
      </c>
    </row>
    <row r="72" customFormat="false" ht="43.25" hidden="false" customHeight="false" outlineLevel="0" collapsed="false">
      <c r="A72" s="13" t="s">
        <v>303</v>
      </c>
      <c r="B72" s="13" t="s">
        <v>3756</v>
      </c>
      <c r="C72" s="14" t="s">
        <v>306</v>
      </c>
      <c r="D72" s="14" t="s">
        <v>3757</v>
      </c>
      <c r="E72" s="25"/>
      <c r="F72" s="13" t="s">
        <v>4135</v>
      </c>
      <c r="G72" s="24" t="str">
        <f aca="false">IF($E72="","",$E72*60/(Settings!$B$30+200/(Settings!$B$28*88)+200/(Settings!$B$29*88))*Settings!$B$7*1*0.75*0.8)</f>
        <v/>
      </c>
      <c r="H72" s="24" t="str">
        <f aca="false">IF($E72="","",$E72*60/(Settings!$B$30+200/(Settings!$B$28*88)+200/(Settings!$B$29*88))*Settings!$B$7*1*0.75)</f>
        <v/>
      </c>
      <c r="I72" s="24" t="str">
        <f aca="false">IF($E72="","",$E72*60/(Settings!$B$30+200/(Settings!$B$28*88)+200/(Settings!$B$29*88))*Settings!$B$7*1*1*1.2)</f>
        <v/>
      </c>
      <c r="J72" s="13" t="s">
        <v>3746</v>
      </c>
      <c r="K72" s="13" t="s">
        <v>4136</v>
      </c>
      <c r="L72" s="14" t="s">
        <v>4151</v>
      </c>
      <c r="M72" s="14" t="s">
        <v>4160</v>
      </c>
      <c r="N72" s="13" t="s">
        <v>3750</v>
      </c>
      <c r="O72" s="13" t="str">
        <f aca="false">IF(H72="","D","C")</f>
        <v>D</v>
      </c>
      <c r="P72" s="14" t="s">
        <v>4158</v>
      </c>
    </row>
    <row r="73" customFormat="false" ht="43.25" hidden="false" customHeight="false" outlineLevel="0" collapsed="false">
      <c r="A73" s="13" t="s">
        <v>303</v>
      </c>
      <c r="B73" s="13" t="s">
        <v>3762</v>
      </c>
      <c r="C73" s="14" t="s">
        <v>306</v>
      </c>
      <c r="D73" s="14" t="s">
        <v>3764</v>
      </c>
      <c r="E73" s="25"/>
      <c r="F73" s="13" t="s">
        <v>4135</v>
      </c>
      <c r="G73" s="24" t="str">
        <f aca="false">IF($E73="","",$E73*60/(Settings!$B$30+50/(Settings!$B$28*88)+50/(Settings!$B$29*88))*Settings!$B$7*1.2*0.75*0.8)</f>
        <v/>
      </c>
      <c r="H73" s="24" t="str">
        <f aca="false">IF($E73="","",$E73*60/(Settings!$B$30+50/(Settings!$B$28*88)+50/(Settings!$B$29*88))*Settings!$B$7*1.2*0.75)</f>
        <v/>
      </c>
      <c r="I73" s="24" t="str">
        <f aca="false">IF($E73="","",$E73*60/(Settings!$B$30+50/(Settings!$B$28*88)+50/(Settings!$B$29*88))*Settings!$B$7*1.2*1*1.2)</f>
        <v/>
      </c>
      <c r="J73" s="13" t="s">
        <v>3746</v>
      </c>
      <c r="K73" s="13" t="s">
        <v>4136</v>
      </c>
      <c r="L73" s="14" t="s">
        <v>4142</v>
      </c>
      <c r="M73" s="14" t="s">
        <v>4161</v>
      </c>
      <c r="N73" s="13" t="s">
        <v>3750</v>
      </c>
      <c r="O73" s="13" t="str">
        <f aca="false">IF(H73="","D","C")</f>
        <v>D</v>
      </c>
      <c r="P73" s="14" t="s">
        <v>4158</v>
      </c>
    </row>
    <row r="74" customFormat="false" ht="43.25" hidden="false" customHeight="false" outlineLevel="0" collapsed="false">
      <c r="A74" s="13" t="s">
        <v>311</v>
      </c>
      <c r="B74" s="13" t="s">
        <v>3751</v>
      </c>
      <c r="C74" s="14" t="s">
        <v>312</v>
      </c>
      <c r="D74" s="14" t="s">
        <v>3753</v>
      </c>
      <c r="E74" s="25"/>
      <c r="F74" s="13" t="s">
        <v>4135</v>
      </c>
      <c r="G74" s="24" t="str">
        <f aca="false">IF($E74="","",$E74*60/(Settings!$B$30+100/(Settings!$B$28*88)+100/(Settings!$B$29*88))*Settings!$B$7*1*0.75*0.8)</f>
        <v/>
      </c>
      <c r="H74" s="24" t="str">
        <f aca="false">IF($E74="","",$E74*60/(Settings!$B$30+100/(Settings!$B$28*88)+100/(Settings!$B$29*88))*Settings!$B$7*1*0.75)</f>
        <v/>
      </c>
      <c r="I74" s="24" t="str">
        <f aca="false">IF($E74="","",$E74*60/(Settings!$B$30+100/(Settings!$B$28*88)+100/(Settings!$B$29*88))*Settings!$B$7*1*1*1.2)</f>
        <v/>
      </c>
      <c r="J74" s="13" t="s">
        <v>3746</v>
      </c>
      <c r="K74" s="13" t="s">
        <v>4136</v>
      </c>
      <c r="L74" s="14" t="s">
        <v>4140</v>
      </c>
      <c r="M74" s="14" t="s">
        <v>4159</v>
      </c>
      <c r="N74" s="13" t="s">
        <v>3750</v>
      </c>
      <c r="O74" s="13" t="str">
        <f aca="false">IF(H74="","D","C")</f>
        <v>D</v>
      </c>
      <c r="P74" s="14" t="s">
        <v>4158</v>
      </c>
    </row>
    <row r="75" customFormat="false" ht="43.25" hidden="false" customHeight="false" outlineLevel="0" collapsed="false">
      <c r="A75" s="13" t="s">
        <v>311</v>
      </c>
      <c r="B75" s="13" t="s">
        <v>3756</v>
      </c>
      <c r="C75" s="14" t="s">
        <v>312</v>
      </c>
      <c r="D75" s="14" t="s">
        <v>3757</v>
      </c>
      <c r="E75" s="25"/>
      <c r="F75" s="13" t="s">
        <v>4135</v>
      </c>
      <c r="G75" s="24" t="str">
        <f aca="false">IF($E75="","",$E75*60/(Settings!$B$30+200/(Settings!$B$28*88)+200/(Settings!$B$29*88))*Settings!$B$7*1*0.75*0.8)</f>
        <v/>
      </c>
      <c r="H75" s="24" t="str">
        <f aca="false">IF($E75="","",$E75*60/(Settings!$B$30+200/(Settings!$B$28*88)+200/(Settings!$B$29*88))*Settings!$B$7*1*0.75)</f>
        <v/>
      </c>
      <c r="I75" s="24" t="str">
        <f aca="false">IF($E75="","",$E75*60/(Settings!$B$30+200/(Settings!$B$28*88)+200/(Settings!$B$29*88))*Settings!$B$7*1*1*1.2)</f>
        <v/>
      </c>
      <c r="J75" s="13" t="s">
        <v>3746</v>
      </c>
      <c r="K75" s="13" t="s">
        <v>4136</v>
      </c>
      <c r="L75" s="14" t="s">
        <v>4151</v>
      </c>
      <c r="M75" s="14" t="s">
        <v>4160</v>
      </c>
      <c r="N75" s="13" t="s">
        <v>3750</v>
      </c>
      <c r="O75" s="13" t="str">
        <f aca="false">IF(H75="","D","C")</f>
        <v>D</v>
      </c>
      <c r="P75" s="14" t="s">
        <v>4158</v>
      </c>
    </row>
    <row r="76" customFormat="false" ht="43.25" hidden="false" customHeight="false" outlineLevel="0" collapsed="false">
      <c r="A76" s="13" t="s">
        <v>311</v>
      </c>
      <c r="B76" s="13" t="s">
        <v>3762</v>
      </c>
      <c r="C76" s="14" t="s">
        <v>312</v>
      </c>
      <c r="D76" s="14" t="s">
        <v>3764</v>
      </c>
      <c r="E76" s="25"/>
      <c r="F76" s="13" t="s">
        <v>4135</v>
      </c>
      <c r="G76" s="24" t="str">
        <f aca="false">IF($E76="","",$E76*60/(Settings!$B$30+50/(Settings!$B$28*88)+50/(Settings!$B$29*88))*Settings!$B$7*1.2*0.75*0.8)</f>
        <v/>
      </c>
      <c r="H76" s="24" t="str">
        <f aca="false">IF($E76="","",$E76*60/(Settings!$B$30+50/(Settings!$B$28*88)+50/(Settings!$B$29*88))*Settings!$B$7*1.2*0.75)</f>
        <v/>
      </c>
      <c r="I76" s="24" t="str">
        <f aca="false">IF($E76="","",$E76*60/(Settings!$B$30+50/(Settings!$B$28*88)+50/(Settings!$B$29*88))*Settings!$B$7*1.2*1*1.2)</f>
        <v/>
      </c>
      <c r="J76" s="13" t="s">
        <v>3746</v>
      </c>
      <c r="K76" s="13" t="s">
        <v>4136</v>
      </c>
      <c r="L76" s="14" t="s">
        <v>4142</v>
      </c>
      <c r="M76" s="14" t="s">
        <v>4161</v>
      </c>
      <c r="N76" s="13" t="s">
        <v>3750</v>
      </c>
      <c r="O76" s="13" t="str">
        <f aca="false">IF(H76="","D","C")</f>
        <v>D</v>
      </c>
      <c r="P76" s="14" t="s">
        <v>4158</v>
      </c>
    </row>
    <row r="77" customFormat="false" ht="43.25" hidden="false" customHeight="false" outlineLevel="0" collapsed="false">
      <c r="A77" s="13" t="s">
        <v>316</v>
      </c>
      <c r="B77" s="13" t="s">
        <v>3751</v>
      </c>
      <c r="C77" s="14" t="s">
        <v>317</v>
      </c>
      <c r="D77" s="14" t="s">
        <v>3753</v>
      </c>
      <c r="E77" s="25"/>
      <c r="F77" s="13" t="s">
        <v>4135</v>
      </c>
      <c r="G77" s="24" t="str">
        <f aca="false">IF($E77="","",$E77*60/(Settings!$B$30+100/(Settings!$B$28*88)+100/(Settings!$B$29*88))*Settings!$B$7*1*0.75*0.8)</f>
        <v/>
      </c>
      <c r="H77" s="24" t="str">
        <f aca="false">IF($E77="","",$E77*60/(Settings!$B$30+100/(Settings!$B$28*88)+100/(Settings!$B$29*88))*Settings!$B$7*1*0.75)</f>
        <v/>
      </c>
      <c r="I77" s="24" t="str">
        <f aca="false">IF($E77="","",$E77*60/(Settings!$B$30+100/(Settings!$B$28*88)+100/(Settings!$B$29*88))*Settings!$B$7*1*1*1.2)</f>
        <v/>
      </c>
      <c r="J77" s="13" t="s">
        <v>3746</v>
      </c>
      <c r="K77" s="13" t="s">
        <v>4136</v>
      </c>
      <c r="L77" s="14" t="s">
        <v>4140</v>
      </c>
      <c r="M77" s="14" t="s">
        <v>4159</v>
      </c>
      <c r="N77" s="13" t="s">
        <v>3750</v>
      </c>
      <c r="O77" s="13" t="str">
        <f aca="false">IF(H77="","D","C")</f>
        <v>D</v>
      </c>
      <c r="P77" s="14" t="s">
        <v>4158</v>
      </c>
    </row>
    <row r="78" customFormat="false" ht="43.25" hidden="false" customHeight="false" outlineLevel="0" collapsed="false">
      <c r="A78" s="13" t="s">
        <v>316</v>
      </c>
      <c r="B78" s="13" t="s">
        <v>3756</v>
      </c>
      <c r="C78" s="14" t="s">
        <v>317</v>
      </c>
      <c r="D78" s="14" t="s">
        <v>3757</v>
      </c>
      <c r="E78" s="25"/>
      <c r="F78" s="13" t="s">
        <v>4135</v>
      </c>
      <c r="G78" s="24" t="str">
        <f aca="false">IF($E78="","",$E78*60/(Settings!$B$30+200/(Settings!$B$28*88)+200/(Settings!$B$29*88))*Settings!$B$7*1*0.75*0.8)</f>
        <v/>
      </c>
      <c r="H78" s="24" t="str">
        <f aca="false">IF($E78="","",$E78*60/(Settings!$B$30+200/(Settings!$B$28*88)+200/(Settings!$B$29*88))*Settings!$B$7*1*0.75)</f>
        <v/>
      </c>
      <c r="I78" s="24" t="str">
        <f aca="false">IF($E78="","",$E78*60/(Settings!$B$30+200/(Settings!$B$28*88)+200/(Settings!$B$29*88))*Settings!$B$7*1*1*1.2)</f>
        <v/>
      </c>
      <c r="J78" s="13" t="s">
        <v>3746</v>
      </c>
      <c r="K78" s="13" t="s">
        <v>4136</v>
      </c>
      <c r="L78" s="14" t="s">
        <v>4151</v>
      </c>
      <c r="M78" s="14" t="s">
        <v>4160</v>
      </c>
      <c r="N78" s="13" t="s">
        <v>3750</v>
      </c>
      <c r="O78" s="13" t="str">
        <f aca="false">IF(H78="","D","C")</f>
        <v>D</v>
      </c>
      <c r="P78" s="14" t="s">
        <v>4158</v>
      </c>
    </row>
    <row r="79" customFormat="false" ht="43.25" hidden="false" customHeight="false" outlineLevel="0" collapsed="false">
      <c r="A79" s="13" t="s">
        <v>316</v>
      </c>
      <c r="B79" s="13" t="s">
        <v>3762</v>
      </c>
      <c r="C79" s="14" t="s">
        <v>317</v>
      </c>
      <c r="D79" s="14" t="s">
        <v>3764</v>
      </c>
      <c r="E79" s="25"/>
      <c r="F79" s="13" t="s">
        <v>4135</v>
      </c>
      <c r="G79" s="24" t="str">
        <f aca="false">IF($E79="","",$E79*60/(Settings!$B$30+50/(Settings!$B$28*88)+50/(Settings!$B$29*88))*Settings!$B$7*1.2*0.75*0.8)</f>
        <v/>
      </c>
      <c r="H79" s="24" t="str">
        <f aca="false">IF($E79="","",$E79*60/(Settings!$B$30+50/(Settings!$B$28*88)+50/(Settings!$B$29*88))*Settings!$B$7*1.2*0.75)</f>
        <v/>
      </c>
      <c r="I79" s="24" t="str">
        <f aca="false">IF($E79="","",$E79*60/(Settings!$B$30+50/(Settings!$B$28*88)+50/(Settings!$B$29*88))*Settings!$B$7*1.2*1*1.2)</f>
        <v/>
      </c>
      <c r="J79" s="13" t="s">
        <v>3746</v>
      </c>
      <c r="K79" s="13" t="s">
        <v>4136</v>
      </c>
      <c r="L79" s="14" t="s">
        <v>4142</v>
      </c>
      <c r="M79" s="14" t="s">
        <v>4161</v>
      </c>
      <c r="N79" s="13" t="s">
        <v>3750</v>
      </c>
      <c r="O79" s="13" t="str">
        <f aca="false">IF(H79="","D","C")</f>
        <v>D</v>
      </c>
      <c r="P79" s="14" t="s">
        <v>4158</v>
      </c>
    </row>
    <row r="80" customFormat="false" ht="43.25" hidden="false" customHeight="false" outlineLevel="0" collapsed="false">
      <c r="A80" s="13" t="s">
        <v>320</v>
      </c>
      <c r="B80" s="13" t="s">
        <v>3751</v>
      </c>
      <c r="C80" s="14" t="s">
        <v>321</v>
      </c>
      <c r="D80" s="14" t="s">
        <v>3753</v>
      </c>
      <c r="E80" s="25"/>
      <c r="F80" s="13" t="s">
        <v>4135</v>
      </c>
      <c r="G80" s="24" t="str">
        <f aca="false">IF($E80="","",$E80*60/(Settings!$B$30+100/(Settings!$B$28*88)+100/(Settings!$B$29*88))*Settings!$B$7*1*0.75*0.8)</f>
        <v/>
      </c>
      <c r="H80" s="24" t="str">
        <f aca="false">IF($E80="","",$E80*60/(Settings!$B$30+100/(Settings!$B$28*88)+100/(Settings!$B$29*88))*Settings!$B$7*1*0.75)</f>
        <v/>
      </c>
      <c r="I80" s="24" t="str">
        <f aca="false">IF($E80="","",$E80*60/(Settings!$B$30+100/(Settings!$B$28*88)+100/(Settings!$B$29*88))*Settings!$B$7*1*1*1.2)</f>
        <v/>
      </c>
      <c r="J80" s="13" t="s">
        <v>3746</v>
      </c>
      <c r="K80" s="13" t="s">
        <v>4136</v>
      </c>
      <c r="L80" s="14" t="s">
        <v>4140</v>
      </c>
      <c r="M80" s="14" t="s">
        <v>4159</v>
      </c>
      <c r="N80" s="13" t="s">
        <v>3750</v>
      </c>
      <c r="O80" s="13" t="str">
        <f aca="false">IF(H80="","D","C")</f>
        <v>D</v>
      </c>
      <c r="P80" s="14" t="s">
        <v>4158</v>
      </c>
    </row>
    <row r="81" customFormat="false" ht="43.25" hidden="false" customHeight="false" outlineLevel="0" collapsed="false">
      <c r="A81" s="13" t="s">
        <v>320</v>
      </c>
      <c r="B81" s="13" t="s">
        <v>3756</v>
      </c>
      <c r="C81" s="14" t="s">
        <v>321</v>
      </c>
      <c r="D81" s="14" t="s">
        <v>3757</v>
      </c>
      <c r="E81" s="25"/>
      <c r="F81" s="13" t="s">
        <v>4135</v>
      </c>
      <c r="G81" s="24" t="str">
        <f aca="false">IF($E81="","",$E81*60/(Settings!$B$30+200/(Settings!$B$28*88)+200/(Settings!$B$29*88))*Settings!$B$7*1*0.75*0.8)</f>
        <v/>
      </c>
      <c r="H81" s="24" t="str">
        <f aca="false">IF($E81="","",$E81*60/(Settings!$B$30+200/(Settings!$B$28*88)+200/(Settings!$B$29*88))*Settings!$B$7*1*0.75)</f>
        <v/>
      </c>
      <c r="I81" s="24" t="str">
        <f aca="false">IF($E81="","",$E81*60/(Settings!$B$30+200/(Settings!$B$28*88)+200/(Settings!$B$29*88))*Settings!$B$7*1*1*1.2)</f>
        <v/>
      </c>
      <c r="J81" s="13" t="s">
        <v>3746</v>
      </c>
      <c r="K81" s="13" t="s">
        <v>4136</v>
      </c>
      <c r="L81" s="14" t="s">
        <v>4151</v>
      </c>
      <c r="M81" s="14" t="s">
        <v>4160</v>
      </c>
      <c r="N81" s="13" t="s">
        <v>3750</v>
      </c>
      <c r="O81" s="13" t="str">
        <f aca="false">IF(H81="","D","C")</f>
        <v>D</v>
      </c>
      <c r="P81" s="14" t="s">
        <v>4158</v>
      </c>
    </row>
    <row r="82" customFormat="false" ht="43.25" hidden="false" customHeight="false" outlineLevel="0" collapsed="false">
      <c r="A82" s="13" t="s">
        <v>320</v>
      </c>
      <c r="B82" s="13" t="s">
        <v>3762</v>
      </c>
      <c r="C82" s="14" t="s">
        <v>321</v>
      </c>
      <c r="D82" s="14" t="s">
        <v>3764</v>
      </c>
      <c r="E82" s="25"/>
      <c r="F82" s="13" t="s">
        <v>4135</v>
      </c>
      <c r="G82" s="24" t="str">
        <f aca="false">IF($E82="","",$E82*60/(Settings!$B$30+50/(Settings!$B$28*88)+50/(Settings!$B$29*88))*Settings!$B$7*1.2*0.75*0.8)</f>
        <v/>
      </c>
      <c r="H82" s="24" t="str">
        <f aca="false">IF($E82="","",$E82*60/(Settings!$B$30+50/(Settings!$B$28*88)+50/(Settings!$B$29*88))*Settings!$B$7*1.2*0.75)</f>
        <v/>
      </c>
      <c r="I82" s="24" t="str">
        <f aca="false">IF($E82="","",$E82*60/(Settings!$B$30+50/(Settings!$B$28*88)+50/(Settings!$B$29*88))*Settings!$B$7*1.2*1*1.2)</f>
        <v/>
      </c>
      <c r="J82" s="13" t="s">
        <v>3746</v>
      </c>
      <c r="K82" s="13" t="s">
        <v>4136</v>
      </c>
      <c r="L82" s="14" t="s">
        <v>4142</v>
      </c>
      <c r="M82" s="14" t="s">
        <v>4161</v>
      </c>
      <c r="N82" s="13" t="s">
        <v>3750</v>
      </c>
      <c r="O82" s="13" t="str">
        <f aca="false">IF(H82="","D","C")</f>
        <v>D</v>
      </c>
      <c r="P82" s="14" t="s">
        <v>4158</v>
      </c>
    </row>
    <row r="83" customFormat="false" ht="43.25" hidden="false" customHeight="false" outlineLevel="0" collapsed="false">
      <c r="A83" s="13" t="s">
        <v>325</v>
      </c>
      <c r="B83" s="13" t="s">
        <v>3751</v>
      </c>
      <c r="C83" s="14" t="s">
        <v>326</v>
      </c>
      <c r="D83" s="14" t="s">
        <v>3753</v>
      </c>
      <c r="E83" s="25"/>
      <c r="F83" s="13" t="s">
        <v>4135</v>
      </c>
      <c r="G83" s="24" t="str">
        <f aca="false">IF($E83="","",$E83*60/(Settings!$B$30+100/(Settings!$B$28*88)+100/(Settings!$B$29*88))*Settings!$B$7*1*0.75*0.8)</f>
        <v/>
      </c>
      <c r="H83" s="24" t="str">
        <f aca="false">IF($E83="","",$E83*60/(Settings!$B$30+100/(Settings!$B$28*88)+100/(Settings!$B$29*88))*Settings!$B$7*1*0.75)</f>
        <v/>
      </c>
      <c r="I83" s="24" t="str">
        <f aca="false">IF($E83="","",$E83*60/(Settings!$B$30+100/(Settings!$B$28*88)+100/(Settings!$B$29*88))*Settings!$B$7*1*1*1.2)</f>
        <v/>
      </c>
      <c r="J83" s="13" t="s">
        <v>3746</v>
      </c>
      <c r="K83" s="13" t="s">
        <v>4136</v>
      </c>
      <c r="L83" s="14" t="s">
        <v>4140</v>
      </c>
      <c r="M83" s="14" t="s">
        <v>4159</v>
      </c>
      <c r="N83" s="13" t="s">
        <v>3750</v>
      </c>
      <c r="O83" s="13" t="str">
        <f aca="false">IF(H83="","D","C")</f>
        <v>D</v>
      </c>
      <c r="P83" s="14" t="s">
        <v>4158</v>
      </c>
    </row>
    <row r="84" customFormat="false" ht="43.25" hidden="false" customHeight="false" outlineLevel="0" collapsed="false">
      <c r="A84" s="13" t="s">
        <v>325</v>
      </c>
      <c r="B84" s="13" t="s">
        <v>3756</v>
      </c>
      <c r="C84" s="14" t="s">
        <v>326</v>
      </c>
      <c r="D84" s="14" t="s">
        <v>3757</v>
      </c>
      <c r="E84" s="25"/>
      <c r="F84" s="13" t="s">
        <v>4135</v>
      </c>
      <c r="G84" s="24" t="str">
        <f aca="false">IF($E84="","",$E84*60/(Settings!$B$30+200/(Settings!$B$28*88)+200/(Settings!$B$29*88))*Settings!$B$7*1*0.75*0.8)</f>
        <v/>
      </c>
      <c r="H84" s="24" t="str">
        <f aca="false">IF($E84="","",$E84*60/(Settings!$B$30+200/(Settings!$B$28*88)+200/(Settings!$B$29*88))*Settings!$B$7*1*0.75)</f>
        <v/>
      </c>
      <c r="I84" s="24" t="str">
        <f aca="false">IF($E84="","",$E84*60/(Settings!$B$30+200/(Settings!$B$28*88)+200/(Settings!$B$29*88))*Settings!$B$7*1*1*1.2)</f>
        <v/>
      </c>
      <c r="J84" s="13" t="s">
        <v>3746</v>
      </c>
      <c r="K84" s="13" t="s">
        <v>4136</v>
      </c>
      <c r="L84" s="14" t="s">
        <v>4151</v>
      </c>
      <c r="M84" s="14" t="s">
        <v>4160</v>
      </c>
      <c r="N84" s="13" t="s">
        <v>3750</v>
      </c>
      <c r="O84" s="13" t="str">
        <f aca="false">IF(H84="","D","C")</f>
        <v>D</v>
      </c>
      <c r="P84" s="14" t="s">
        <v>4158</v>
      </c>
    </row>
    <row r="85" customFormat="false" ht="43.25" hidden="false" customHeight="false" outlineLevel="0" collapsed="false">
      <c r="A85" s="13" t="s">
        <v>325</v>
      </c>
      <c r="B85" s="13" t="s">
        <v>3762</v>
      </c>
      <c r="C85" s="14" t="s">
        <v>326</v>
      </c>
      <c r="D85" s="14" t="s">
        <v>3764</v>
      </c>
      <c r="E85" s="25"/>
      <c r="F85" s="13" t="s">
        <v>4135</v>
      </c>
      <c r="G85" s="24" t="str">
        <f aca="false">IF($E85="","",$E85*60/(Settings!$B$30+50/(Settings!$B$28*88)+50/(Settings!$B$29*88))*Settings!$B$7*1.2*0.75*0.8)</f>
        <v/>
      </c>
      <c r="H85" s="24" t="str">
        <f aca="false">IF($E85="","",$E85*60/(Settings!$B$30+50/(Settings!$B$28*88)+50/(Settings!$B$29*88))*Settings!$B$7*1.2*0.75)</f>
        <v/>
      </c>
      <c r="I85" s="24" t="str">
        <f aca="false">IF($E85="","",$E85*60/(Settings!$B$30+50/(Settings!$B$28*88)+50/(Settings!$B$29*88))*Settings!$B$7*1.2*1*1.2)</f>
        <v/>
      </c>
      <c r="J85" s="13" t="s">
        <v>3746</v>
      </c>
      <c r="K85" s="13" t="s">
        <v>4136</v>
      </c>
      <c r="L85" s="14" t="s">
        <v>4142</v>
      </c>
      <c r="M85" s="14" t="s">
        <v>4161</v>
      </c>
      <c r="N85" s="13" t="s">
        <v>3750</v>
      </c>
      <c r="O85" s="13" t="str">
        <f aca="false">IF(H85="","D","C")</f>
        <v>D</v>
      </c>
      <c r="P85" s="14" t="s">
        <v>4158</v>
      </c>
    </row>
    <row r="86" customFormat="false" ht="32.8" hidden="false" customHeight="false" outlineLevel="0" collapsed="false">
      <c r="A86" s="13" t="s">
        <v>329</v>
      </c>
      <c r="B86" s="13" t="s">
        <v>3790</v>
      </c>
      <c r="C86" s="14" t="s">
        <v>332</v>
      </c>
      <c r="D86" s="14" t="s">
        <v>3792</v>
      </c>
      <c r="E86" s="25"/>
      <c r="F86" s="13" t="s">
        <v>4210</v>
      </c>
      <c r="G86" s="24" t="str">
        <f aca="false">IF($E86="","",3600/IF($E86&lt;1,14,15)*$E86*0.8*Settings!$B$7*0.8*0.98)</f>
        <v/>
      </c>
      <c r="H86" s="24" t="str">
        <f aca="false">IF($E86="","",3600/IF($E86&lt;1,14,15)*$E86*1*Settings!$B$7*0.8*0.98)</f>
        <v/>
      </c>
      <c r="I86" s="24" t="str">
        <f aca="false">IF($E86="","",3600/IF($E86&lt;1,14,15)*$E86*1.1*Settings!$B$7*0.8*0.98)</f>
        <v/>
      </c>
      <c r="J86" s="13" t="s">
        <v>3776</v>
      </c>
      <c r="K86" s="13" t="s">
        <v>4136</v>
      </c>
      <c r="L86" s="14" t="s">
        <v>4211</v>
      </c>
      <c r="M86" s="14" t="s">
        <v>4212</v>
      </c>
      <c r="N86" s="13" t="s">
        <v>4213</v>
      </c>
      <c r="O86" s="13" t="str">
        <f aca="false">IF(H86="","D","C")</f>
        <v>D</v>
      </c>
      <c r="P86" s="14" t="s">
        <v>4214</v>
      </c>
    </row>
    <row r="87" customFormat="false" ht="32.8" hidden="false" customHeight="false" outlineLevel="0" collapsed="false">
      <c r="A87" s="13" t="s">
        <v>329</v>
      </c>
      <c r="B87" s="13" t="s">
        <v>3802</v>
      </c>
      <c r="C87" s="14" t="s">
        <v>332</v>
      </c>
      <c r="D87" s="14" t="s">
        <v>3803</v>
      </c>
      <c r="E87" s="25"/>
      <c r="F87" s="13" t="s">
        <v>4210</v>
      </c>
      <c r="G87" s="24" t="str">
        <f aca="false">IF($E87="","",3600/IF($E87&lt;1,14,15)*$E87*0.8*Settings!$B$7*0.8*0.95)</f>
        <v/>
      </c>
      <c r="H87" s="24" t="str">
        <f aca="false">IF($E87="","",3600/IF($E87&lt;1,14,15)*$E87*1*Settings!$B$7*0.8*0.95)</f>
        <v/>
      </c>
      <c r="I87" s="24" t="str">
        <f aca="false">IF($E87="","",3600/IF($E87&lt;1,14,15)*$E87*1.1*Settings!$B$7*0.8*0.95)</f>
        <v/>
      </c>
      <c r="J87" s="13" t="s">
        <v>3776</v>
      </c>
      <c r="K87" s="13" t="s">
        <v>4136</v>
      </c>
      <c r="L87" s="14" t="s">
        <v>4215</v>
      </c>
      <c r="M87" s="14" t="s">
        <v>4216</v>
      </c>
      <c r="N87" s="13" t="s">
        <v>4213</v>
      </c>
      <c r="O87" s="13" t="str">
        <f aca="false">IF(H87="","D","C")</f>
        <v>D</v>
      </c>
      <c r="P87" s="14" t="s">
        <v>4214</v>
      </c>
    </row>
    <row r="88" customFormat="false" ht="32.8" hidden="false" customHeight="false" outlineLevel="0" collapsed="false">
      <c r="A88" s="13" t="s">
        <v>329</v>
      </c>
      <c r="B88" s="13" t="s">
        <v>3806</v>
      </c>
      <c r="C88" s="14" t="s">
        <v>332</v>
      </c>
      <c r="D88" s="14" t="s">
        <v>3808</v>
      </c>
      <c r="E88" s="25"/>
      <c r="F88" s="13" t="s">
        <v>4210</v>
      </c>
      <c r="G88" s="24" t="str">
        <f aca="false">IF($E88="","",3600/IF($E88&lt;1,14,15)*$E88*0.85*Settings!$B$7*1*1)</f>
        <v/>
      </c>
      <c r="H88" s="24" t="str">
        <f aca="false">IF($E88="","",3600/IF($E88&lt;1,14,15)*$E88*0.95*Settings!$B$7*1*1)</f>
        <v/>
      </c>
      <c r="I88" s="24" t="str">
        <f aca="false">IF($E88="","",3600/IF($E88&lt;1,14,15)*$E88*1*Settings!$B$7*1*1)</f>
        <v/>
      </c>
      <c r="J88" s="13" t="s">
        <v>3746</v>
      </c>
      <c r="K88" s="13" t="s">
        <v>4136</v>
      </c>
      <c r="L88" s="14" t="s">
        <v>4217</v>
      </c>
      <c r="M88" s="14" t="s">
        <v>4218</v>
      </c>
      <c r="N88" s="13" t="s">
        <v>4219</v>
      </c>
      <c r="O88" s="13" t="str">
        <f aca="false">IF(H88="","D","C")</f>
        <v>D</v>
      </c>
      <c r="P88" s="14" t="s">
        <v>4214</v>
      </c>
    </row>
    <row r="89" customFormat="false" ht="32.8" hidden="false" customHeight="false" outlineLevel="0" collapsed="false">
      <c r="A89" s="13" t="s">
        <v>342</v>
      </c>
      <c r="B89" s="13" t="s">
        <v>3790</v>
      </c>
      <c r="C89" s="14" t="s">
        <v>344</v>
      </c>
      <c r="D89" s="14" t="s">
        <v>3792</v>
      </c>
      <c r="E89" s="23" t="n">
        <v>0.15</v>
      </c>
      <c r="F89" s="13" t="s">
        <v>4210</v>
      </c>
      <c r="G89" s="24" t="n">
        <f aca="false">IF($E89="","",3600/IF($E89&lt;1,14,15)*$E89*0.8*Settings!$B$7*0.8*0.98)</f>
        <v>20.07936</v>
      </c>
      <c r="H89" s="24" t="n">
        <f aca="false">IF($E89="","",3600/IF($E89&lt;1,14,15)*$E89*1*Settings!$B$7*0.8*0.98)</f>
        <v>25.0992</v>
      </c>
      <c r="I89" s="24" t="n">
        <f aca="false">IF($E89="","",3600/IF($E89&lt;1,14,15)*$E89*1.1*Settings!$B$7*0.8*0.98)</f>
        <v>27.60912</v>
      </c>
      <c r="J89" s="13" t="s">
        <v>3776</v>
      </c>
      <c r="K89" s="13" t="s">
        <v>4136</v>
      </c>
      <c r="L89" s="14" t="s">
        <v>4211</v>
      </c>
      <c r="M89" s="14" t="s">
        <v>4220</v>
      </c>
      <c r="N89" s="13" t="s">
        <v>4221</v>
      </c>
      <c r="O89" s="13" t="str">
        <f aca="false">IF(H89="","D","C")</f>
        <v>C</v>
      </c>
      <c r="P89" s="14"/>
    </row>
    <row r="90" customFormat="false" ht="32.8" hidden="false" customHeight="false" outlineLevel="0" collapsed="false">
      <c r="A90" s="13" t="s">
        <v>342</v>
      </c>
      <c r="B90" s="13" t="s">
        <v>3802</v>
      </c>
      <c r="C90" s="14" t="s">
        <v>344</v>
      </c>
      <c r="D90" s="14" t="s">
        <v>3803</v>
      </c>
      <c r="E90" s="23" t="n">
        <v>0.15</v>
      </c>
      <c r="F90" s="13" t="s">
        <v>4210</v>
      </c>
      <c r="G90" s="24" t="n">
        <f aca="false">IF($E90="","",3600/IF($E90&lt;1,14,15)*$E90*0.8*Settings!$B$7*0.8*0.95)</f>
        <v>19.4646857142857</v>
      </c>
      <c r="H90" s="24" t="n">
        <f aca="false">IF($E90="","",3600/IF($E90&lt;1,14,15)*$E90*1*Settings!$B$7*0.8*0.95)</f>
        <v>24.3308571428571</v>
      </c>
      <c r="I90" s="24" t="n">
        <f aca="false">IF($E90="","",3600/IF($E90&lt;1,14,15)*$E90*1.1*Settings!$B$7*0.8*0.95)</f>
        <v>26.7639428571429</v>
      </c>
      <c r="J90" s="13" t="s">
        <v>3776</v>
      </c>
      <c r="K90" s="13" t="s">
        <v>4136</v>
      </c>
      <c r="L90" s="14" t="s">
        <v>4215</v>
      </c>
      <c r="M90" s="14" t="s">
        <v>4222</v>
      </c>
      <c r="N90" s="13" t="s">
        <v>4221</v>
      </c>
      <c r="O90" s="13" t="str">
        <f aca="false">IF(H90="","D","C")</f>
        <v>C</v>
      </c>
      <c r="P90" s="14"/>
    </row>
    <row r="91" customFormat="false" ht="32.8" hidden="false" customHeight="false" outlineLevel="0" collapsed="false">
      <c r="A91" s="13" t="s">
        <v>342</v>
      </c>
      <c r="B91" s="13" t="s">
        <v>3806</v>
      </c>
      <c r="C91" s="14" t="s">
        <v>344</v>
      </c>
      <c r="D91" s="14" t="s">
        <v>3808</v>
      </c>
      <c r="E91" s="23" t="n">
        <v>0.15</v>
      </c>
      <c r="F91" s="13" t="s">
        <v>4210</v>
      </c>
      <c r="G91" s="24" t="n">
        <f aca="false">IF($E91="","",3600/IF($E91&lt;1,14,15)*$E91*0.85*Settings!$B$7*1*1)</f>
        <v>27.2121428571429</v>
      </c>
      <c r="H91" s="24" t="n">
        <f aca="false">IF($E91="","",3600/IF($E91&lt;1,14,15)*$E91*0.95*Settings!$B$7*1*1)</f>
        <v>30.4135714285714</v>
      </c>
      <c r="I91" s="24" t="n">
        <f aca="false">IF($E91="","",3600/IF($E91&lt;1,14,15)*$E91*1*Settings!$B$7*1*1)</f>
        <v>32.0142857142857</v>
      </c>
      <c r="J91" s="13" t="s">
        <v>3746</v>
      </c>
      <c r="K91" s="13" t="s">
        <v>4136</v>
      </c>
      <c r="L91" s="14" t="s">
        <v>4217</v>
      </c>
      <c r="M91" s="14" t="s">
        <v>4223</v>
      </c>
      <c r="N91" s="13" t="s">
        <v>4224</v>
      </c>
      <c r="O91" s="13" t="str">
        <f aca="false">IF(H91="","D","C")</f>
        <v>C</v>
      </c>
      <c r="P91" s="14"/>
    </row>
    <row r="92" customFormat="false" ht="22.35" hidden="false" customHeight="false" outlineLevel="0" collapsed="false">
      <c r="A92" s="13" t="s">
        <v>342</v>
      </c>
      <c r="B92" s="13" t="s">
        <v>4027</v>
      </c>
      <c r="C92" s="14" t="s">
        <v>344</v>
      </c>
      <c r="D92" s="14" t="s">
        <v>4028</v>
      </c>
      <c r="E92" s="13"/>
      <c r="F92" s="13"/>
      <c r="G92" s="24" t="n">
        <v>100</v>
      </c>
      <c r="H92" s="24" t="n">
        <v>300</v>
      </c>
      <c r="I92" s="24" t="n">
        <v>800</v>
      </c>
      <c r="J92" s="13" t="s">
        <v>3972</v>
      </c>
      <c r="K92" s="13" t="s">
        <v>3879</v>
      </c>
      <c r="L92" s="14" t="s">
        <v>4225</v>
      </c>
      <c r="M92" s="14" t="s">
        <v>4226</v>
      </c>
      <c r="N92" s="13" t="s">
        <v>3977</v>
      </c>
      <c r="O92" s="13" t="s">
        <v>192</v>
      </c>
      <c r="P92" s="14"/>
    </row>
    <row r="93" customFormat="false" ht="32.8" hidden="false" customHeight="false" outlineLevel="0" collapsed="false">
      <c r="A93" s="13" t="s">
        <v>350</v>
      </c>
      <c r="B93" s="13" t="s">
        <v>3790</v>
      </c>
      <c r="C93" s="14" t="s">
        <v>352</v>
      </c>
      <c r="D93" s="14" t="s">
        <v>3792</v>
      </c>
      <c r="E93" s="25"/>
      <c r="F93" s="13" t="s">
        <v>4210</v>
      </c>
      <c r="G93" s="24" t="str">
        <f aca="false">IF($E93="","",3600/IF($E93&lt;1,14,15)*$E93*0.8*Settings!$B$7*0.8*0.98)</f>
        <v/>
      </c>
      <c r="H93" s="24" t="str">
        <f aca="false">IF($E93="","",3600/IF($E93&lt;1,14,15)*$E93*1*Settings!$B$7*0.8*0.98)</f>
        <v/>
      </c>
      <c r="I93" s="24" t="str">
        <f aca="false">IF($E93="","",3600/IF($E93&lt;1,14,15)*$E93*1.1*Settings!$B$7*0.8*0.98)</f>
        <v/>
      </c>
      <c r="J93" s="13" t="s">
        <v>3776</v>
      </c>
      <c r="K93" s="13" t="s">
        <v>4136</v>
      </c>
      <c r="L93" s="14" t="s">
        <v>4211</v>
      </c>
      <c r="M93" s="14" t="s">
        <v>4212</v>
      </c>
      <c r="N93" s="13" t="s">
        <v>4213</v>
      </c>
      <c r="O93" s="13" t="str">
        <f aca="false">IF(H93="","D","C")</f>
        <v>D</v>
      </c>
      <c r="P93" s="14" t="s">
        <v>4214</v>
      </c>
    </row>
    <row r="94" customFormat="false" ht="43.25" hidden="false" customHeight="false" outlineLevel="0" collapsed="false">
      <c r="A94" s="13" t="s">
        <v>350</v>
      </c>
      <c r="B94" s="13" t="s">
        <v>3796</v>
      </c>
      <c r="C94" s="14" t="s">
        <v>352</v>
      </c>
      <c r="D94" s="14" t="s">
        <v>3797</v>
      </c>
      <c r="E94" s="25"/>
      <c r="F94" s="13" t="s">
        <v>4210</v>
      </c>
      <c r="G94" s="24" t="str">
        <f aca="false">IF($E94="","",3600/IF($E94&lt;1,14,15)*$E94*0.8*Settings!$B$7*0.8*0.98)</f>
        <v/>
      </c>
      <c r="H94" s="24" t="str">
        <f aca="false">IF($E94="","",3600/IF($E94&lt;1,14,15)*$E94*1*Settings!$B$7*0.8*0.98)</f>
        <v/>
      </c>
      <c r="I94" s="24" t="str">
        <f aca="false">IF($E94="","",3600/IF($E94&lt;1,14,15)*$E94*1.1*Settings!$B$7*0.8*0.98)</f>
        <v/>
      </c>
      <c r="J94" s="13" t="s">
        <v>3776</v>
      </c>
      <c r="K94" s="13" t="s">
        <v>4136</v>
      </c>
      <c r="L94" s="14" t="s">
        <v>4227</v>
      </c>
      <c r="M94" s="14" t="s">
        <v>4212</v>
      </c>
      <c r="N94" s="13" t="s">
        <v>4213</v>
      </c>
      <c r="O94" s="13" t="str">
        <f aca="false">IF(H94="","D","C")</f>
        <v>D</v>
      </c>
      <c r="P94" s="14" t="s">
        <v>4214</v>
      </c>
    </row>
    <row r="95" customFormat="false" ht="32.8" hidden="false" customHeight="false" outlineLevel="0" collapsed="false">
      <c r="A95" s="13" t="s">
        <v>350</v>
      </c>
      <c r="B95" s="13" t="s">
        <v>3802</v>
      </c>
      <c r="C95" s="14" t="s">
        <v>352</v>
      </c>
      <c r="D95" s="14" t="s">
        <v>3803</v>
      </c>
      <c r="E95" s="25"/>
      <c r="F95" s="13" t="s">
        <v>4210</v>
      </c>
      <c r="G95" s="24" t="str">
        <f aca="false">IF($E95="","",3600/IF($E95&lt;1,14,15)*$E95*0.8*Settings!$B$7*0.8*0.95)</f>
        <v/>
      </c>
      <c r="H95" s="24" t="str">
        <f aca="false">IF($E95="","",3600/IF($E95&lt;1,14,15)*$E95*1*Settings!$B$7*0.8*0.95)</f>
        <v/>
      </c>
      <c r="I95" s="24" t="str">
        <f aca="false">IF($E95="","",3600/IF($E95&lt;1,14,15)*$E95*1.1*Settings!$B$7*0.8*0.95)</f>
        <v/>
      </c>
      <c r="J95" s="13" t="s">
        <v>3776</v>
      </c>
      <c r="K95" s="13" t="s">
        <v>4136</v>
      </c>
      <c r="L95" s="14" t="s">
        <v>4215</v>
      </c>
      <c r="M95" s="14" t="s">
        <v>4216</v>
      </c>
      <c r="N95" s="13" t="s">
        <v>4213</v>
      </c>
      <c r="O95" s="13" t="str">
        <f aca="false">IF(H95="","D","C")</f>
        <v>D</v>
      </c>
      <c r="P95" s="14" t="s">
        <v>4214</v>
      </c>
    </row>
    <row r="96" customFormat="false" ht="32.8" hidden="false" customHeight="false" outlineLevel="0" collapsed="false">
      <c r="A96" s="13" t="s">
        <v>350</v>
      </c>
      <c r="B96" s="13" t="s">
        <v>3806</v>
      </c>
      <c r="C96" s="14" t="s">
        <v>352</v>
      </c>
      <c r="D96" s="14" t="s">
        <v>3808</v>
      </c>
      <c r="E96" s="25"/>
      <c r="F96" s="13" t="s">
        <v>4210</v>
      </c>
      <c r="G96" s="24" t="str">
        <f aca="false">IF($E96="","",3600/IF($E96&lt;1,14,15)*$E96*0.85*Settings!$B$7*1*1)</f>
        <v/>
      </c>
      <c r="H96" s="24" t="str">
        <f aca="false">IF($E96="","",3600/IF($E96&lt;1,14,15)*$E96*0.95*Settings!$B$7*1*1)</f>
        <v/>
      </c>
      <c r="I96" s="24" t="str">
        <f aca="false">IF($E96="","",3600/IF($E96&lt;1,14,15)*$E96*1*Settings!$B$7*1*1)</f>
        <v/>
      </c>
      <c r="J96" s="13" t="s">
        <v>3746</v>
      </c>
      <c r="K96" s="13" t="s">
        <v>4136</v>
      </c>
      <c r="L96" s="14" t="s">
        <v>4217</v>
      </c>
      <c r="M96" s="14" t="s">
        <v>4218</v>
      </c>
      <c r="N96" s="13" t="s">
        <v>4219</v>
      </c>
      <c r="O96" s="13" t="str">
        <f aca="false">IF(H96="","D","C")</f>
        <v>D</v>
      </c>
      <c r="P96" s="14" t="s">
        <v>4214</v>
      </c>
    </row>
    <row r="97" customFormat="false" ht="22.35" hidden="false" customHeight="false" outlineLevel="0" collapsed="false">
      <c r="A97" s="13" t="s">
        <v>350</v>
      </c>
      <c r="B97" s="13" t="s">
        <v>4027</v>
      </c>
      <c r="C97" s="14" t="s">
        <v>352</v>
      </c>
      <c r="D97" s="14" t="s">
        <v>4028</v>
      </c>
      <c r="E97" s="13"/>
      <c r="F97" s="13"/>
      <c r="G97" s="24" t="n">
        <v>100</v>
      </c>
      <c r="H97" s="24" t="n">
        <v>300</v>
      </c>
      <c r="I97" s="24" t="n">
        <v>800</v>
      </c>
      <c r="J97" s="13" t="s">
        <v>3972</v>
      </c>
      <c r="K97" s="13" t="s">
        <v>3879</v>
      </c>
      <c r="L97" s="14" t="s">
        <v>4225</v>
      </c>
      <c r="M97" s="14" t="s">
        <v>4226</v>
      </c>
      <c r="N97" s="13" t="s">
        <v>3977</v>
      </c>
      <c r="O97" s="13" t="s">
        <v>192</v>
      </c>
      <c r="P97" s="14"/>
    </row>
    <row r="98" customFormat="false" ht="32.8" hidden="false" customHeight="false" outlineLevel="0" collapsed="false">
      <c r="A98" s="13" t="s">
        <v>359</v>
      </c>
      <c r="B98" s="13" t="s">
        <v>474</v>
      </c>
      <c r="C98" s="14" t="s">
        <v>361</v>
      </c>
      <c r="D98" s="14" t="s">
        <v>3782</v>
      </c>
      <c r="E98" s="23" t="n">
        <v>0.26</v>
      </c>
      <c r="F98" s="13" t="s">
        <v>4210</v>
      </c>
      <c r="G98" s="24" t="n">
        <f aca="false">IF($E98="","",3600/IF($E98&lt;1,14,15)*$E98*0.8*Settings!$B$7*0.8*1)</f>
        <v>35.5145142857143</v>
      </c>
      <c r="H98" s="24" t="n">
        <f aca="false">IF($E98="","",3600/IF($E98&lt;1,14,15)*$E98*1*Settings!$B$7*0.8*1)</f>
        <v>44.3931428571429</v>
      </c>
      <c r="I98" s="24" t="n">
        <f aca="false">IF($E98="","",3600/IF($E98&lt;1,14,15)*$E98*1.1*Settings!$B$7*0.8*1)</f>
        <v>48.8324571428572</v>
      </c>
      <c r="J98" s="13" t="s">
        <v>3776</v>
      </c>
      <c r="K98" s="13" t="s">
        <v>4136</v>
      </c>
      <c r="L98" s="14" t="s">
        <v>4228</v>
      </c>
      <c r="M98" s="14" t="s">
        <v>4229</v>
      </c>
      <c r="N98" s="13" t="s">
        <v>4230</v>
      </c>
      <c r="O98" s="13" t="str">
        <f aca="false">IF(H98="","D","C")</f>
        <v>C</v>
      </c>
      <c r="P98" s="14"/>
    </row>
    <row r="99" customFormat="false" ht="32.8" hidden="false" customHeight="false" outlineLevel="0" collapsed="false">
      <c r="A99" s="13" t="s">
        <v>359</v>
      </c>
      <c r="B99" s="13" t="s">
        <v>464</v>
      </c>
      <c r="C99" s="14" t="s">
        <v>361</v>
      </c>
      <c r="D99" s="14" t="s">
        <v>3786</v>
      </c>
      <c r="E99" s="23" t="n">
        <v>0.26</v>
      </c>
      <c r="F99" s="13" t="s">
        <v>4210</v>
      </c>
      <c r="G99" s="24" t="n">
        <f aca="false">IF($E99="","",3600/IF($E99&lt;1,14,15)*$E99*0.8*Settings!$B$7*0.8*1)</f>
        <v>35.5145142857143</v>
      </c>
      <c r="H99" s="24" t="n">
        <f aca="false">IF($E99="","",3600/IF($E99&lt;1,14,15)*$E99*1*Settings!$B$7*0.8*1)</f>
        <v>44.3931428571429</v>
      </c>
      <c r="I99" s="24" t="n">
        <f aca="false">IF($E99="","",3600/IF($E99&lt;1,14,15)*$E99*1.1*Settings!$B$7*0.8*1)</f>
        <v>48.8324571428572</v>
      </c>
      <c r="J99" s="13" t="s">
        <v>3776</v>
      </c>
      <c r="K99" s="13" t="s">
        <v>4136</v>
      </c>
      <c r="L99" s="14" t="s">
        <v>4228</v>
      </c>
      <c r="M99" s="14" t="s">
        <v>4229</v>
      </c>
      <c r="N99" s="13" t="s">
        <v>4230</v>
      </c>
      <c r="O99" s="13" t="str">
        <f aca="false">IF(H99="","D","C")</f>
        <v>C</v>
      </c>
      <c r="P99" s="14"/>
    </row>
    <row r="100" customFormat="false" ht="32.8" hidden="false" customHeight="false" outlineLevel="0" collapsed="false">
      <c r="A100" s="13" t="s">
        <v>359</v>
      </c>
      <c r="B100" s="13" t="s">
        <v>3790</v>
      </c>
      <c r="C100" s="14" t="s">
        <v>361</v>
      </c>
      <c r="D100" s="14" t="s">
        <v>3792</v>
      </c>
      <c r="E100" s="23" t="n">
        <v>0.26</v>
      </c>
      <c r="F100" s="13" t="s">
        <v>4210</v>
      </c>
      <c r="G100" s="24" t="n">
        <f aca="false">IF($E100="","",3600/IF($E100&lt;1,14,15)*$E100*0.8*Settings!$B$7*0.8*0.98)</f>
        <v>34.804224</v>
      </c>
      <c r="H100" s="24" t="n">
        <f aca="false">IF($E100="","",3600/IF($E100&lt;1,14,15)*$E100*1*Settings!$B$7*0.8*0.98)</f>
        <v>43.50528</v>
      </c>
      <c r="I100" s="24" t="n">
        <f aca="false">IF($E100="","",3600/IF($E100&lt;1,14,15)*$E100*1.1*Settings!$B$7*0.8*0.98)</f>
        <v>47.855808</v>
      </c>
      <c r="J100" s="13" t="s">
        <v>3776</v>
      </c>
      <c r="K100" s="13" t="s">
        <v>4136</v>
      </c>
      <c r="L100" s="14" t="s">
        <v>4211</v>
      </c>
      <c r="M100" s="14" t="s">
        <v>4231</v>
      </c>
      <c r="N100" s="13" t="s">
        <v>4232</v>
      </c>
      <c r="O100" s="13" t="str">
        <f aca="false">IF(H100="","D","C")</f>
        <v>C</v>
      </c>
      <c r="P100" s="14"/>
    </row>
    <row r="101" customFormat="false" ht="43.25" hidden="false" customHeight="false" outlineLevel="0" collapsed="false">
      <c r="A101" s="13" t="s">
        <v>359</v>
      </c>
      <c r="B101" s="13" t="s">
        <v>3796</v>
      </c>
      <c r="C101" s="14" t="s">
        <v>361</v>
      </c>
      <c r="D101" s="14" t="s">
        <v>3797</v>
      </c>
      <c r="E101" s="23" t="n">
        <v>0.26</v>
      </c>
      <c r="F101" s="13" t="s">
        <v>4210</v>
      </c>
      <c r="G101" s="24" t="n">
        <f aca="false">IF($E101="","",3600/IF($E101&lt;1,14,15)*$E101*0.8*Settings!$B$7*0.8*0.98)</f>
        <v>34.804224</v>
      </c>
      <c r="H101" s="24" t="n">
        <f aca="false">IF($E101="","",3600/IF($E101&lt;1,14,15)*$E101*1*Settings!$B$7*0.8*0.98)</f>
        <v>43.50528</v>
      </c>
      <c r="I101" s="24" t="n">
        <f aca="false">IF($E101="","",3600/IF($E101&lt;1,14,15)*$E101*1.1*Settings!$B$7*0.8*0.98)</f>
        <v>47.855808</v>
      </c>
      <c r="J101" s="13" t="s">
        <v>3776</v>
      </c>
      <c r="K101" s="13" t="s">
        <v>4136</v>
      </c>
      <c r="L101" s="14" t="s">
        <v>4227</v>
      </c>
      <c r="M101" s="14" t="s">
        <v>4231</v>
      </c>
      <c r="N101" s="13" t="s">
        <v>4232</v>
      </c>
      <c r="O101" s="13" t="str">
        <f aca="false">IF(H101="","D","C")</f>
        <v>C</v>
      </c>
      <c r="P101" s="14"/>
    </row>
    <row r="102" customFormat="false" ht="32.8" hidden="false" customHeight="false" outlineLevel="0" collapsed="false">
      <c r="A102" s="13" t="s">
        <v>359</v>
      </c>
      <c r="B102" s="13" t="s">
        <v>3802</v>
      </c>
      <c r="C102" s="14" t="s">
        <v>361</v>
      </c>
      <c r="D102" s="14" t="s">
        <v>3803</v>
      </c>
      <c r="E102" s="23" t="n">
        <v>0.26</v>
      </c>
      <c r="F102" s="13" t="s">
        <v>4210</v>
      </c>
      <c r="G102" s="24" t="n">
        <f aca="false">IF($E102="","",3600/IF($E102&lt;1,14,15)*$E102*0.8*Settings!$B$7*0.8*0.95)</f>
        <v>33.7387885714286</v>
      </c>
      <c r="H102" s="24" t="n">
        <f aca="false">IF($E102="","",3600/IF($E102&lt;1,14,15)*$E102*1*Settings!$B$7*0.8*0.95)</f>
        <v>42.1734857142857</v>
      </c>
      <c r="I102" s="24" t="n">
        <f aca="false">IF($E102="","",3600/IF($E102&lt;1,14,15)*$E102*1.1*Settings!$B$7*0.8*0.95)</f>
        <v>46.3908342857143</v>
      </c>
      <c r="J102" s="13" t="s">
        <v>3776</v>
      </c>
      <c r="K102" s="13" t="s">
        <v>4136</v>
      </c>
      <c r="L102" s="14" t="s">
        <v>4215</v>
      </c>
      <c r="M102" s="14" t="s">
        <v>4233</v>
      </c>
      <c r="N102" s="13" t="s">
        <v>4232</v>
      </c>
      <c r="O102" s="13" t="str">
        <f aca="false">IF(H102="","D","C")</f>
        <v>C</v>
      </c>
      <c r="P102" s="14"/>
    </row>
    <row r="103" customFormat="false" ht="32.8" hidden="false" customHeight="false" outlineLevel="0" collapsed="false">
      <c r="A103" s="13" t="s">
        <v>359</v>
      </c>
      <c r="B103" s="13" t="s">
        <v>3806</v>
      </c>
      <c r="C103" s="14" t="s">
        <v>361</v>
      </c>
      <c r="D103" s="14" t="s">
        <v>3808</v>
      </c>
      <c r="E103" s="23" t="n">
        <v>0.26</v>
      </c>
      <c r="F103" s="13" t="s">
        <v>4210</v>
      </c>
      <c r="G103" s="24" t="n">
        <f aca="false">IF($E103="","",3600/IF($E103&lt;1,14,15)*$E103*0.85*Settings!$B$7*1*1)</f>
        <v>47.1677142857143</v>
      </c>
      <c r="H103" s="24" t="n">
        <f aca="false">IF($E103="","",3600/IF($E103&lt;1,14,15)*$E103*0.95*Settings!$B$7*1*1)</f>
        <v>52.7168571428571</v>
      </c>
      <c r="I103" s="24" t="n">
        <f aca="false">IF($E103="","",3600/IF($E103&lt;1,14,15)*$E103*1*Settings!$B$7*1*1)</f>
        <v>55.4914285714286</v>
      </c>
      <c r="J103" s="13" t="s">
        <v>3746</v>
      </c>
      <c r="K103" s="13" t="s">
        <v>4136</v>
      </c>
      <c r="L103" s="14" t="s">
        <v>4217</v>
      </c>
      <c r="M103" s="14" t="s">
        <v>4234</v>
      </c>
      <c r="N103" s="13" t="s">
        <v>4235</v>
      </c>
      <c r="O103" s="13" t="str">
        <f aca="false">IF(H103="","D","C")</f>
        <v>C</v>
      </c>
      <c r="P103" s="14"/>
    </row>
    <row r="104" customFormat="false" ht="22.35" hidden="false" customHeight="false" outlineLevel="0" collapsed="false">
      <c r="A104" s="13" t="s">
        <v>359</v>
      </c>
      <c r="B104" s="13" t="s">
        <v>4016</v>
      </c>
      <c r="C104" s="14" t="s">
        <v>361</v>
      </c>
      <c r="D104" s="14" t="s">
        <v>4018</v>
      </c>
      <c r="E104" s="13"/>
      <c r="F104" s="13"/>
      <c r="G104" s="24" t="n">
        <v>300</v>
      </c>
      <c r="H104" s="24" t="n">
        <v>800</v>
      </c>
      <c r="I104" s="24" t="n">
        <v>1500</v>
      </c>
      <c r="J104" s="13" t="s">
        <v>3972</v>
      </c>
      <c r="K104" s="13" t="s">
        <v>4236</v>
      </c>
      <c r="L104" s="14" t="s">
        <v>4237</v>
      </c>
      <c r="M104" s="14" t="s">
        <v>4238</v>
      </c>
      <c r="N104" s="13" t="s">
        <v>3977</v>
      </c>
      <c r="O104" s="13" t="s">
        <v>192</v>
      </c>
      <c r="P104" s="14"/>
    </row>
    <row r="105" customFormat="false" ht="22.35" hidden="false" customHeight="false" outlineLevel="0" collapsed="false">
      <c r="A105" s="13" t="s">
        <v>359</v>
      </c>
      <c r="B105" s="13" t="s">
        <v>2843</v>
      </c>
      <c r="C105" s="14" t="s">
        <v>361</v>
      </c>
      <c r="D105" s="14" t="s">
        <v>4097</v>
      </c>
      <c r="E105" s="13"/>
      <c r="F105" s="13"/>
      <c r="G105" s="24" t="n">
        <v>410</v>
      </c>
      <c r="H105" s="24" t="n">
        <v>1000</v>
      </c>
      <c r="I105" s="24" t="n">
        <v>4000</v>
      </c>
      <c r="J105" s="13" t="s">
        <v>3953</v>
      </c>
      <c r="K105" s="13" t="s">
        <v>4239</v>
      </c>
      <c r="L105" s="14" t="s">
        <v>4097</v>
      </c>
      <c r="M105" s="14" t="s">
        <v>4240</v>
      </c>
      <c r="N105" s="13" t="s">
        <v>4005</v>
      </c>
      <c r="O105" s="13" t="s">
        <v>213</v>
      </c>
      <c r="P105" s="14"/>
    </row>
    <row r="106" customFormat="false" ht="32.8" hidden="false" customHeight="false" outlineLevel="0" collapsed="false">
      <c r="A106" s="13" t="s">
        <v>369</v>
      </c>
      <c r="B106" s="13" t="s">
        <v>474</v>
      </c>
      <c r="C106" s="14" t="s">
        <v>371</v>
      </c>
      <c r="D106" s="14" t="s">
        <v>3782</v>
      </c>
      <c r="E106" s="25"/>
      <c r="F106" s="13" t="s">
        <v>4210</v>
      </c>
      <c r="G106" s="24" t="str">
        <f aca="false">IF($E106="","",3600/IF($E106&lt;1,14,15)*$E106*0.8*Settings!$B$7*0.8*1)</f>
        <v/>
      </c>
      <c r="H106" s="24" t="str">
        <f aca="false">IF($E106="","",3600/IF($E106&lt;1,14,15)*$E106*1*Settings!$B$7*0.8*1)</f>
        <v/>
      </c>
      <c r="I106" s="24" t="str">
        <f aca="false">IF($E106="","",3600/IF($E106&lt;1,14,15)*$E106*1.1*Settings!$B$7*0.8*1)</f>
        <v/>
      </c>
      <c r="J106" s="13" t="s">
        <v>3776</v>
      </c>
      <c r="K106" s="13" t="s">
        <v>4136</v>
      </c>
      <c r="L106" s="14" t="s">
        <v>4228</v>
      </c>
      <c r="M106" s="14" t="s">
        <v>4241</v>
      </c>
      <c r="N106" s="13" t="s">
        <v>3785</v>
      </c>
      <c r="O106" s="13" t="str">
        <f aca="false">IF(H106="","D","C")</f>
        <v>D</v>
      </c>
      <c r="P106" s="14" t="s">
        <v>4214</v>
      </c>
    </row>
    <row r="107" customFormat="false" ht="32.8" hidden="false" customHeight="false" outlineLevel="0" collapsed="false">
      <c r="A107" s="13" t="s">
        <v>369</v>
      </c>
      <c r="B107" s="13" t="s">
        <v>464</v>
      </c>
      <c r="C107" s="14" t="s">
        <v>371</v>
      </c>
      <c r="D107" s="14" t="s">
        <v>3786</v>
      </c>
      <c r="E107" s="25"/>
      <c r="F107" s="13" t="s">
        <v>4210</v>
      </c>
      <c r="G107" s="24" t="str">
        <f aca="false">IF($E107="","",3600/IF($E107&lt;1,14,15)*$E107*0.8*Settings!$B$7*0.8*1)</f>
        <v/>
      </c>
      <c r="H107" s="24" t="str">
        <f aca="false">IF($E107="","",3600/IF($E107&lt;1,14,15)*$E107*1*Settings!$B$7*0.8*1)</f>
        <v/>
      </c>
      <c r="I107" s="24" t="str">
        <f aca="false">IF($E107="","",3600/IF($E107&lt;1,14,15)*$E107*1.1*Settings!$B$7*0.8*1)</f>
        <v/>
      </c>
      <c r="J107" s="13" t="s">
        <v>3776</v>
      </c>
      <c r="K107" s="13" t="s">
        <v>4136</v>
      </c>
      <c r="L107" s="14" t="s">
        <v>4228</v>
      </c>
      <c r="M107" s="14" t="s">
        <v>4241</v>
      </c>
      <c r="N107" s="13" t="s">
        <v>3785</v>
      </c>
      <c r="O107" s="13" t="str">
        <f aca="false">IF(H107="","D","C")</f>
        <v>D</v>
      </c>
      <c r="P107" s="14" t="s">
        <v>4214</v>
      </c>
    </row>
    <row r="108" customFormat="false" ht="32.8" hidden="false" customHeight="false" outlineLevel="0" collapsed="false">
      <c r="A108" s="13" t="s">
        <v>369</v>
      </c>
      <c r="B108" s="13" t="s">
        <v>3790</v>
      </c>
      <c r="C108" s="14" t="s">
        <v>371</v>
      </c>
      <c r="D108" s="14" t="s">
        <v>3792</v>
      </c>
      <c r="E108" s="25"/>
      <c r="F108" s="13" t="s">
        <v>4210</v>
      </c>
      <c r="G108" s="24" t="str">
        <f aca="false">IF($E108="","",3600/IF($E108&lt;1,14,15)*$E108*0.8*Settings!$B$7*0.8*0.98)</f>
        <v/>
      </c>
      <c r="H108" s="24" t="str">
        <f aca="false">IF($E108="","",3600/IF($E108&lt;1,14,15)*$E108*1*Settings!$B$7*0.8*0.98)</f>
        <v/>
      </c>
      <c r="I108" s="24" t="str">
        <f aca="false">IF($E108="","",3600/IF($E108&lt;1,14,15)*$E108*1.1*Settings!$B$7*0.8*0.98)</f>
        <v/>
      </c>
      <c r="J108" s="13" t="s">
        <v>3776</v>
      </c>
      <c r="K108" s="13" t="s">
        <v>4136</v>
      </c>
      <c r="L108" s="14" t="s">
        <v>4211</v>
      </c>
      <c r="M108" s="14" t="s">
        <v>4212</v>
      </c>
      <c r="N108" s="13" t="s">
        <v>4213</v>
      </c>
      <c r="O108" s="13" t="str">
        <f aca="false">IF(H108="","D","C")</f>
        <v>D</v>
      </c>
      <c r="P108" s="14" t="s">
        <v>4214</v>
      </c>
    </row>
    <row r="109" customFormat="false" ht="43.25" hidden="false" customHeight="false" outlineLevel="0" collapsed="false">
      <c r="A109" s="13" t="s">
        <v>369</v>
      </c>
      <c r="B109" s="13" t="s">
        <v>3796</v>
      </c>
      <c r="C109" s="14" t="s">
        <v>371</v>
      </c>
      <c r="D109" s="14" t="s">
        <v>3797</v>
      </c>
      <c r="E109" s="25"/>
      <c r="F109" s="13" t="s">
        <v>4210</v>
      </c>
      <c r="G109" s="24" t="str">
        <f aca="false">IF($E109="","",3600/IF($E109&lt;1,14,15)*$E109*0.8*Settings!$B$7*0.8*0.98)</f>
        <v/>
      </c>
      <c r="H109" s="24" t="str">
        <f aca="false">IF($E109="","",3600/IF($E109&lt;1,14,15)*$E109*1*Settings!$B$7*0.8*0.98)</f>
        <v/>
      </c>
      <c r="I109" s="24" t="str">
        <f aca="false">IF($E109="","",3600/IF($E109&lt;1,14,15)*$E109*1.1*Settings!$B$7*0.8*0.98)</f>
        <v/>
      </c>
      <c r="J109" s="13" t="s">
        <v>3776</v>
      </c>
      <c r="K109" s="13" t="s">
        <v>4136</v>
      </c>
      <c r="L109" s="14" t="s">
        <v>4227</v>
      </c>
      <c r="M109" s="14" t="s">
        <v>4212</v>
      </c>
      <c r="N109" s="13" t="s">
        <v>4213</v>
      </c>
      <c r="O109" s="13" t="str">
        <f aca="false">IF(H109="","D","C")</f>
        <v>D</v>
      </c>
      <c r="P109" s="14" t="s">
        <v>4214</v>
      </c>
    </row>
    <row r="110" customFormat="false" ht="32.8" hidden="false" customHeight="false" outlineLevel="0" collapsed="false">
      <c r="A110" s="13" t="s">
        <v>369</v>
      </c>
      <c r="B110" s="13" t="s">
        <v>3802</v>
      </c>
      <c r="C110" s="14" t="s">
        <v>371</v>
      </c>
      <c r="D110" s="14" t="s">
        <v>3803</v>
      </c>
      <c r="E110" s="25"/>
      <c r="F110" s="13" t="s">
        <v>4210</v>
      </c>
      <c r="G110" s="24" t="str">
        <f aca="false">IF($E110="","",3600/IF($E110&lt;1,14,15)*$E110*0.8*Settings!$B$7*0.8*0.95)</f>
        <v/>
      </c>
      <c r="H110" s="24" t="str">
        <f aca="false">IF($E110="","",3600/IF($E110&lt;1,14,15)*$E110*1*Settings!$B$7*0.8*0.95)</f>
        <v/>
      </c>
      <c r="I110" s="24" t="str">
        <f aca="false">IF($E110="","",3600/IF($E110&lt;1,14,15)*$E110*1.1*Settings!$B$7*0.8*0.95)</f>
        <v/>
      </c>
      <c r="J110" s="13" t="s">
        <v>3776</v>
      </c>
      <c r="K110" s="13" t="s">
        <v>4136</v>
      </c>
      <c r="L110" s="14" t="s">
        <v>4215</v>
      </c>
      <c r="M110" s="14" t="s">
        <v>4216</v>
      </c>
      <c r="N110" s="13" t="s">
        <v>4213</v>
      </c>
      <c r="O110" s="13" t="str">
        <f aca="false">IF(H110="","D","C")</f>
        <v>D</v>
      </c>
      <c r="P110" s="14" t="s">
        <v>4214</v>
      </c>
    </row>
    <row r="111" customFormat="false" ht="32.8" hidden="false" customHeight="false" outlineLevel="0" collapsed="false">
      <c r="A111" s="13" t="s">
        <v>369</v>
      </c>
      <c r="B111" s="13" t="s">
        <v>3806</v>
      </c>
      <c r="C111" s="14" t="s">
        <v>371</v>
      </c>
      <c r="D111" s="14" t="s">
        <v>3808</v>
      </c>
      <c r="E111" s="25"/>
      <c r="F111" s="13" t="s">
        <v>4210</v>
      </c>
      <c r="G111" s="24" t="str">
        <f aca="false">IF($E111="","",3600/IF($E111&lt;1,14,15)*$E111*0.85*Settings!$B$7*1*1)</f>
        <v/>
      </c>
      <c r="H111" s="24" t="str">
        <f aca="false">IF($E111="","",3600/IF($E111&lt;1,14,15)*$E111*0.95*Settings!$B$7*1*1)</f>
        <v/>
      </c>
      <c r="I111" s="24" t="str">
        <f aca="false">IF($E111="","",3600/IF($E111&lt;1,14,15)*$E111*1*Settings!$B$7*1*1)</f>
        <v/>
      </c>
      <c r="J111" s="13" t="s">
        <v>3746</v>
      </c>
      <c r="K111" s="13" t="s">
        <v>4136</v>
      </c>
      <c r="L111" s="14" t="s">
        <v>4217</v>
      </c>
      <c r="M111" s="14" t="s">
        <v>4218</v>
      </c>
      <c r="N111" s="13" t="s">
        <v>4219</v>
      </c>
      <c r="O111" s="13" t="str">
        <f aca="false">IF(H111="","D","C")</f>
        <v>D</v>
      </c>
      <c r="P111" s="14" t="s">
        <v>4214</v>
      </c>
    </row>
    <row r="112" customFormat="false" ht="22.35" hidden="false" customHeight="false" outlineLevel="0" collapsed="false">
      <c r="A112" s="13" t="s">
        <v>369</v>
      </c>
      <c r="B112" s="13" t="s">
        <v>4016</v>
      </c>
      <c r="C112" s="14" t="s">
        <v>371</v>
      </c>
      <c r="D112" s="14" t="s">
        <v>4018</v>
      </c>
      <c r="E112" s="13"/>
      <c r="F112" s="13"/>
      <c r="G112" s="24" t="n">
        <v>300</v>
      </c>
      <c r="H112" s="24" t="n">
        <v>800</v>
      </c>
      <c r="I112" s="24" t="n">
        <v>1500</v>
      </c>
      <c r="J112" s="13" t="s">
        <v>3972</v>
      </c>
      <c r="K112" s="13" t="s">
        <v>4236</v>
      </c>
      <c r="L112" s="14" t="s">
        <v>4237</v>
      </c>
      <c r="M112" s="14" t="s">
        <v>4238</v>
      </c>
      <c r="N112" s="13" t="s">
        <v>3977</v>
      </c>
      <c r="O112" s="13" t="s">
        <v>192</v>
      </c>
      <c r="P112" s="14"/>
    </row>
    <row r="113" customFormat="false" ht="32.8" hidden="false" customHeight="false" outlineLevel="0" collapsed="false">
      <c r="A113" s="13" t="s">
        <v>376</v>
      </c>
      <c r="B113" s="13" t="s">
        <v>474</v>
      </c>
      <c r="C113" s="14" t="s">
        <v>378</v>
      </c>
      <c r="D113" s="14" t="s">
        <v>3782</v>
      </c>
      <c r="E113" s="23" t="n">
        <v>0.75</v>
      </c>
      <c r="F113" s="13" t="s">
        <v>4210</v>
      </c>
      <c r="G113" s="24" t="n">
        <f aca="false">IF($E113="","",3600/IF($E113&lt;1,14,15)*$E113*0.8*Settings!$B$7*0.8*1)</f>
        <v>102.445714285714</v>
      </c>
      <c r="H113" s="24" t="n">
        <f aca="false">IF($E113="","",3600/IF($E113&lt;1,14,15)*$E113*1*Settings!$B$7*0.8*1)</f>
        <v>128.057142857143</v>
      </c>
      <c r="I113" s="24" t="n">
        <f aca="false">IF($E113="","",3600/IF($E113&lt;1,14,15)*$E113*1.1*Settings!$B$7*0.8*1)</f>
        <v>140.862857142857</v>
      </c>
      <c r="J113" s="13" t="s">
        <v>3776</v>
      </c>
      <c r="K113" s="13" t="s">
        <v>4136</v>
      </c>
      <c r="L113" s="14" t="s">
        <v>4228</v>
      </c>
      <c r="M113" s="14" t="s">
        <v>4242</v>
      </c>
      <c r="N113" s="13" t="s">
        <v>4243</v>
      </c>
      <c r="O113" s="13" t="str">
        <f aca="false">IF(H113="","D","C")</f>
        <v>C</v>
      </c>
      <c r="P113" s="14"/>
    </row>
    <row r="114" customFormat="false" ht="32.8" hidden="false" customHeight="false" outlineLevel="0" collapsed="false">
      <c r="A114" s="13" t="s">
        <v>376</v>
      </c>
      <c r="B114" s="13" t="s">
        <v>464</v>
      </c>
      <c r="C114" s="14" t="s">
        <v>378</v>
      </c>
      <c r="D114" s="14" t="s">
        <v>3786</v>
      </c>
      <c r="E114" s="23" t="n">
        <v>0.75</v>
      </c>
      <c r="F114" s="13" t="s">
        <v>4210</v>
      </c>
      <c r="G114" s="24" t="n">
        <f aca="false">IF($E114="","",3600/IF($E114&lt;1,14,15)*$E114*0.8*Settings!$B$7*0.8*1)</f>
        <v>102.445714285714</v>
      </c>
      <c r="H114" s="24" t="n">
        <f aca="false">IF($E114="","",3600/IF($E114&lt;1,14,15)*$E114*1*Settings!$B$7*0.8*1)</f>
        <v>128.057142857143</v>
      </c>
      <c r="I114" s="24" t="n">
        <f aca="false">IF($E114="","",3600/IF($E114&lt;1,14,15)*$E114*1.1*Settings!$B$7*0.8*1)</f>
        <v>140.862857142857</v>
      </c>
      <c r="J114" s="13" t="s">
        <v>3776</v>
      </c>
      <c r="K114" s="13" t="s">
        <v>4136</v>
      </c>
      <c r="L114" s="14" t="s">
        <v>4228</v>
      </c>
      <c r="M114" s="14" t="s">
        <v>4242</v>
      </c>
      <c r="N114" s="13" t="s">
        <v>4243</v>
      </c>
      <c r="O114" s="13" t="str">
        <f aca="false">IF(H114="","D","C")</f>
        <v>C</v>
      </c>
      <c r="P114" s="14"/>
    </row>
    <row r="115" customFormat="false" ht="32.8" hidden="false" customHeight="false" outlineLevel="0" collapsed="false">
      <c r="A115" s="13" t="s">
        <v>376</v>
      </c>
      <c r="B115" s="13" t="s">
        <v>3790</v>
      </c>
      <c r="C115" s="14" t="s">
        <v>378</v>
      </c>
      <c r="D115" s="14" t="s">
        <v>3792</v>
      </c>
      <c r="E115" s="23" t="n">
        <v>0.75</v>
      </c>
      <c r="F115" s="13" t="s">
        <v>4210</v>
      </c>
      <c r="G115" s="24" t="n">
        <f aca="false">IF($E115="","",3600/IF($E115&lt;1,14,15)*$E115*0.8*Settings!$B$7*0.8*0.98)</f>
        <v>100.3968</v>
      </c>
      <c r="H115" s="24" t="n">
        <f aca="false">IF($E115="","",3600/IF($E115&lt;1,14,15)*$E115*1*Settings!$B$7*0.8*0.98)</f>
        <v>125.496</v>
      </c>
      <c r="I115" s="24" t="n">
        <f aca="false">IF($E115="","",3600/IF($E115&lt;1,14,15)*$E115*1.1*Settings!$B$7*0.8*0.98)</f>
        <v>138.0456</v>
      </c>
      <c r="J115" s="13" t="s">
        <v>3776</v>
      </c>
      <c r="K115" s="13" t="s">
        <v>4136</v>
      </c>
      <c r="L115" s="14" t="s">
        <v>4211</v>
      </c>
      <c r="M115" s="14" t="s">
        <v>4244</v>
      </c>
      <c r="N115" s="13" t="s">
        <v>4245</v>
      </c>
      <c r="O115" s="13" t="str">
        <f aca="false">IF(H115="","D","C")</f>
        <v>C</v>
      </c>
      <c r="P115" s="14"/>
    </row>
    <row r="116" customFormat="false" ht="43.25" hidden="false" customHeight="false" outlineLevel="0" collapsed="false">
      <c r="A116" s="13" t="s">
        <v>376</v>
      </c>
      <c r="B116" s="13" t="s">
        <v>3796</v>
      </c>
      <c r="C116" s="14" t="s">
        <v>378</v>
      </c>
      <c r="D116" s="14" t="s">
        <v>3797</v>
      </c>
      <c r="E116" s="23" t="n">
        <v>0.75</v>
      </c>
      <c r="F116" s="13" t="s">
        <v>4210</v>
      </c>
      <c r="G116" s="24" t="n">
        <f aca="false">IF($E116="","",3600/IF($E116&lt;1,14,15)*$E116*0.8*Settings!$B$7*0.8*0.98)</f>
        <v>100.3968</v>
      </c>
      <c r="H116" s="24" t="n">
        <f aca="false">IF($E116="","",3600/IF($E116&lt;1,14,15)*$E116*1*Settings!$B$7*0.8*0.98)</f>
        <v>125.496</v>
      </c>
      <c r="I116" s="24" t="n">
        <f aca="false">IF($E116="","",3600/IF($E116&lt;1,14,15)*$E116*1.1*Settings!$B$7*0.8*0.98)</f>
        <v>138.0456</v>
      </c>
      <c r="J116" s="13" t="s">
        <v>3776</v>
      </c>
      <c r="K116" s="13" t="s">
        <v>4136</v>
      </c>
      <c r="L116" s="14" t="s">
        <v>4227</v>
      </c>
      <c r="M116" s="14" t="s">
        <v>4244</v>
      </c>
      <c r="N116" s="13" t="s">
        <v>4245</v>
      </c>
      <c r="O116" s="13" t="str">
        <f aca="false">IF(H116="","D","C")</f>
        <v>C</v>
      </c>
      <c r="P116" s="14"/>
    </row>
    <row r="117" customFormat="false" ht="32.8" hidden="false" customHeight="false" outlineLevel="0" collapsed="false">
      <c r="A117" s="13" t="s">
        <v>376</v>
      </c>
      <c r="B117" s="13" t="s">
        <v>3802</v>
      </c>
      <c r="C117" s="14" t="s">
        <v>378</v>
      </c>
      <c r="D117" s="14" t="s">
        <v>3803</v>
      </c>
      <c r="E117" s="23" t="n">
        <v>0.75</v>
      </c>
      <c r="F117" s="13" t="s">
        <v>4210</v>
      </c>
      <c r="G117" s="24" t="n">
        <f aca="false">IF($E117="","",3600/IF($E117&lt;1,14,15)*$E117*0.8*Settings!$B$7*0.8*0.95)</f>
        <v>97.3234285714286</v>
      </c>
      <c r="H117" s="24" t="n">
        <f aca="false">IF($E117="","",3600/IF($E117&lt;1,14,15)*$E117*1*Settings!$B$7*0.8*0.95)</f>
        <v>121.654285714286</v>
      </c>
      <c r="I117" s="24" t="n">
        <f aca="false">IF($E117="","",3600/IF($E117&lt;1,14,15)*$E117*1.1*Settings!$B$7*0.8*0.95)</f>
        <v>133.819714285714</v>
      </c>
      <c r="J117" s="13" t="s">
        <v>3776</v>
      </c>
      <c r="K117" s="13" t="s">
        <v>4136</v>
      </c>
      <c r="L117" s="14" t="s">
        <v>4215</v>
      </c>
      <c r="M117" s="14" t="s">
        <v>4246</v>
      </c>
      <c r="N117" s="13" t="s">
        <v>4245</v>
      </c>
      <c r="O117" s="13" t="str">
        <f aca="false">IF(H117="","D","C")</f>
        <v>C</v>
      </c>
      <c r="P117" s="14"/>
    </row>
    <row r="118" customFormat="false" ht="32.8" hidden="false" customHeight="false" outlineLevel="0" collapsed="false">
      <c r="A118" s="13" t="s">
        <v>376</v>
      </c>
      <c r="B118" s="13" t="s">
        <v>3806</v>
      </c>
      <c r="C118" s="14" t="s">
        <v>378</v>
      </c>
      <c r="D118" s="14" t="s">
        <v>3808</v>
      </c>
      <c r="E118" s="23" t="n">
        <v>0.75</v>
      </c>
      <c r="F118" s="13" t="s">
        <v>4210</v>
      </c>
      <c r="G118" s="24" t="n">
        <f aca="false">IF($E118="","",3600/IF($E118&lt;1,14,15)*$E118*0.85*Settings!$B$7*1*1)</f>
        <v>136.060714285714</v>
      </c>
      <c r="H118" s="24" t="n">
        <f aca="false">IF($E118="","",3600/IF($E118&lt;1,14,15)*$E118*0.95*Settings!$B$7*1*1)</f>
        <v>152.067857142857</v>
      </c>
      <c r="I118" s="24" t="n">
        <f aca="false">IF($E118="","",3600/IF($E118&lt;1,14,15)*$E118*1*Settings!$B$7*1*1)</f>
        <v>160.071428571429</v>
      </c>
      <c r="J118" s="13" t="s">
        <v>3746</v>
      </c>
      <c r="K118" s="13" t="s">
        <v>4136</v>
      </c>
      <c r="L118" s="14" t="s">
        <v>4217</v>
      </c>
      <c r="M118" s="14" t="s">
        <v>4247</v>
      </c>
      <c r="N118" s="13" t="s">
        <v>4248</v>
      </c>
      <c r="O118" s="13" t="str">
        <f aca="false">IF(H118="","D","C")</f>
        <v>C</v>
      </c>
      <c r="P118" s="14"/>
    </row>
    <row r="119" customFormat="false" ht="22.35" hidden="false" customHeight="false" outlineLevel="0" collapsed="false">
      <c r="A119" s="13" t="s">
        <v>376</v>
      </c>
      <c r="B119" s="13" t="s">
        <v>4016</v>
      </c>
      <c r="C119" s="14" t="s">
        <v>378</v>
      </c>
      <c r="D119" s="14" t="s">
        <v>4018</v>
      </c>
      <c r="E119" s="13"/>
      <c r="F119" s="13"/>
      <c r="G119" s="24" t="n">
        <v>300</v>
      </c>
      <c r="H119" s="24" t="n">
        <v>800</v>
      </c>
      <c r="I119" s="24" t="n">
        <v>1500</v>
      </c>
      <c r="J119" s="13" t="s">
        <v>3972</v>
      </c>
      <c r="K119" s="13" t="s">
        <v>4236</v>
      </c>
      <c r="L119" s="14" t="s">
        <v>4237</v>
      </c>
      <c r="M119" s="14" t="s">
        <v>4238</v>
      </c>
      <c r="N119" s="13" t="s">
        <v>3977</v>
      </c>
      <c r="O119" s="13" t="s">
        <v>192</v>
      </c>
      <c r="P119" s="14"/>
    </row>
    <row r="120" customFormat="false" ht="22.35" hidden="false" customHeight="false" outlineLevel="0" collapsed="false">
      <c r="A120" s="13" t="s">
        <v>376</v>
      </c>
      <c r="B120" s="13" t="s">
        <v>2843</v>
      </c>
      <c r="C120" s="14" t="s">
        <v>378</v>
      </c>
      <c r="D120" s="14" t="s">
        <v>4097</v>
      </c>
      <c r="E120" s="13"/>
      <c r="F120" s="13"/>
      <c r="G120" s="24" t="n">
        <v>410</v>
      </c>
      <c r="H120" s="24" t="n">
        <v>1000</v>
      </c>
      <c r="I120" s="24" t="n">
        <v>4000</v>
      </c>
      <c r="J120" s="13" t="s">
        <v>3953</v>
      </c>
      <c r="K120" s="13" t="s">
        <v>4239</v>
      </c>
      <c r="L120" s="14" t="s">
        <v>4097</v>
      </c>
      <c r="M120" s="14" t="s">
        <v>4240</v>
      </c>
      <c r="N120" s="13" t="s">
        <v>4005</v>
      </c>
      <c r="O120" s="13" t="s">
        <v>213</v>
      </c>
      <c r="P120" s="14"/>
    </row>
    <row r="121" customFormat="false" ht="43.25" hidden="false" customHeight="false" outlineLevel="0" collapsed="false">
      <c r="A121" s="13" t="s">
        <v>385</v>
      </c>
      <c r="B121" s="13" t="s">
        <v>474</v>
      </c>
      <c r="C121" s="14" t="s">
        <v>387</v>
      </c>
      <c r="D121" s="14" t="s">
        <v>3782</v>
      </c>
      <c r="E121" s="23" t="n">
        <v>0.899</v>
      </c>
      <c r="F121" s="13" t="s">
        <v>4210</v>
      </c>
      <c r="G121" s="24" t="n">
        <f aca="false">IF($E121="","",3600/IF($E121&lt;1,14,15)*$E121*0.8*Settings!$B$7*0.8*1)</f>
        <v>122.798262857143</v>
      </c>
      <c r="H121" s="24" t="n">
        <f aca="false">IF($E121="","",3600/IF($E121&lt;1,14,15)*$E121*1*Settings!$B$7*0.8*1)</f>
        <v>153.497828571429</v>
      </c>
      <c r="I121" s="24" t="n">
        <f aca="false">IF($E121="","",3600/IF($E121&lt;1,14,15)*$E121*1.1*Settings!$B$7*0.8*1)</f>
        <v>168.847611428571</v>
      </c>
      <c r="J121" s="13" t="s">
        <v>3776</v>
      </c>
      <c r="K121" s="13" t="s">
        <v>4136</v>
      </c>
      <c r="L121" s="14" t="s">
        <v>4228</v>
      </c>
      <c r="M121" s="14" t="s">
        <v>4249</v>
      </c>
      <c r="N121" s="13" t="s">
        <v>4250</v>
      </c>
      <c r="O121" s="13" t="str">
        <f aca="false">IF(H121="","D","C")</f>
        <v>C</v>
      </c>
      <c r="P121" s="14"/>
    </row>
    <row r="122" customFormat="false" ht="43.25" hidden="false" customHeight="false" outlineLevel="0" collapsed="false">
      <c r="A122" s="13" t="s">
        <v>385</v>
      </c>
      <c r="B122" s="13" t="s">
        <v>464</v>
      </c>
      <c r="C122" s="14" t="s">
        <v>387</v>
      </c>
      <c r="D122" s="14" t="s">
        <v>3786</v>
      </c>
      <c r="E122" s="23" t="n">
        <v>0.899</v>
      </c>
      <c r="F122" s="13" t="s">
        <v>4210</v>
      </c>
      <c r="G122" s="24" t="n">
        <f aca="false">IF($E122="","",3600/IF($E122&lt;1,14,15)*$E122*0.8*Settings!$B$7*0.8*1)</f>
        <v>122.798262857143</v>
      </c>
      <c r="H122" s="24" t="n">
        <f aca="false">IF($E122="","",3600/IF($E122&lt;1,14,15)*$E122*1*Settings!$B$7*0.8*1)</f>
        <v>153.497828571429</v>
      </c>
      <c r="I122" s="24" t="n">
        <f aca="false">IF($E122="","",3600/IF($E122&lt;1,14,15)*$E122*1.1*Settings!$B$7*0.8*1)</f>
        <v>168.847611428571</v>
      </c>
      <c r="J122" s="13" t="s">
        <v>3776</v>
      </c>
      <c r="K122" s="13" t="s">
        <v>4136</v>
      </c>
      <c r="L122" s="14" t="s">
        <v>4228</v>
      </c>
      <c r="M122" s="14" t="s">
        <v>4249</v>
      </c>
      <c r="N122" s="13" t="s">
        <v>4250</v>
      </c>
      <c r="O122" s="13" t="str">
        <f aca="false">IF(H122="","D","C")</f>
        <v>C</v>
      </c>
      <c r="P122" s="14"/>
    </row>
    <row r="123" customFormat="false" ht="43.25" hidden="false" customHeight="false" outlineLevel="0" collapsed="false">
      <c r="A123" s="13" t="s">
        <v>385</v>
      </c>
      <c r="B123" s="13" t="s">
        <v>3790</v>
      </c>
      <c r="C123" s="14" t="s">
        <v>387</v>
      </c>
      <c r="D123" s="14" t="s">
        <v>3792</v>
      </c>
      <c r="E123" s="23" t="n">
        <v>0.899</v>
      </c>
      <c r="F123" s="13" t="s">
        <v>4210</v>
      </c>
      <c r="G123" s="24" t="n">
        <f aca="false">IF($E123="","",3600/IF($E123&lt;1,14,15)*$E123*0.8*Settings!$B$7*0.8*0.98)</f>
        <v>120.3422976</v>
      </c>
      <c r="H123" s="24" t="n">
        <f aca="false">IF($E123="","",3600/IF($E123&lt;1,14,15)*$E123*1*Settings!$B$7*0.8*0.98)</f>
        <v>150.427872</v>
      </c>
      <c r="I123" s="24" t="n">
        <f aca="false">IF($E123="","",3600/IF($E123&lt;1,14,15)*$E123*1.1*Settings!$B$7*0.8*0.98)</f>
        <v>165.4706592</v>
      </c>
      <c r="J123" s="13" t="s">
        <v>3776</v>
      </c>
      <c r="K123" s="13" t="s">
        <v>4136</v>
      </c>
      <c r="L123" s="14" t="s">
        <v>4211</v>
      </c>
      <c r="M123" s="14" t="s">
        <v>4251</v>
      </c>
      <c r="N123" s="13" t="s">
        <v>4252</v>
      </c>
      <c r="O123" s="13" t="str">
        <f aca="false">IF(H123="","D","C")</f>
        <v>C</v>
      </c>
      <c r="P123" s="14"/>
    </row>
    <row r="124" customFormat="false" ht="43.25" hidden="false" customHeight="false" outlineLevel="0" collapsed="false">
      <c r="A124" s="13" t="s">
        <v>385</v>
      </c>
      <c r="B124" s="13" t="s">
        <v>3796</v>
      </c>
      <c r="C124" s="14" t="s">
        <v>387</v>
      </c>
      <c r="D124" s="14" t="s">
        <v>3797</v>
      </c>
      <c r="E124" s="23" t="n">
        <v>0.899</v>
      </c>
      <c r="F124" s="13" t="s">
        <v>4210</v>
      </c>
      <c r="G124" s="24" t="n">
        <f aca="false">IF($E124="","",3600/IF($E124&lt;1,14,15)*$E124*0.8*Settings!$B$7*0.8*0.98)</f>
        <v>120.3422976</v>
      </c>
      <c r="H124" s="24" t="n">
        <f aca="false">IF($E124="","",3600/IF($E124&lt;1,14,15)*$E124*1*Settings!$B$7*0.8*0.98)</f>
        <v>150.427872</v>
      </c>
      <c r="I124" s="24" t="n">
        <f aca="false">IF($E124="","",3600/IF($E124&lt;1,14,15)*$E124*1.1*Settings!$B$7*0.8*0.98)</f>
        <v>165.4706592</v>
      </c>
      <c r="J124" s="13" t="s">
        <v>3776</v>
      </c>
      <c r="K124" s="13" t="s">
        <v>4136</v>
      </c>
      <c r="L124" s="14" t="s">
        <v>4227</v>
      </c>
      <c r="M124" s="14" t="s">
        <v>4251</v>
      </c>
      <c r="N124" s="13" t="s">
        <v>4252</v>
      </c>
      <c r="O124" s="13" t="str">
        <f aca="false">IF(H124="","D","C")</f>
        <v>C</v>
      </c>
      <c r="P124" s="14"/>
    </row>
    <row r="125" customFormat="false" ht="43.25" hidden="false" customHeight="false" outlineLevel="0" collapsed="false">
      <c r="A125" s="13" t="s">
        <v>385</v>
      </c>
      <c r="B125" s="13" t="s">
        <v>3802</v>
      </c>
      <c r="C125" s="14" t="s">
        <v>387</v>
      </c>
      <c r="D125" s="14" t="s">
        <v>3803</v>
      </c>
      <c r="E125" s="23" t="n">
        <v>0.899</v>
      </c>
      <c r="F125" s="13" t="s">
        <v>4210</v>
      </c>
      <c r="G125" s="24" t="n">
        <f aca="false">IF($E125="","",3600/IF($E125&lt;1,14,15)*$E125*0.8*Settings!$B$7*0.8*0.95)</f>
        <v>116.658349714286</v>
      </c>
      <c r="H125" s="24" t="n">
        <f aca="false">IF($E125="","",3600/IF($E125&lt;1,14,15)*$E125*1*Settings!$B$7*0.8*0.95)</f>
        <v>145.822937142857</v>
      </c>
      <c r="I125" s="24" t="n">
        <f aca="false">IF($E125="","",3600/IF($E125&lt;1,14,15)*$E125*1.1*Settings!$B$7*0.8*0.95)</f>
        <v>160.405230857143</v>
      </c>
      <c r="J125" s="13" t="s">
        <v>3776</v>
      </c>
      <c r="K125" s="13" t="s">
        <v>4136</v>
      </c>
      <c r="L125" s="14" t="s">
        <v>4215</v>
      </c>
      <c r="M125" s="14" t="s">
        <v>4253</v>
      </c>
      <c r="N125" s="13" t="s">
        <v>4252</v>
      </c>
      <c r="O125" s="13" t="str">
        <f aca="false">IF(H125="","D","C")</f>
        <v>C</v>
      </c>
      <c r="P125" s="14"/>
    </row>
    <row r="126" customFormat="false" ht="32.8" hidden="false" customHeight="false" outlineLevel="0" collapsed="false">
      <c r="A126" s="13" t="s">
        <v>385</v>
      </c>
      <c r="B126" s="13" t="s">
        <v>3806</v>
      </c>
      <c r="C126" s="14" t="s">
        <v>387</v>
      </c>
      <c r="D126" s="14" t="s">
        <v>3808</v>
      </c>
      <c r="E126" s="23" t="n">
        <v>0.899</v>
      </c>
      <c r="F126" s="13" t="s">
        <v>4210</v>
      </c>
      <c r="G126" s="24" t="n">
        <f aca="false">IF($E126="","",3600/IF($E126&lt;1,14,15)*$E126*0.85*Settings!$B$7*1*1)</f>
        <v>163.091442857143</v>
      </c>
      <c r="H126" s="24" t="n">
        <f aca="false">IF($E126="","",3600/IF($E126&lt;1,14,15)*$E126*0.95*Settings!$B$7*1*1)</f>
        <v>182.278671428571</v>
      </c>
      <c r="I126" s="24" t="n">
        <f aca="false">IF($E126="","",3600/IF($E126&lt;1,14,15)*$E126*1*Settings!$B$7*1*1)</f>
        <v>191.872285714286</v>
      </c>
      <c r="J126" s="13" t="s">
        <v>3746</v>
      </c>
      <c r="K126" s="13" t="s">
        <v>4136</v>
      </c>
      <c r="L126" s="14" t="s">
        <v>4217</v>
      </c>
      <c r="M126" s="14" t="s">
        <v>4254</v>
      </c>
      <c r="N126" s="13" t="s">
        <v>4255</v>
      </c>
      <c r="O126" s="13" t="str">
        <f aca="false">IF(H126="","D","C")</f>
        <v>C</v>
      </c>
      <c r="P126" s="14"/>
    </row>
    <row r="127" customFormat="false" ht="22.35" hidden="false" customHeight="false" outlineLevel="0" collapsed="false">
      <c r="A127" s="13" t="s">
        <v>385</v>
      </c>
      <c r="B127" s="13" t="s">
        <v>4016</v>
      </c>
      <c r="C127" s="14" t="s">
        <v>387</v>
      </c>
      <c r="D127" s="14" t="s">
        <v>4018</v>
      </c>
      <c r="E127" s="13"/>
      <c r="F127" s="13"/>
      <c r="G127" s="24" t="n">
        <v>300</v>
      </c>
      <c r="H127" s="24" t="n">
        <v>800</v>
      </c>
      <c r="I127" s="24" t="n">
        <v>1500</v>
      </c>
      <c r="J127" s="13" t="s">
        <v>3972</v>
      </c>
      <c r="K127" s="13" t="s">
        <v>4236</v>
      </c>
      <c r="L127" s="14" t="s">
        <v>4237</v>
      </c>
      <c r="M127" s="14" t="s">
        <v>4238</v>
      </c>
      <c r="N127" s="13" t="s">
        <v>3977</v>
      </c>
      <c r="O127" s="13" t="s">
        <v>192</v>
      </c>
      <c r="P127" s="14"/>
    </row>
    <row r="128" customFormat="false" ht="22.35" hidden="false" customHeight="false" outlineLevel="0" collapsed="false">
      <c r="A128" s="13" t="s">
        <v>385</v>
      </c>
      <c r="B128" s="13" t="s">
        <v>2843</v>
      </c>
      <c r="C128" s="14" t="s">
        <v>387</v>
      </c>
      <c r="D128" s="14" t="s">
        <v>4097</v>
      </c>
      <c r="E128" s="13"/>
      <c r="F128" s="13"/>
      <c r="G128" s="24" t="n">
        <v>410</v>
      </c>
      <c r="H128" s="24" t="n">
        <v>1000</v>
      </c>
      <c r="I128" s="24" t="n">
        <v>4000</v>
      </c>
      <c r="J128" s="13" t="s">
        <v>3953</v>
      </c>
      <c r="K128" s="13" t="s">
        <v>4239</v>
      </c>
      <c r="L128" s="14" t="s">
        <v>4097</v>
      </c>
      <c r="M128" s="14" t="s">
        <v>4240</v>
      </c>
      <c r="N128" s="13" t="s">
        <v>4005</v>
      </c>
      <c r="O128" s="13" t="s">
        <v>213</v>
      </c>
      <c r="P128" s="14"/>
    </row>
    <row r="129" customFormat="false" ht="32.8" hidden="false" customHeight="false" outlineLevel="0" collapsed="false">
      <c r="A129" s="13" t="s">
        <v>393</v>
      </c>
      <c r="B129" s="13" t="s">
        <v>474</v>
      </c>
      <c r="C129" s="14" t="s">
        <v>395</v>
      </c>
      <c r="D129" s="14" t="s">
        <v>3782</v>
      </c>
      <c r="E129" s="23" t="n">
        <v>1.025</v>
      </c>
      <c r="F129" s="13" t="s">
        <v>4210</v>
      </c>
      <c r="G129" s="24" t="n">
        <f aca="false">IF($E129="","",3600/IF($E129&lt;1,14,15)*$E129*0.8*Settings!$B$7*0.8*1)</f>
        <v>130.6752</v>
      </c>
      <c r="H129" s="24" t="n">
        <f aca="false">IF($E129="","",3600/IF($E129&lt;1,14,15)*$E129*1*Settings!$B$7*0.8*1)</f>
        <v>163.344</v>
      </c>
      <c r="I129" s="24" t="n">
        <f aca="false">IF($E129="","",3600/IF($E129&lt;1,14,15)*$E129*1.1*Settings!$B$7*0.8*1)</f>
        <v>179.6784</v>
      </c>
      <c r="J129" s="13" t="s">
        <v>3776</v>
      </c>
      <c r="K129" s="13" t="s">
        <v>4136</v>
      </c>
      <c r="L129" s="14" t="s">
        <v>4228</v>
      </c>
      <c r="M129" s="14" t="s">
        <v>4256</v>
      </c>
      <c r="N129" s="13" t="s">
        <v>4257</v>
      </c>
      <c r="O129" s="13" t="str">
        <f aca="false">IF(H129="","D","C")</f>
        <v>C</v>
      </c>
      <c r="P129" s="14"/>
    </row>
    <row r="130" customFormat="false" ht="32.8" hidden="false" customHeight="false" outlineLevel="0" collapsed="false">
      <c r="A130" s="13" t="s">
        <v>393</v>
      </c>
      <c r="B130" s="13" t="s">
        <v>464</v>
      </c>
      <c r="C130" s="14" t="s">
        <v>395</v>
      </c>
      <c r="D130" s="14" t="s">
        <v>3786</v>
      </c>
      <c r="E130" s="23" t="n">
        <v>1.025</v>
      </c>
      <c r="F130" s="13" t="s">
        <v>4210</v>
      </c>
      <c r="G130" s="24" t="n">
        <f aca="false">IF($E130="","",3600/IF($E130&lt;1,14,15)*$E130*0.8*Settings!$B$7*0.8*1)</f>
        <v>130.6752</v>
      </c>
      <c r="H130" s="24" t="n">
        <f aca="false">IF($E130="","",3600/IF($E130&lt;1,14,15)*$E130*1*Settings!$B$7*0.8*1)</f>
        <v>163.344</v>
      </c>
      <c r="I130" s="24" t="n">
        <f aca="false">IF($E130="","",3600/IF($E130&lt;1,14,15)*$E130*1.1*Settings!$B$7*0.8*1)</f>
        <v>179.6784</v>
      </c>
      <c r="J130" s="13" t="s">
        <v>3776</v>
      </c>
      <c r="K130" s="13" t="s">
        <v>4136</v>
      </c>
      <c r="L130" s="14" t="s">
        <v>4228</v>
      </c>
      <c r="M130" s="14" t="s">
        <v>4256</v>
      </c>
      <c r="N130" s="13" t="s">
        <v>4257</v>
      </c>
      <c r="O130" s="13" t="str">
        <f aca="false">IF(H130="","D","C")</f>
        <v>C</v>
      </c>
      <c r="P130" s="14"/>
    </row>
    <row r="131" customFormat="false" ht="32.8" hidden="false" customHeight="false" outlineLevel="0" collapsed="false">
      <c r="A131" s="13" t="s">
        <v>393</v>
      </c>
      <c r="B131" s="13" t="s">
        <v>3790</v>
      </c>
      <c r="C131" s="14" t="s">
        <v>395</v>
      </c>
      <c r="D131" s="14" t="s">
        <v>3792</v>
      </c>
      <c r="E131" s="23" t="n">
        <v>1.025</v>
      </c>
      <c r="F131" s="13" t="s">
        <v>4210</v>
      </c>
      <c r="G131" s="24" t="n">
        <f aca="false">IF($E131="","",3600/IF($E131&lt;1,14,15)*$E131*0.8*Settings!$B$7*0.8*0.98)</f>
        <v>128.061696</v>
      </c>
      <c r="H131" s="24" t="n">
        <f aca="false">IF($E131="","",3600/IF($E131&lt;1,14,15)*$E131*1*Settings!$B$7*0.8*0.98)</f>
        <v>160.07712</v>
      </c>
      <c r="I131" s="24" t="n">
        <f aca="false">IF($E131="","",3600/IF($E131&lt;1,14,15)*$E131*1.1*Settings!$B$7*0.8*0.98)</f>
        <v>176.084832</v>
      </c>
      <c r="J131" s="13" t="s">
        <v>3776</v>
      </c>
      <c r="K131" s="13" t="s">
        <v>4136</v>
      </c>
      <c r="L131" s="14" t="s">
        <v>4211</v>
      </c>
      <c r="M131" s="14" t="s">
        <v>4258</v>
      </c>
      <c r="N131" s="13" t="s">
        <v>4259</v>
      </c>
      <c r="O131" s="13" t="str">
        <f aca="false">IF(H131="","D","C")</f>
        <v>C</v>
      </c>
      <c r="P131" s="14"/>
    </row>
    <row r="132" customFormat="false" ht="43.25" hidden="false" customHeight="false" outlineLevel="0" collapsed="false">
      <c r="A132" s="13" t="s">
        <v>393</v>
      </c>
      <c r="B132" s="13" t="s">
        <v>3796</v>
      </c>
      <c r="C132" s="14" t="s">
        <v>395</v>
      </c>
      <c r="D132" s="14" t="s">
        <v>3797</v>
      </c>
      <c r="E132" s="23" t="n">
        <v>1.025</v>
      </c>
      <c r="F132" s="13" t="s">
        <v>4210</v>
      </c>
      <c r="G132" s="24" t="n">
        <f aca="false">IF($E132="","",3600/IF($E132&lt;1,14,15)*$E132*0.8*Settings!$B$7*0.8*0.98)</f>
        <v>128.061696</v>
      </c>
      <c r="H132" s="24" t="n">
        <f aca="false">IF($E132="","",3600/IF($E132&lt;1,14,15)*$E132*1*Settings!$B$7*0.8*0.98)</f>
        <v>160.07712</v>
      </c>
      <c r="I132" s="24" t="n">
        <f aca="false">IF($E132="","",3600/IF($E132&lt;1,14,15)*$E132*1.1*Settings!$B$7*0.8*0.98)</f>
        <v>176.084832</v>
      </c>
      <c r="J132" s="13" t="s">
        <v>3776</v>
      </c>
      <c r="K132" s="13" t="s">
        <v>4136</v>
      </c>
      <c r="L132" s="14" t="s">
        <v>4227</v>
      </c>
      <c r="M132" s="14" t="s">
        <v>4258</v>
      </c>
      <c r="N132" s="13" t="s">
        <v>4259</v>
      </c>
      <c r="O132" s="13" t="str">
        <f aca="false">IF(H132="","D","C")</f>
        <v>C</v>
      </c>
      <c r="P132" s="14"/>
    </row>
    <row r="133" customFormat="false" ht="32.8" hidden="false" customHeight="false" outlineLevel="0" collapsed="false">
      <c r="A133" s="13" t="s">
        <v>393</v>
      </c>
      <c r="B133" s="13" t="s">
        <v>3802</v>
      </c>
      <c r="C133" s="14" t="s">
        <v>395</v>
      </c>
      <c r="D133" s="14" t="s">
        <v>3803</v>
      </c>
      <c r="E133" s="23" t="n">
        <v>1.025</v>
      </c>
      <c r="F133" s="13" t="s">
        <v>4210</v>
      </c>
      <c r="G133" s="24" t="n">
        <f aca="false">IF($E133="","",3600/IF($E133&lt;1,14,15)*$E133*0.8*Settings!$B$7*0.8*0.95)</f>
        <v>124.14144</v>
      </c>
      <c r="H133" s="24" t="n">
        <f aca="false">IF($E133="","",3600/IF($E133&lt;1,14,15)*$E133*1*Settings!$B$7*0.8*0.95)</f>
        <v>155.1768</v>
      </c>
      <c r="I133" s="24" t="n">
        <f aca="false">IF($E133="","",3600/IF($E133&lt;1,14,15)*$E133*1.1*Settings!$B$7*0.8*0.95)</f>
        <v>170.69448</v>
      </c>
      <c r="J133" s="13" t="s">
        <v>3776</v>
      </c>
      <c r="K133" s="13" t="s">
        <v>4136</v>
      </c>
      <c r="L133" s="14" t="s">
        <v>4215</v>
      </c>
      <c r="M133" s="14" t="s">
        <v>4260</v>
      </c>
      <c r="N133" s="13" t="s">
        <v>4259</v>
      </c>
      <c r="O133" s="13" t="str">
        <f aca="false">IF(H133="","D","C")</f>
        <v>C</v>
      </c>
      <c r="P133" s="14"/>
    </row>
    <row r="134" customFormat="false" ht="32.8" hidden="false" customHeight="false" outlineLevel="0" collapsed="false">
      <c r="A134" s="13" t="s">
        <v>393</v>
      </c>
      <c r="B134" s="13" t="s">
        <v>3806</v>
      </c>
      <c r="C134" s="14" t="s">
        <v>395</v>
      </c>
      <c r="D134" s="14" t="s">
        <v>3808</v>
      </c>
      <c r="E134" s="23" t="n">
        <v>1.025</v>
      </c>
      <c r="F134" s="13" t="s">
        <v>4210</v>
      </c>
      <c r="G134" s="24" t="n">
        <f aca="false">IF($E134="","",3600/IF($E134&lt;1,14,15)*$E134*0.85*Settings!$B$7*1*1)</f>
        <v>173.553</v>
      </c>
      <c r="H134" s="24" t="n">
        <f aca="false">IF($E134="","",3600/IF($E134&lt;1,14,15)*$E134*0.95*Settings!$B$7*1*1)</f>
        <v>193.971</v>
      </c>
      <c r="I134" s="24" t="n">
        <f aca="false">IF($E134="","",3600/IF($E134&lt;1,14,15)*$E134*1*Settings!$B$7*1*1)</f>
        <v>204.18</v>
      </c>
      <c r="J134" s="13" t="s">
        <v>3746</v>
      </c>
      <c r="K134" s="13" t="s">
        <v>4136</v>
      </c>
      <c r="L134" s="14" t="s">
        <v>4217</v>
      </c>
      <c r="M134" s="14" t="s">
        <v>4261</v>
      </c>
      <c r="N134" s="13" t="s">
        <v>4262</v>
      </c>
      <c r="O134" s="13" t="str">
        <f aca="false">IF(H134="","D","C")</f>
        <v>C</v>
      </c>
      <c r="P134" s="14"/>
    </row>
    <row r="135" customFormat="false" ht="22.35" hidden="false" customHeight="false" outlineLevel="0" collapsed="false">
      <c r="A135" s="13" t="s">
        <v>393</v>
      </c>
      <c r="B135" s="13" t="s">
        <v>4016</v>
      </c>
      <c r="C135" s="14" t="s">
        <v>395</v>
      </c>
      <c r="D135" s="14" t="s">
        <v>4018</v>
      </c>
      <c r="E135" s="13"/>
      <c r="F135" s="13"/>
      <c r="G135" s="24" t="n">
        <v>300</v>
      </c>
      <c r="H135" s="24" t="n">
        <v>800</v>
      </c>
      <c r="I135" s="24" t="n">
        <v>1500</v>
      </c>
      <c r="J135" s="13" t="s">
        <v>3972</v>
      </c>
      <c r="K135" s="13" t="s">
        <v>4236</v>
      </c>
      <c r="L135" s="14" t="s">
        <v>4237</v>
      </c>
      <c r="M135" s="14" t="s">
        <v>4238</v>
      </c>
      <c r="N135" s="13" t="s">
        <v>3977</v>
      </c>
      <c r="O135" s="13" t="s">
        <v>192</v>
      </c>
      <c r="P135" s="14"/>
    </row>
    <row r="136" customFormat="false" ht="22.35" hidden="false" customHeight="false" outlineLevel="0" collapsed="false">
      <c r="A136" s="13" t="s">
        <v>393</v>
      </c>
      <c r="B136" s="13" t="s">
        <v>2843</v>
      </c>
      <c r="C136" s="14" t="s">
        <v>395</v>
      </c>
      <c r="D136" s="14" t="s">
        <v>4097</v>
      </c>
      <c r="E136" s="13"/>
      <c r="F136" s="13"/>
      <c r="G136" s="24" t="n">
        <v>410</v>
      </c>
      <c r="H136" s="24" t="n">
        <v>1000</v>
      </c>
      <c r="I136" s="24" t="n">
        <v>4000</v>
      </c>
      <c r="J136" s="13" t="s">
        <v>3953</v>
      </c>
      <c r="K136" s="13" t="s">
        <v>4239</v>
      </c>
      <c r="L136" s="14" t="s">
        <v>4097</v>
      </c>
      <c r="M136" s="14" t="s">
        <v>4240</v>
      </c>
      <c r="N136" s="13" t="s">
        <v>4005</v>
      </c>
      <c r="O136" s="13" t="s">
        <v>213</v>
      </c>
      <c r="P136" s="14"/>
    </row>
    <row r="137" customFormat="false" ht="22.35" hidden="false" customHeight="false" outlineLevel="0" collapsed="false">
      <c r="A137" s="13" t="s">
        <v>393</v>
      </c>
      <c r="B137" s="13" t="s">
        <v>4024</v>
      </c>
      <c r="C137" s="14" t="s">
        <v>395</v>
      </c>
      <c r="D137" s="14" t="s">
        <v>4025</v>
      </c>
      <c r="E137" s="13"/>
      <c r="F137" s="13"/>
      <c r="G137" s="24" t="n">
        <v>200</v>
      </c>
      <c r="H137" s="24" t="n">
        <v>300</v>
      </c>
      <c r="I137" s="24" t="n">
        <v>400</v>
      </c>
      <c r="J137" s="13" t="s">
        <v>3972</v>
      </c>
      <c r="K137" s="13" t="s">
        <v>3879</v>
      </c>
      <c r="L137" s="14" t="s">
        <v>4263</v>
      </c>
      <c r="M137" s="14" t="s">
        <v>4264</v>
      </c>
      <c r="N137" s="13" t="s">
        <v>3977</v>
      </c>
      <c r="O137" s="13" t="s">
        <v>192</v>
      </c>
      <c r="P137" s="14"/>
    </row>
    <row r="138" customFormat="false" ht="43.25" hidden="false" customHeight="false" outlineLevel="0" collapsed="false">
      <c r="A138" s="13" t="s">
        <v>393</v>
      </c>
      <c r="B138" s="13" t="s">
        <v>3799</v>
      </c>
      <c r="C138" s="14" t="s">
        <v>395</v>
      </c>
      <c r="D138" s="14" t="s">
        <v>3800</v>
      </c>
      <c r="E138" s="23" t="n">
        <v>1.025</v>
      </c>
      <c r="F138" s="13" t="s">
        <v>4210</v>
      </c>
      <c r="G138" s="24" t="n">
        <f aca="false">IF($E138="","",3600/IF($E138&lt;1,14,15)*$E138*0.8*Settings!$B$7*0.8*0.98)</f>
        <v>128.061696</v>
      </c>
      <c r="H138" s="24" t="n">
        <f aca="false">IF($E138="","",3600/IF($E138&lt;1,14,15)*$E138*1*Settings!$B$7*0.8*0.98)</f>
        <v>160.07712</v>
      </c>
      <c r="I138" s="24" t="n">
        <f aca="false">IF($E138="","",3600/IF($E138&lt;1,14,15)*$E138*1.1*Settings!$B$7*0.8*0.98)</f>
        <v>176.084832</v>
      </c>
      <c r="J138" s="13" t="s">
        <v>3776</v>
      </c>
      <c r="K138" s="13" t="s">
        <v>4136</v>
      </c>
      <c r="L138" s="14" t="s">
        <v>4227</v>
      </c>
      <c r="M138" s="14" t="s">
        <v>4258</v>
      </c>
      <c r="N138" s="13" t="s">
        <v>4259</v>
      </c>
      <c r="O138" s="13" t="str">
        <f aca="false">IF(H138="","D","C")</f>
        <v>C</v>
      </c>
      <c r="P138" s="14"/>
    </row>
    <row r="139" customFormat="false" ht="32.8" hidden="false" customHeight="false" outlineLevel="0" collapsed="false">
      <c r="A139" s="13" t="s">
        <v>402</v>
      </c>
      <c r="B139" s="13" t="s">
        <v>474</v>
      </c>
      <c r="C139" s="14" t="s">
        <v>404</v>
      </c>
      <c r="D139" s="14" t="s">
        <v>3782</v>
      </c>
      <c r="E139" s="23" t="n">
        <v>1.95</v>
      </c>
      <c r="F139" s="13" t="s">
        <v>4210</v>
      </c>
      <c r="G139" s="24" t="n">
        <f aca="false">IF($E139="","",3600/IF($E139&lt;1,14,15)*$E139*0.8*Settings!$B$7*0.8*1)</f>
        <v>248.6016</v>
      </c>
      <c r="H139" s="24" t="n">
        <f aca="false">IF($E139="","",3600/IF($E139&lt;1,14,15)*$E139*1*Settings!$B$7*0.8*1)</f>
        <v>310.752</v>
      </c>
      <c r="I139" s="24" t="n">
        <f aca="false">IF($E139="","",3600/IF($E139&lt;1,14,15)*$E139*1.1*Settings!$B$7*0.8*1)</f>
        <v>341.8272</v>
      </c>
      <c r="J139" s="13" t="s">
        <v>3776</v>
      </c>
      <c r="K139" s="13" t="s">
        <v>4136</v>
      </c>
      <c r="L139" s="14" t="s">
        <v>4228</v>
      </c>
      <c r="M139" s="14" t="s">
        <v>4265</v>
      </c>
      <c r="N139" s="13" t="s">
        <v>4266</v>
      </c>
      <c r="O139" s="13" t="str">
        <f aca="false">IF(H139="","D","C")</f>
        <v>C</v>
      </c>
      <c r="P139" s="14"/>
    </row>
    <row r="140" customFormat="false" ht="32.8" hidden="false" customHeight="false" outlineLevel="0" collapsed="false">
      <c r="A140" s="13" t="s">
        <v>402</v>
      </c>
      <c r="B140" s="13" t="s">
        <v>464</v>
      </c>
      <c r="C140" s="14" t="s">
        <v>404</v>
      </c>
      <c r="D140" s="14" t="s">
        <v>3786</v>
      </c>
      <c r="E140" s="23" t="n">
        <v>1.95</v>
      </c>
      <c r="F140" s="13" t="s">
        <v>4210</v>
      </c>
      <c r="G140" s="24" t="n">
        <f aca="false">IF($E140="","",3600/IF($E140&lt;1,14,15)*$E140*0.8*Settings!$B$7*0.8*1)</f>
        <v>248.6016</v>
      </c>
      <c r="H140" s="24" t="n">
        <f aca="false">IF($E140="","",3600/IF($E140&lt;1,14,15)*$E140*1*Settings!$B$7*0.8*1)</f>
        <v>310.752</v>
      </c>
      <c r="I140" s="24" t="n">
        <f aca="false">IF($E140="","",3600/IF($E140&lt;1,14,15)*$E140*1.1*Settings!$B$7*0.8*1)</f>
        <v>341.8272</v>
      </c>
      <c r="J140" s="13" t="s">
        <v>3776</v>
      </c>
      <c r="K140" s="13" t="s">
        <v>4136</v>
      </c>
      <c r="L140" s="14" t="s">
        <v>4228</v>
      </c>
      <c r="M140" s="14" t="s">
        <v>4265</v>
      </c>
      <c r="N140" s="13" t="s">
        <v>4266</v>
      </c>
      <c r="O140" s="13" t="str">
        <f aca="false">IF(H140="","D","C")</f>
        <v>C</v>
      </c>
      <c r="P140" s="14"/>
    </row>
    <row r="141" customFormat="false" ht="32.8" hidden="false" customHeight="false" outlineLevel="0" collapsed="false">
      <c r="A141" s="13" t="s">
        <v>402</v>
      </c>
      <c r="B141" s="13" t="s">
        <v>3790</v>
      </c>
      <c r="C141" s="14" t="s">
        <v>404</v>
      </c>
      <c r="D141" s="14" t="s">
        <v>3792</v>
      </c>
      <c r="E141" s="23" t="n">
        <v>1.95</v>
      </c>
      <c r="F141" s="13" t="s">
        <v>4210</v>
      </c>
      <c r="G141" s="24" t="n">
        <f aca="false">IF($E141="","",3600/IF($E141&lt;1,14,15)*$E141*0.8*Settings!$B$7*0.8*0.98)</f>
        <v>243.629568</v>
      </c>
      <c r="H141" s="24" t="n">
        <f aca="false">IF($E141="","",3600/IF($E141&lt;1,14,15)*$E141*1*Settings!$B$7*0.8*0.98)</f>
        <v>304.53696</v>
      </c>
      <c r="I141" s="24" t="n">
        <f aca="false">IF($E141="","",3600/IF($E141&lt;1,14,15)*$E141*1.1*Settings!$B$7*0.8*0.98)</f>
        <v>334.990656</v>
      </c>
      <c r="J141" s="13" t="s">
        <v>3776</v>
      </c>
      <c r="K141" s="13" t="s">
        <v>4136</v>
      </c>
      <c r="L141" s="14" t="s">
        <v>4211</v>
      </c>
      <c r="M141" s="14" t="s">
        <v>4267</v>
      </c>
      <c r="N141" s="13" t="s">
        <v>4268</v>
      </c>
      <c r="O141" s="13" t="str">
        <f aca="false">IF(H141="","D","C")</f>
        <v>C</v>
      </c>
      <c r="P141" s="14"/>
    </row>
    <row r="142" customFormat="false" ht="43.25" hidden="false" customHeight="false" outlineLevel="0" collapsed="false">
      <c r="A142" s="13" t="s">
        <v>402</v>
      </c>
      <c r="B142" s="13" t="s">
        <v>3796</v>
      </c>
      <c r="C142" s="14" t="s">
        <v>404</v>
      </c>
      <c r="D142" s="14" t="s">
        <v>3797</v>
      </c>
      <c r="E142" s="23" t="n">
        <v>1.95</v>
      </c>
      <c r="F142" s="13" t="s">
        <v>4210</v>
      </c>
      <c r="G142" s="24" t="n">
        <f aca="false">IF($E142="","",3600/IF($E142&lt;1,14,15)*$E142*0.8*Settings!$B$7*0.8*0.98)</f>
        <v>243.629568</v>
      </c>
      <c r="H142" s="24" t="n">
        <f aca="false">IF($E142="","",3600/IF($E142&lt;1,14,15)*$E142*1*Settings!$B$7*0.8*0.98)</f>
        <v>304.53696</v>
      </c>
      <c r="I142" s="24" t="n">
        <f aca="false">IF($E142="","",3600/IF($E142&lt;1,14,15)*$E142*1.1*Settings!$B$7*0.8*0.98)</f>
        <v>334.990656</v>
      </c>
      <c r="J142" s="13" t="s">
        <v>3776</v>
      </c>
      <c r="K142" s="13" t="s">
        <v>4136</v>
      </c>
      <c r="L142" s="14" t="s">
        <v>4227</v>
      </c>
      <c r="M142" s="14" t="s">
        <v>4267</v>
      </c>
      <c r="N142" s="13" t="s">
        <v>4268</v>
      </c>
      <c r="O142" s="13" t="str">
        <f aca="false">IF(H142="","D","C")</f>
        <v>C</v>
      </c>
      <c r="P142" s="14"/>
    </row>
    <row r="143" customFormat="false" ht="32.8" hidden="false" customHeight="false" outlineLevel="0" collapsed="false">
      <c r="A143" s="13" t="s">
        <v>402</v>
      </c>
      <c r="B143" s="13" t="s">
        <v>3802</v>
      </c>
      <c r="C143" s="14" t="s">
        <v>404</v>
      </c>
      <c r="D143" s="14" t="s">
        <v>3803</v>
      </c>
      <c r="E143" s="23" t="n">
        <v>1.95</v>
      </c>
      <c r="F143" s="13" t="s">
        <v>4210</v>
      </c>
      <c r="G143" s="24" t="n">
        <f aca="false">IF($E143="","",3600/IF($E143&lt;1,14,15)*$E143*0.8*Settings!$B$7*0.8*0.95)</f>
        <v>236.17152</v>
      </c>
      <c r="H143" s="24" t="n">
        <f aca="false">IF($E143="","",3600/IF($E143&lt;1,14,15)*$E143*1*Settings!$B$7*0.8*0.95)</f>
        <v>295.2144</v>
      </c>
      <c r="I143" s="24" t="n">
        <f aca="false">IF($E143="","",3600/IF($E143&lt;1,14,15)*$E143*1.1*Settings!$B$7*0.8*0.95)</f>
        <v>324.73584</v>
      </c>
      <c r="J143" s="13" t="s">
        <v>3776</v>
      </c>
      <c r="K143" s="13" t="s">
        <v>4136</v>
      </c>
      <c r="L143" s="14" t="s">
        <v>4215</v>
      </c>
      <c r="M143" s="14" t="s">
        <v>4269</v>
      </c>
      <c r="N143" s="13" t="s">
        <v>4268</v>
      </c>
      <c r="O143" s="13" t="str">
        <f aca="false">IF(H143="","D","C")</f>
        <v>C</v>
      </c>
      <c r="P143" s="14"/>
    </row>
    <row r="144" customFormat="false" ht="32.8" hidden="false" customHeight="false" outlineLevel="0" collapsed="false">
      <c r="A144" s="13" t="s">
        <v>402</v>
      </c>
      <c r="B144" s="13" t="s">
        <v>3806</v>
      </c>
      <c r="C144" s="14" t="s">
        <v>404</v>
      </c>
      <c r="D144" s="14" t="s">
        <v>3808</v>
      </c>
      <c r="E144" s="23" t="n">
        <v>1.95</v>
      </c>
      <c r="F144" s="13" t="s">
        <v>4210</v>
      </c>
      <c r="G144" s="24" t="n">
        <f aca="false">IF($E144="","",3600/IF($E144&lt;1,14,15)*$E144*0.85*Settings!$B$7*1*1)</f>
        <v>330.174</v>
      </c>
      <c r="H144" s="24" t="n">
        <f aca="false">IF($E144="","",3600/IF($E144&lt;1,14,15)*$E144*0.95*Settings!$B$7*1*1)</f>
        <v>369.018</v>
      </c>
      <c r="I144" s="24" t="n">
        <f aca="false">IF($E144="","",3600/IF($E144&lt;1,14,15)*$E144*1*Settings!$B$7*1*1)</f>
        <v>388.44</v>
      </c>
      <c r="J144" s="13" t="s">
        <v>3746</v>
      </c>
      <c r="K144" s="13" t="s">
        <v>4136</v>
      </c>
      <c r="L144" s="14" t="s">
        <v>4217</v>
      </c>
      <c r="M144" s="14" t="s">
        <v>4270</v>
      </c>
      <c r="N144" s="13" t="s">
        <v>4271</v>
      </c>
      <c r="O144" s="13" t="str">
        <f aca="false">IF(H144="","D","C")</f>
        <v>C</v>
      </c>
      <c r="P144" s="14"/>
    </row>
    <row r="145" customFormat="false" ht="22.35" hidden="false" customHeight="false" outlineLevel="0" collapsed="false">
      <c r="A145" s="13" t="s">
        <v>402</v>
      </c>
      <c r="B145" s="13" t="s">
        <v>4016</v>
      </c>
      <c r="C145" s="14" t="s">
        <v>404</v>
      </c>
      <c r="D145" s="14" t="s">
        <v>4018</v>
      </c>
      <c r="E145" s="13"/>
      <c r="F145" s="13"/>
      <c r="G145" s="24" t="n">
        <v>300</v>
      </c>
      <c r="H145" s="24" t="n">
        <v>800</v>
      </c>
      <c r="I145" s="24" t="n">
        <v>1500</v>
      </c>
      <c r="J145" s="13" t="s">
        <v>3972</v>
      </c>
      <c r="K145" s="13" t="s">
        <v>4236</v>
      </c>
      <c r="L145" s="14" t="s">
        <v>4237</v>
      </c>
      <c r="M145" s="14" t="s">
        <v>4238</v>
      </c>
      <c r="N145" s="13" t="s">
        <v>3977</v>
      </c>
      <c r="O145" s="13" t="s">
        <v>192</v>
      </c>
      <c r="P145" s="14"/>
    </row>
    <row r="146" customFormat="false" ht="22.35" hidden="false" customHeight="false" outlineLevel="0" collapsed="false">
      <c r="A146" s="13" t="s">
        <v>402</v>
      </c>
      <c r="B146" s="13" t="s">
        <v>2843</v>
      </c>
      <c r="C146" s="14" t="s">
        <v>404</v>
      </c>
      <c r="D146" s="14" t="s">
        <v>4097</v>
      </c>
      <c r="E146" s="13"/>
      <c r="F146" s="13"/>
      <c r="G146" s="24" t="n">
        <v>410</v>
      </c>
      <c r="H146" s="24" t="n">
        <v>1000</v>
      </c>
      <c r="I146" s="24" t="n">
        <v>4000</v>
      </c>
      <c r="J146" s="13" t="s">
        <v>3953</v>
      </c>
      <c r="K146" s="13" t="s">
        <v>4239</v>
      </c>
      <c r="L146" s="14" t="s">
        <v>4097</v>
      </c>
      <c r="M146" s="14" t="s">
        <v>4240</v>
      </c>
      <c r="N146" s="13" t="s">
        <v>4005</v>
      </c>
      <c r="O146" s="13" t="s">
        <v>213</v>
      </c>
      <c r="P146" s="14"/>
    </row>
    <row r="147" customFormat="false" ht="22.35" hidden="false" customHeight="false" outlineLevel="0" collapsed="false">
      <c r="A147" s="13" t="s">
        <v>402</v>
      </c>
      <c r="B147" s="13" t="s">
        <v>4024</v>
      </c>
      <c r="C147" s="14" t="s">
        <v>404</v>
      </c>
      <c r="D147" s="14" t="s">
        <v>4025</v>
      </c>
      <c r="E147" s="13"/>
      <c r="F147" s="13"/>
      <c r="G147" s="24" t="n">
        <v>200</v>
      </c>
      <c r="H147" s="24" t="n">
        <v>300</v>
      </c>
      <c r="I147" s="24" t="n">
        <v>400</v>
      </c>
      <c r="J147" s="13" t="s">
        <v>3972</v>
      </c>
      <c r="K147" s="13" t="s">
        <v>3879</v>
      </c>
      <c r="L147" s="14" t="s">
        <v>4263</v>
      </c>
      <c r="M147" s="14" t="s">
        <v>4264</v>
      </c>
      <c r="N147" s="13" t="s">
        <v>3977</v>
      </c>
      <c r="O147" s="13" t="s">
        <v>192</v>
      </c>
      <c r="P147" s="14"/>
    </row>
    <row r="148" customFormat="false" ht="22.35" hidden="false" customHeight="false" outlineLevel="0" collapsed="false">
      <c r="A148" s="13" t="s">
        <v>402</v>
      </c>
      <c r="B148" s="13" t="s">
        <v>4021</v>
      </c>
      <c r="C148" s="14" t="s">
        <v>404</v>
      </c>
      <c r="D148" s="14" t="s">
        <v>4022</v>
      </c>
      <c r="E148" s="13"/>
      <c r="F148" s="13"/>
      <c r="G148" s="24" t="n">
        <v>50</v>
      </c>
      <c r="H148" s="24" t="n">
        <v>125</v>
      </c>
      <c r="I148" s="24" t="n">
        <v>200</v>
      </c>
      <c r="J148" s="13" t="s">
        <v>3972</v>
      </c>
      <c r="K148" s="13" t="s">
        <v>3879</v>
      </c>
      <c r="L148" s="14" t="s">
        <v>4272</v>
      </c>
      <c r="M148" s="14" t="s">
        <v>4273</v>
      </c>
      <c r="N148" s="13" t="s">
        <v>3977</v>
      </c>
      <c r="O148" s="13" t="s">
        <v>192</v>
      </c>
      <c r="P148" s="14"/>
    </row>
    <row r="149" customFormat="false" ht="43.25" hidden="false" customHeight="false" outlineLevel="0" collapsed="false">
      <c r="A149" s="13" t="s">
        <v>402</v>
      </c>
      <c r="B149" s="13" t="s">
        <v>3799</v>
      </c>
      <c r="C149" s="14" t="s">
        <v>404</v>
      </c>
      <c r="D149" s="14" t="s">
        <v>3800</v>
      </c>
      <c r="E149" s="23" t="n">
        <v>1.95</v>
      </c>
      <c r="F149" s="13" t="s">
        <v>4210</v>
      </c>
      <c r="G149" s="24" t="n">
        <f aca="false">IF($E149="","",3600/IF($E149&lt;1,14,15)*$E149*0.8*Settings!$B$7*0.8*0.98)</f>
        <v>243.629568</v>
      </c>
      <c r="H149" s="24" t="n">
        <f aca="false">IF($E149="","",3600/IF($E149&lt;1,14,15)*$E149*1*Settings!$B$7*0.8*0.98)</f>
        <v>304.53696</v>
      </c>
      <c r="I149" s="24" t="n">
        <f aca="false">IF($E149="","",3600/IF($E149&lt;1,14,15)*$E149*1.1*Settings!$B$7*0.8*0.98)</f>
        <v>334.990656</v>
      </c>
      <c r="J149" s="13" t="s">
        <v>3776</v>
      </c>
      <c r="K149" s="13" t="s">
        <v>4136</v>
      </c>
      <c r="L149" s="14" t="s">
        <v>4227</v>
      </c>
      <c r="M149" s="14" t="s">
        <v>4267</v>
      </c>
      <c r="N149" s="13" t="s">
        <v>4268</v>
      </c>
      <c r="O149" s="13" t="str">
        <f aca="false">IF(H149="","D","C")</f>
        <v>C</v>
      </c>
      <c r="P149" s="14"/>
    </row>
    <row r="150" customFormat="false" ht="43.25" hidden="false" customHeight="false" outlineLevel="0" collapsed="false">
      <c r="A150" s="13" t="s">
        <v>411</v>
      </c>
      <c r="B150" s="13" t="s">
        <v>474</v>
      </c>
      <c r="C150" s="14" t="s">
        <v>413</v>
      </c>
      <c r="D150" s="14" t="s">
        <v>3782</v>
      </c>
      <c r="E150" s="23" t="n">
        <v>2.402</v>
      </c>
      <c r="F150" s="13" t="s">
        <v>4210</v>
      </c>
      <c r="G150" s="24" t="n">
        <f aca="false">IF($E150="","",3600/IF($E150&lt;1,14,15)*$E150*0.8*Settings!$B$7*0.8*1)</f>
        <v>306.226176</v>
      </c>
      <c r="H150" s="24" t="n">
        <f aca="false">IF($E150="","",3600/IF($E150&lt;1,14,15)*$E150*1*Settings!$B$7*0.8*1)</f>
        <v>382.78272</v>
      </c>
      <c r="I150" s="24" t="n">
        <f aca="false">IF($E150="","",3600/IF($E150&lt;1,14,15)*$E150*1.1*Settings!$B$7*0.8*1)</f>
        <v>421.060992</v>
      </c>
      <c r="J150" s="13" t="s">
        <v>3776</v>
      </c>
      <c r="K150" s="13" t="s">
        <v>4136</v>
      </c>
      <c r="L150" s="14" t="s">
        <v>4228</v>
      </c>
      <c r="M150" s="14" t="s">
        <v>4274</v>
      </c>
      <c r="N150" s="13" t="s">
        <v>4275</v>
      </c>
      <c r="O150" s="13" t="str">
        <f aca="false">IF(H150="","D","C")</f>
        <v>C</v>
      </c>
      <c r="P150" s="14"/>
    </row>
    <row r="151" customFormat="false" ht="43.25" hidden="false" customHeight="false" outlineLevel="0" collapsed="false">
      <c r="A151" s="13" t="s">
        <v>411</v>
      </c>
      <c r="B151" s="13" t="s">
        <v>464</v>
      </c>
      <c r="C151" s="14" t="s">
        <v>413</v>
      </c>
      <c r="D151" s="14" t="s">
        <v>3786</v>
      </c>
      <c r="E151" s="23" t="n">
        <v>2.402</v>
      </c>
      <c r="F151" s="13" t="s">
        <v>4210</v>
      </c>
      <c r="G151" s="24" t="n">
        <f aca="false">IF($E151="","",3600/IF($E151&lt;1,14,15)*$E151*0.8*Settings!$B$7*0.8*1)</f>
        <v>306.226176</v>
      </c>
      <c r="H151" s="24" t="n">
        <f aca="false">IF($E151="","",3600/IF($E151&lt;1,14,15)*$E151*1*Settings!$B$7*0.8*1)</f>
        <v>382.78272</v>
      </c>
      <c r="I151" s="24" t="n">
        <f aca="false">IF($E151="","",3600/IF($E151&lt;1,14,15)*$E151*1.1*Settings!$B$7*0.8*1)</f>
        <v>421.060992</v>
      </c>
      <c r="J151" s="13" t="s">
        <v>3776</v>
      </c>
      <c r="K151" s="13" t="s">
        <v>4136</v>
      </c>
      <c r="L151" s="14" t="s">
        <v>4228</v>
      </c>
      <c r="M151" s="14" t="s">
        <v>4274</v>
      </c>
      <c r="N151" s="13" t="s">
        <v>4275</v>
      </c>
      <c r="O151" s="13" t="str">
        <f aca="false">IF(H151="","D","C")</f>
        <v>C</v>
      </c>
      <c r="P151" s="14"/>
    </row>
    <row r="152" customFormat="false" ht="43.25" hidden="false" customHeight="false" outlineLevel="0" collapsed="false">
      <c r="A152" s="13" t="s">
        <v>411</v>
      </c>
      <c r="B152" s="13" t="s">
        <v>3796</v>
      </c>
      <c r="C152" s="14" t="s">
        <v>413</v>
      </c>
      <c r="D152" s="14" t="s">
        <v>3797</v>
      </c>
      <c r="E152" s="23" t="n">
        <v>2.402</v>
      </c>
      <c r="F152" s="13" t="s">
        <v>4210</v>
      </c>
      <c r="G152" s="24" t="n">
        <f aca="false">IF($E152="","",3600/IF($E152&lt;1,14,15)*$E152*0.8*Settings!$B$7*0.8*0.98)</f>
        <v>300.10165248</v>
      </c>
      <c r="H152" s="24" t="n">
        <f aca="false">IF($E152="","",3600/IF($E152&lt;1,14,15)*$E152*1*Settings!$B$7*0.8*0.98)</f>
        <v>375.1270656</v>
      </c>
      <c r="I152" s="24" t="n">
        <f aca="false">IF($E152="","",3600/IF($E152&lt;1,14,15)*$E152*1.1*Settings!$B$7*0.8*0.98)</f>
        <v>412.63977216</v>
      </c>
      <c r="J152" s="13" t="s">
        <v>3776</v>
      </c>
      <c r="K152" s="13" t="s">
        <v>4136</v>
      </c>
      <c r="L152" s="14" t="s">
        <v>4227</v>
      </c>
      <c r="M152" s="14" t="s">
        <v>4276</v>
      </c>
      <c r="N152" s="13" t="s">
        <v>4277</v>
      </c>
      <c r="O152" s="13" t="str">
        <f aca="false">IF(H152="","D","C")</f>
        <v>C</v>
      </c>
      <c r="P152" s="14"/>
    </row>
    <row r="153" customFormat="false" ht="43.25" hidden="false" customHeight="false" outlineLevel="0" collapsed="false">
      <c r="A153" s="13" t="s">
        <v>411</v>
      </c>
      <c r="B153" s="13" t="s">
        <v>3802</v>
      </c>
      <c r="C153" s="14" t="s">
        <v>413</v>
      </c>
      <c r="D153" s="14" t="s">
        <v>3803</v>
      </c>
      <c r="E153" s="23" t="n">
        <v>2.402</v>
      </c>
      <c r="F153" s="13" t="s">
        <v>4210</v>
      </c>
      <c r="G153" s="24" t="n">
        <f aca="false">IF($E153="","",3600/IF($E153&lt;1,14,15)*$E153*0.8*Settings!$B$7*0.8*0.95)</f>
        <v>290.9148672</v>
      </c>
      <c r="H153" s="24" t="n">
        <f aca="false">IF($E153="","",3600/IF($E153&lt;1,14,15)*$E153*1*Settings!$B$7*0.8*0.95)</f>
        <v>363.643584</v>
      </c>
      <c r="I153" s="24" t="n">
        <f aca="false">IF($E153="","",3600/IF($E153&lt;1,14,15)*$E153*1.1*Settings!$B$7*0.8*0.95)</f>
        <v>400.0079424</v>
      </c>
      <c r="J153" s="13" t="s">
        <v>3776</v>
      </c>
      <c r="K153" s="13" t="s">
        <v>4136</v>
      </c>
      <c r="L153" s="14" t="s">
        <v>4215</v>
      </c>
      <c r="M153" s="14" t="s">
        <v>4278</v>
      </c>
      <c r="N153" s="13" t="s">
        <v>4277</v>
      </c>
      <c r="O153" s="13" t="str">
        <f aca="false">IF(H153="","D","C")</f>
        <v>C</v>
      </c>
      <c r="P153" s="14"/>
    </row>
    <row r="154" customFormat="false" ht="22.35" hidden="false" customHeight="false" outlineLevel="0" collapsed="false">
      <c r="A154" s="13" t="s">
        <v>411</v>
      </c>
      <c r="B154" s="13" t="s">
        <v>4021</v>
      </c>
      <c r="C154" s="14" t="s">
        <v>413</v>
      </c>
      <c r="D154" s="14" t="s">
        <v>4022</v>
      </c>
      <c r="E154" s="13"/>
      <c r="F154" s="13"/>
      <c r="G154" s="24" t="n">
        <v>50</v>
      </c>
      <c r="H154" s="24" t="n">
        <v>125</v>
      </c>
      <c r="I154" s="24" t="n">
        <v>200</v>
      </c>
      <c r="J154" s="13" t="s">
        <v>3972</v>
      </c>
      <c r="K154" s="13" t="s">
        <v>3879</v>
      </c>
      <c r="L154" s="14" t="s">
        <v>4272</v>
      </c>
      <c r="M154" s="14" t="s">
        <v>4273</v>
      </c>
      <c r="N154" s="13" t="s">
        <v>3977</v>
      </c>
      <c r="O154" s="13" t="s">
        <v>192</v>
      </c>
      <c r="P154" s="14"/>
    </row>
    <row r="155" customFormat="false" ht="43.25" hidden="false" customHeight="false" outlineLevel="0" collapsed="false">
      <c r="A155" s="13" t="s">
        <v>411</v>
      </c>
      <c r="B155" s="13" t="s">
        <v>3799</v>
      </c>
      <c r="C155" s="14" t="s">
        <v>413</v>
      </c>
      <c r="D155" s="14" t="s">
        <v>3800</v>
      </c>
      <c r="E155" s="23" t="n">
        <v>2.402</v>
      </c>
      <c r="F155" s="13" t="s">
        <v>4210</v>
      </c>
      <c r="G155" s="24" t="n">
        <f aca="false">IF($E155="","",3600/IF($E155&lt;1,14,15)*$E155*0.8*Settings!$B$7*0.8*0.98)</f>
        <v>300.10165248</v>
      </c>
      <c r="H155" s="24" t="n">
        <f aca="false">IF($E155="","",3600/IF($E155&lt;1,14,15)*$E155*1*Settings!$B$7*0.8*0.98)</f>
        <v>375.1270656</v>
      </c>
      <c r="I155" s="24" t="n">
        <f aca="false">IF($E155="","",3600/IF($E155&lt;1,14,15)*$E155*1.1*Settings!$B$7*0.8*0.98)</f>
        <v>412.63977216</v>
      </c>
      <c r="J155" s="13" t="s">
        <v>3776</v>
      </c>
      <c r="K155" s="13" t="s">
        <v>4136</v>
      </c>
      <c r="L155" s="14" t="s">
        <v>4227</v>
      </c>
      <c r="M155" s="14" t="s">
        <v>4276</v>
      </c>
      <c r="N155" s="13" t="s">
        <v>4277</v>
      </c>
      <c r="O155" s="13" t="str">
        <f aca="false">IF(H155="","D","C")</f>
        <v>C</v>
      </c>
      <c r="P155" s="14"/>
    </row>
    <row r="156" customFormat="false" ht="53.7" hidden="false" customHeight="false" outlineLevel="0" collapsed="false">
      <c r="A156" s="13" t="s">
        <v>421</v>
      </c>
      <c r="B156" s="13" t="s">
        <v>474</v>
      </c>
      <c r="C156" s="14" t="s">
        <v>423</v>
      </c>
      <c r="D156" s="14" t="s">
        <v>3782</v>
      </c>
      <c r="E156" s="23" t="n">
        <v>3.206</v>
      </c>
      <c r="F156" s="13" t="s">
        <v>4210</v>
      </c>
      <c r="G156" s="24" t="n">
        <f aca="false">IF($E156="","",3600/IF($E156&lt;1,14,15)*$E156*0.8*Settings!$B$7*0.8*1)</f>
        <v>408.726528</v>
      </c>
      <c r="H156" s="24" t="n">
        <f aca="false">IF($E156="","",3600/IF($E156&lt;1,14,15)*$E156*1*Settings!$B$7*0.8*1)</f>
        <v>510.90816</v>
      </c>
      <c r="I156" s="24" t="n">
        <f aca="false">IF($E156="","",3600/IF($E156&lt;1,14,15)*$E156*1.1*Settings!$B$7*0.8*1)</f>
        <v>561.998976</v>
      </c>
      <c r="J156" s="13" t="s">
        <v>3776</v>
      </c>
      <c r="K156" s="13" t="s">
        <v>4136</v>
      </c>
      <c r="L156" s="14" t="s">
        <v>4228</v>
      </c>
      <c r="M156" s="14" t="s">
        <v>4279</v>
      </c>
      <c r="N156" s="13" t="s">
        <v>4275</v>
      </c>
      <c r="O156" s="13" t="str">
        <f aca="false">IF(H156="","D","C")</f>
        <v>C</v>
      </c>
      <c r="P156" s="14"/>
    </row>
    <row r="157" customFormat="false" ht="53.7" hidden="false" customHeight="false" outlineLevel="0" collapsed="false">
      <c r="A157" s="13" t="s">
        <v>421</v>
      </c>
      <c r="B157" s="13" t="s">
        <v>464</v>
      </c>
      <c r="C157" s="14" t="s">
        <v>423</v>
      </c>
      <c r="D157" s="14" t="s">
        <v>3786</v>
      </c>
      <c r="E157" s="23" t="n">
        <v>3.206</v>
      </c>
      <c r="F157" s="13" t="s">
        <v>4210</v>
      </c>
      <c r="G157" s="24" t="n">
        <f aca="false">IF($E157="","",3600/IF($E157&lt;1,14,15)*$E157*0.8*Settings!$B$7*0.8*1)</f>
        <v>408.726528</v>
      </c>
      <c r="H157" s="24" t="n">
        <f aca="false">IF($E157="","",3600/IF($E157&lt;1,14,15)*$E157*1*Settings!$B$7*0.8*1)</f>
        <v>510.90816</v>
      </c>
      <c r="I157" s="24" t="n">
        <f aca="false">IF($E157="","",3600/IF($E157&lt;1,14,15)*$E157*1.1*Settings!$B$7*0.8*1)</f>
        <v>561.998976</v>
      </c>
      <c r="J157" s="13" t="s">
        <v>3776</v>
      </c>
      <c r="K157" s="13" t="s">
        <v>4136</v>
      </c>
      <c r="L157" s="14" t="s">
        <v>4228</v>
      </c>
      <c r="M157" s="14" t="s">
        <v>4279</v>
      </c>
      <c r="N157" s="13" t="s">
        <v>4275</v>
      </c>
      <c r="O157" s="13" t="str">
        <f aca="false">IF(H157="","D","C")</f>
        <v>C</v>
      </c>
      <c r="P157" s="14"/>
    </row>
    <row r="158" customFormat="false" ht="53.7" hidden="false" customHeight="false" outlineLevel="0" collapsed="false">
      <c r="A158" s="13" t="s">
        <v>421</v>
      </c>
      <c r="B158" s="13" t="s">
        <v>3802</v>
      </c>
      <c r="C158" s="14" t="s">
        <v>423</v>
      </c>
      <c r="D158" s="14" t="s">
        <v>3803</v>
      </c>
      <c r="E158" s="23" t="n">
        <v>3.206</v>
      </c>
      <c r="F158" s="13" t="s">
        <v>4210</v>
      </c>
      <c r="G158" s="24" t="n">
        <f aca="false">IF($E158="","",3600/IF($E158&lt;1,14,15)*$E158*0.8*Settings!$B$7*0.8*0.95)</f>
        <v>388.2902016</v>
      </c>
      <c r="H158" s="24" t="n">
        <f aca="false">IF($E158="","",3600/IF($E158&lt;1,14,15)*$E158*1*Settings!$B$7*0.8*0.95)</f>
        <v>485.362752</v>
      </c>
      <c r="I158" s="24" t="n">
        <f aca="false">IF($E158="","",3600/IF($E158&lt;1,14,15)*$E158*1.1*Settings!$B$7*0.8*0.95)</f>
        <v>533.8990272</v>
      </c>
      <c r="J158" s="13" t="s">
        <v>3776</v>
      </c>
      <c r="K158" s="13" t="s">
        <v>4136</v>
      </c>
      <c r="L158" s="14" t="s">
        <v>4215</v>
      </c>
      <c r="M158" s="14" t="s">
        <v>4280</v>
      </c>
      <c r="N158" s="13" t="s">
        <v>4277</v>
      </c>
      <c r="O158" s="13" t="str">
        <f aca="false">IF(H158="","D","C")</f>
        <v>C</v>
      </c>
      <c r="P158" s="14"/>
    </row>
    <row r="159" customFormat="false" ht="43.25" hidden="false" customHeight="false" outlineLevel="0" collapsed="false">
      <c r="A159" s="13" t="s">
        <v>430</v>
      </c>
      <c r="B159" s="13" t="s">
        <v>474</v>
      </c>
      <c r="C159" s="14" t="s">
        <v>432</v>
      </c>
      <c r="D159" s="14" t="s">
        <v>3782</v>
      </c>
      <c r="E159" s="23" t="n">
        <v>5</v>
      </c>
      <c r="F159" s="13" t="s">
        <v>4210</v>
      </c>
      <c r="G159" s="24" t="n">
        <f aca="false">IF($E159="","",3600/IF($E159&lt;1,14,15)*$E159*0.8*Settings!$B$7*0.8*1)</f>
        <v>637.44</v>
      </c>
      <c r="H159" s="24" t="n">
        <f aca="false">IF($E159="","",3600/IF($E159&lt;1,14,15)*$E159*1*Settings!$B$7*0.8*1)</f>
        <v>796.8</v>
      </c>
      <c r="I159" s="24" t="n">
        <f aca="false">IF($E159="","",3600/IF($E159&lt;1,14,15)*$E159*1.1*Settings!$B$7*0.8*1)</f>
        <v>876.48</v>
      </c>
      <c r="J159" s="13" t="s">
        <v>3776</v>
      </c>
      <c r="K159" s="13" t="s">
        <v>4136</v>
      </c>
      <c r="L159" s="14" t="s">
        <v>4228</v>
      </c>
      <c r="M159" s="14" t="s">
        <v>4281</v>
      </c>
      <c r="N159" s="13" t="s">
        <v>4282</v>
      </c>
      <c r="O159" s="13" t="str">
        <f aca="false">IF(H159="","D","C")</f>
        <v>C</v>
      </c>
      <c r="P159" s="14"/>
    </row>
    <row r="160" customFormat="false" ht="43.25" hidden="false" customHeight="false" outlineLevel="0" collapsed="false">
      <c r="A160" s="13" t="s">
        <v>430</v>
      </c>
      <c r="B160" s="13" t="s">
        <v>464</v>
      </c>
      <c r="C160" s="14" t="s">
        <v>432</v>
      </c>
      <c r="D160" s="14" t="s">
        <v>3786</v>
      </c>
      <c r="E160" s="23" t="n">
        <v>5</v>
      </c>
      <c r="F160" s="13" t="s">
        <v>4210</v>
      </c>
      <c r="G160" s="24" t="n">
        <f aca="false">IF($E160="","",3600/IF($E160&lt;1,14,15)*$E160*0.8*Settings!$B$7*0.8*1)</f>
        <v>637.44</v>
      </c>
      <c r="H160" s="24" t="n">
        <f aca="false">IF($E160="","",3600/IF($E160&lt;1,14,15)*$E160*1*Settings!$B$7*0.8*1)</f>
        <v>796.8</v>
      </c>
      <c r="I160" s="24" t="n">
        <f aca="false">IF($E160="","",3600/IF($E160&lt;1,14,15)*$E160*1.1*Settings!$B$7*0.8*1)</f>
        <v>876.48</v>
      </c>
      <c r="J160" s="13" t="s">
        <v>3776</v>
      </c>
      <c r="K160" s="13" t="s">
        <v>4136</v>
      </c>
      <c r="L160" s="14" t="s">
        <v>4228</v>
      </c>
      <c r="M160" s="14" t="s">
        <v>4281</v>
      </c>
      <c r="N160" s="13" t="s">
        <v>4282</v>
      </c>
      <c r="O160" s="13" t="str">
        <f aca="false">IF(H160="","D","C")</f>
        <v>C</v>
      </c>
      <c r="P160" s="14"/>
    </row>
    <row r="161" customFormat="false" ht="43.25" hidden="false" customHeight="false" outlineLevel="0" collapsed="false">
      <c r="A161" s="13" t="s">
        <v>438</v>
      </c>
      <c r="B161" s="13" t="s">
        <v>474</v>
      </c>
      <c r="C161" s="14" t="s">
        <v>440</v>
      </c>
      <c r="D161" s="14" t="s">
        <v>3782</v>
      </c>
      <c r="E161" s="23" t="n">
        <v>6</v>
      </c>
      <c r="F161" s="13" t="s">
        <v>4210</v>
      </c>
      <c r="G161" s="24" t="n">
        <f aca="false">IF($E161="","",3600/IF($E161&lt;1,14,15)*$E161*0.8*Settings!$B$7*0.8*1)</f>
        <v>764.928</v>
      </c>
      <c r="H161" s="24" t="n">
        <f aca="false">IF($E161="","",3600/IF($E161&lt;1,14,15)*$E161*1*Settings!$B$7*0.8*1)</f>
        <v>956.16</v>
      </c>
      <c r="I161" s="24" t="n">
        <f aca="false">IF($E161="","",3600/IF($E161&lt;1,14,15)*$E161*1.1*Settings!$B$7*0.8*1)</f>
        <v>1051.776</v>
      </c>
      <c r="J161" s="13" t="s">
        <v>3776</v>
      </c>
      <c r="K161" s="13" t="s">
        <v>4136</v>
      </c>
      <c r="L161" s="14" t="s">
        <v>4228</v>
      </c>
      <c r="M161" s="14" t="s">
        <v>4283</v>
      </c>
      <c r="N161" s="13" t="s">
        <v>4282</v>
      </c>
      <c r="O161" s="13" t="str">
        <f aca="false">IF(H161="","D","C")</f>
        <v>C</v>
      </c>
      <c r="P161" s="14"/>
    </row>
    <row r="162" customFormat="false" ht="43.25" hidden="false" customHeight="false" outlineLevel="0" collapsed="false">
      <c r="A162" s="13" t="s">
        <v>438</v>
      </c>
      <c r="B162" s="13" t="s">
        <v>464</v>
      </c>
      <c r="C162" s="14" t="s">
        <v>440</v>
      </c>
      <c r="D162" s="14" t="s">
        <v>3786</v>
      </c>
      <c r="E162" s="23" t="n">
        <v>6</v>
      </c>
      <c r="F162" s="13" t="s">
        <v>4210</v>
      </c>
      <c r="G162" s="24" t="n">
        <f aca="false">IF($E162="","",3600/IF($E162&lt;1,14,15)*$E162*0.8*Settings!$B$7*0.8*1)</f>
        <v>764.928</v>
      </c>
      <c r="H162" s="24" t="n">
        <f aca="false">IF($E162="","",3600/IF($E162&lt;1,14,15)*$E162*1*Settings!$B$7*0.8*1)</f>
        <v>956.16</v>
      </c>
      <c r="I162" s="24" t="n">
        <f aca="false">IF($E162="","",3600/IF($E162&lt;1,14,15)*$E162*1.1*Settings!$B$7*0.8*1)</f>
        <v>1051.776</v>
      </c>
      <c r="J162" s="13" t="s">
        <v>3776</v>
      </c>
      <c r="K162" s="13" t="s">
        <v>4136</v>
      </c>
      <c r="L162" s="14" t="s">
        <v>4228</v>
      </c>
      <c r="M162" s="14" t="s">
        <v>4283</v>
      </c>
      <c r="N162" s="13" t="s">
        <v>4282</v>
      </c>
      <c r="O162" s="13" t="str">
        <f aca="false">IF(H162="","D","C")</f>
        <v>C</v>
      </c>
      <c r="P162" s="14"/>
    </row>
    <row r="163" customFormat="false" ht="32.8" hidden="false" customHeight="false" outlineLevel="0" collapsed="false">
      <c r="A163" s="13" t="s">
        <v>446</v>
      </c>
      <c r="B163" s="13" t="s">
        <v>3790</v>
      </c>
      <c r="C163" s="14" t="s">
        <v>448</v>
      </c>
      <c r="D163" s="14" t="s">
        <v>3792</v>
      </c>
      <c r="E163" s="25"/>
      <c r="F163" s="13" t="s">
        <v>4210</v>
      </c>
      <c r="G163" s="24" t="str">
        <f aca="false">IF($E163="","",3600/IF($E163&lt;1,14,15)*$E163*0.8*Settings!$B$7*0.8*0.98)</f>
        <v/>
      </c>
      <c r="H163" s="24" t="str">
        <f aca="false">IF($E163="","",3600/IF($E163&lt;1,14,15)*$E163*1*Settings!$B$7*0.8*0.98)</f>
        <v/>
      </c>
      <c r="I163" s="24" t="str">
        <f aca="false">IF($E163="","",3600/IF($E163&lt;1,14,15)*$E163*1.1*Settings!$B$7*0.8*0.98)</f>
        <v/>
      </c>
      <c r="J163" s="13" t="s">
        <v>3776</v>
      </c>
      <c r="K163" s="13" t="s">
        <v>4136</v>
      </c>
      <c r="L163" s="14" t="s">
        <v>4211</v>
      </c>
      <c r="M163" s="14" t="s">
        <v>4212</v>
      </c>
      <c r="N163" s="13" t="s">
        <v>4213</v>
      </c>
      <c r="O163" s="13" t="str">
        <f aca="false">IF(H163="","D","C")</f>
        <v>D</v>
      </c>
      <c r="P163" s="14" t="s">
        <v>4214</v>
      </c>
    </row>
    <row r="164" customFormat="false" ht="32.8" hidden="false" customHeight="false" outlineLevel="0" collapsed="false">
      <c r="A164" s="13" t="s">
        <v>446</v>
      </c>
      <c r="B164" s="13" t="s">
        <v>3802</v>
      </c>
      <c r="C164" s="14" t="s">
        <v>448</v>
      </c>
      <c r="D164" s="14" t="s">
        <v>3803</v>
      </c>
      <c r="E164" s="25"/>
      <c r="F164" s="13" t="s">
        <v>4210</v>
      </c>
      <c r="G164" s="24" t="str">
        <f aca="false">IF($E164="","",3600/IF($E164&lt;1,14,15)*$E164*0.8*Settings!$B$7*0.8*0.95)</f>
        <v/>
      </c>
      <c r="H164" s="24" t="str">
        <f aca="false">IF($E164="","",3600/IF($E164&lt;1,14,15)*$E164*1*Settings!$B$7*0.8*0.95)</f>
        <v/>
      </c>
      <c r="I164" s="24" t="str">
        <f aca="false">IF($E164="","",3600/IF($E164&lt;1,14,15)*$E164*1.1*Settings!$B$7*0.8*0.95)</f>
        <v/>
      </c>
      <c r="J164" s="13" t="s">
        <v>3776</v>
      </c>
      <c r="K164" s="13" t="s">
        <v>4136</v>
      </c>
      <c r="L164" s="14" t="s">
        <v>4215</v>
      </c>
      <c r="M164" s="14" t="s">
        <v>4216</v>
      </c>
      <c r="N164" s="13" t="s">
        <v>4213</v>
      </c>
      <c r="O164" s="13" t="str">
        <f aca="false">IF(H164="","D","C")</f>
        <v>D</v>
      </c>
      <c r="P164" s="14" t="s">
        <v>4214</v>
      </c>
    </row>
    <row r="165" customFormat="false" ht="32.8" hidden="false" customHeight="false" outlineLevel="0" collapsed="false">
      <c r="A165" s="13" t="s">
        <v>446</v>
      </c>
      <c r="B165" s="13" t="s">
        <v>3806</v>
      </c>
      <c r="C165" s="14" t="s">
        <v>448</v>
      </c>
      <c r="D165" s="14" t="s">
        <v>3808</v>
      </c>
      <c r="E165" s="25"/>
      <c r="F165" s="13" t="s">
        <v>4210</v>
      </c>
      <c r="G165" s="24" t="str">
        <f aca="false">IF($E165="","",3600/IF($E165&lt;1,14,15)*$E165*0.85*Settings!$B$7*1*1)</f>
        <v/>
      </c>
      <c r="H165" s="24" t="str">
        <f aca="false">IF($E165="","",3600/IF($E165&lt;1,14,15)*$E165*0.95*Settings!$B$7*1*1)</f>
        <v/>
      </c>
      <c r="I165" s="24" t="str">
        <f aca="false">IF($E165="","",3600/IF($E165&lt;1,14,15)*$E165*1*Settings!$B$7*1*1)</f>
        <v/>
      </c>
      <c r="J165" s="13" t="s">
        <v>3746</v>
      </c>
      <c r="K165" s="13" t="s">
        <v>4136</v>
      </c>
      <c r="L165" s="14" t="s">
        <v>4217</v>
      </c>
      <c r="M165" s="14" t="s">
        <v>4218</v>
      </c>
      <c r="N165" s="13" t="s">
        <v>4219</v>
      </c>
      <c r="O165" s="13" t="str">
        <f aca="false">IF(H165="","D","C")</f>
        <v>D</v>
      </c>
      <c r="P165" s="14" t="s">
        <v>4214</v>
      </c>
    </row>
    <row r="166" customFormat="false" ht="32.8" hidden="false" customHeight="false" outlineLevel="0" collapsed="false">
      <c r="A166" s="13" t="s">
        <v>453</v>
      </c>
      <c r="B166" s="13" t="s">
        <v>3790</v>
      </c>
      <c r="C166" s="14" t="s">
        <v>454</v>
      </c>
      <c r="D166" s="14" t="s">
        <v>3792</v>
      </c>
      <c r="E166" s="25"/>
      <c r="F166" s="13" t="s">
        <v>4210</v>
      </c>
      <c r="G166" s="24" t="str">
        <f aca="false">IF($E166="","",3600/IF($E166&lt;1,14,15)*$E166*0.8*Settings!$B$7*0.8*0.98)</f>
        <v/>
      </c>
      <c r="H166" s="24" t="str">
        <f aca="false">IF($E166="","",3600/IF($E166&lt;1,14,15)*$E166*1*Settings!$B$7*0.8*0.98)</f>
        <v/>
      </c>
      <c r="I166" s="24" t="str">
        <f aca="false">IF($E166="","",3600/IF($E166&lt;1,14,15)*$E166*1.1*Settings!$B$7*0.8*0.98)</f>
        <v/>
      </c>
      <c r="J166" s="13" t="s">
        <v>3776</v>
      </c>
      <c r="K166" s="13" t="s">
        <v>4136</v>
      </c>
      <c r="L166" s="14" t="s">
        <v>4211</v>
      </c>
      <c r="M166" s="14" t="s">
        <v>4212</v>
      </c>
      <c r="N166" s="13" t="s">
        <v>4213</v>
      </c>
      <c r="O166" s="13" t="str">
        <f aca="false">IF(H166="","D","C")</f>
        <v>D</v>
      </c>
      <c r="P166" s="14" t="s">
        <v>4214</v>
      </c>
    </row>
    <row r="167" customFormat="false" ht="43.25" hidden="false" customHeight="false" outlineLevel="0" collapsed="false">
      <c r="A167" s="13" t="s">
        <v>453</v>
      </c>
      <c r="B167" s="13" t="s">
        <v>3796</v>
      </c>
      <c r="C167" s="14" t="s">
        <v>454</v>
      </c>
      <c r="D167" s="14" t="s">
        <v>3797</v>
      </c>
      <c r="E167" s="25"/>
      <c r="F167" s="13" t="s">
        <v>4210</v>
      </c>
      <c r="G167" s="24" t="str">
        <f aca="false">IF($E167="","",3600/IF($E167&lt;1,14,15)*$E167*0.8*Settings!$B$7*0.8*0.98)</f>
        <v/>
      </c>
      <c r="H167" s="24" t="str">
        <f aca="false">IF($E167="","",3600/IF($E167&lt;1,14,15)*$E167*1*Settings!$B$7*0.8*0.98)</f>
        <v/>
      </c>
      <c r="I167" s="24" t="str">
        <f aca="false">IF($E167="","",3600/IF($E167&lt;1,14,15)*$E167*1.1*Settings!$B$7*0.8*0.98)</f>
        <v/>
      </c>
      <c r="J167" s="13" t="s">
        <v>3776</v>
      </c>
      <c r="K167" s="13" t="s">
        <v>4136</v>
      </c>
      <c r="L167" s="14" t="s">
        <v>4227</v>
      </c>
      <c r="M167" s="14" t="s">
        <v>4212</v>
      </c>
      <c r="N167" s="13" t="s">
        <v>4213</v>
      </c>
      <c r="O167" s="13" t="str">
        <f aca="false">IF(H167="","D","C")</f>
        <v>D</v>
      </c>
      <c r="P167" s="14" t="s">
        <v>4214</v>
      </c>
    </row>
    <row r="168" customFormat="false" ht="32.8" hidden="false" customHeight="false" outlineLevel="0" collapsed="false">
      <c r="A168" s="13" t="s">
        <v>453</v>
      </c>
      <c r="B168" s="13" t="s">
        <v>3802</v>
      </c>
      <c r="C168" s="14" t="s">
        <v>454</v>
      </c>
      <c r="D168" s="14" t="s">
        <v>3803</v>
      </c>
      <c r="E168" s="25"/>
      <c r="F168" s="13" t="s">
        <v>4210</v>
      </c>
      <c r="G168" s="24" t="str">
        <f aca="false">IF($E168="","",3600/IF($E168&lt;1,14,15)*$E168*0.8*Settings!$B$7*0.8*0.95)</f>
        <v/>
      </c>
      <c r="H168" s="24" t="str">
        <f aca="false">IF($E168="","",3600/IF($E168&lt;1,14,15)*$E168*1*Settings!$B$7*0.8*0.95)</f>
        <v/>
      </c>
      <c r="I168" s="24" t="str">
        <f aca="false">IF($E168="","",3600/IF($E168&lt;1,14,15)*$E168*1.1*Settings!$B$7*0.8*0.95)</f>
        <v/>
      </c>
      <c r="J168" s="13" t="s">
        <v>3776</v>
      </c>
      <c r="K168" s="13" t="s">
        <v>4136</v>
      </c>
      <c r="L168" s="14" t="s">
        <v>4215</v>
      </c>
      <c r="M168" s="14" t="s">
        <v>4216</v>
      </c>
      <c r="N168" s="13" t="s">
        <v>4213</v>
      </c>
      <c r="O168" s="13" t="str">
        <f aca="false">IF(H168="","D","C")</f>
        <v>D</v>
      </c>
      <c r="P168" s="14" t="s">
        <v>4214</v>
      </c>
    </row>
    <row r="169" customFormat="false" ht="32.8" hidden="false" customHeight="false" outlineLevel="0" collapsed="false">
      <c r="A169" s="13" t="s">
        <v>453</v>
      </c>
      <c r="B169" s="13" t="s">
        <v>3806</v>
      </c>
      <c r="C169" s="14" t="s">
        <v>454</v>
      </c>
      <c r="D169" s="14" t="s">
        <v>3808</v>
      </c>
      <c r="E169" s="25"/>
      <c r="F169" s="13" t="s">
        <v>4210</v>
      </c>
      <c r="G169" s="24" t="str">
        <f aca="false">IF($E169="","",3600/IF($E169&lt;1,14,15)*$E169*0.85*Settings!$B$7*1*1)</f>
        <v/>
      </c>
      <c r="H169" s="24" t="str">
        <f aca="false">IF($E169="","",3600/IF($E169&lt;1,14,15)*$E169*0.95*Settings!$B$7*1*1)</f>
        <v/>
      </c>
      <c r="I169" s="24" t="str">
        <f aca="false">IF($E169="","",3600/IF($E169&lt;1,14,15)*$E169*1*Settings!$B$7*1*1)</f>
        <v/>
      </c>
      <c r="J169" s="13" t="s">
        <v>3746</v>
      </c>
      <c r="K169" s="13" t="s">
        <v>4136</v>
      </c>
      <c r="L169" s="14" t="s">
        <v>4217</v>
      </c>
      <c r="M169" s="14" t="s">
        <v>4218</v>
      </c>
      <c r="N169" s="13" t="s">
        <v>4219</v>
      </c>
      <c r="O169" s="13" t="str">
        <f aca="false">IF(H169="","D","C")</f>
        <v>D</v>
      </c>
      <c r="P169" s="14" t="s">
        <v>4214</v>
      </c>
    </row>
    <row r="170" customFormat="false" ht="43.25" hidden="false" customHeight="false" outlineLevel="0" collapsed="false">
      <c r="A170" s="13" t="s">
        <v>453</v>
      </c>
      <c r="B170" s="13" t="s">
        <v>3799</v>
      </c>
      <c r="C170" s="14" t="s">
        <v>454</v>
      </c>
      <c r="D170" s="14" t="s">
        <v>3800</v>
      </c>
      <c r="E170" s="25"/>
      <c r="F170" s="13" t="s">
        <v>4210</v>
      </c>
      <c r="G170" s="24" t="str">
        <f aca="false">IF($E170="","",3600/IF($E170&lt;1,14,15)*$E170*0.8*Settings!$B$7*0.8*0.98)</f>
        <v/>
      </c>
      <c r="H170" s="24" t="str">
        <f aca="false">IF($E170="","",3600/IF($E170&lt;1,14,15)*$E170*1*Settings!$B$7*0.8*0.98)</f>
        <v/>
      </c>
      <c r="I170" s="24" t="str">
        <f aca="false">IF($E170="","",3600/IF($E170&lt;1,14,15)*$E170*1.1*Settings!$B$7*0.8*0.98)</f>
        <v/>
      </c>
      <c r="J170" s="13" t="s">
        <v>3776</v>
      </c>
      <c r="K170" s="13" t="s">
        <v>4136</v>
      </c>
      <c r="L170" s="14" t="s">
        <v>4227</v>
      </c>
      <c r="M170" s="14" t="s">
        <v>4212</v>
      </c>
      <c r="N170" s="13" t="s">
        <v>4213</v>
      </c>
      <c r="O170" s="13" t="str">
        <f aca="false">IF(H170="","D","C")</f>
        <v>D</v>
      </c>
      <c r="P170" s="14" t="s">
        <v>4214</v>
      </c>
    </row>
    <row r="171" customFormat="false" ht="32.8" hidden="false" customHeight="false" outlineLevel="0" collapsed="false">
      <c r="A171" s="13" t="s">
        <v>458</v>
      </c>
      <c r="B171" s="13" t="s">
        <v>464</v>
      </c>
      <c r="C171" s="14" t="s">
        <v>460</v>
      </c>
      <c r="D171" s="14" t="s">
        <v>3786</v>
      </c>
      <c r="E171" s="25"/>
      <c r="F171" s="13" t="s">
        <v>4210</v>
      </c>
      <c r="G171" s="24" t="str">
        <f aca="false">IF($E171="","",3600/IF($E171&lt;1,14,15)*$E171*0.8*Settings!$B$7*0.8*1)</f>
        <v/>
      </c>
      <c r="H171" s="24" t="str">
        <f aca="false">IF($E171="","",3600/IF($E171&lt;1,14,15)*$E171*1*Settings!$B$7*0.8*1)</f>
        <v/>
      </c>
      <c r="I171" s="24" t="str">
        <f aca="false">IF($E171="","",3600/IF($E171&lt;1,14,15)*$E171*1.1*Settings!$B$7*0.8*1)</f>
        <v/>
      </c>
      <c r="J171" s="13" t="s">
        <v>3776</v>
      </c>
      <c r="K171" s="13" t="s">
        <v>4136</v>
      </c>
      <c r="L171" s="14" t="s">
        <v>4228</v>
      </c>
      <c r="M171" s="14" t="s">
        <v>4241</v>
      </c>
      <c r="N171" s="13" t="s">
        <v>3785</v>
      </c>
      <c r="O171" s="13" t="str">
        <f aca="false">IF(H171="","D","C")</f>
        <v>D</v>
      </c>
      <c r="P171" s="14" t="s">
        <v>4214</v>
      </c>
    </row>
    <row r="172" customFormat="false" ht="32.8" hidden="false" customHeight="false" outlineLevel="0" collapsed="false">
      <c r="A172" s="13" t="s">
        <v>467</v>
      </c>
      <c r="B172" s="13" t="s">
        <v>464</v>
      </c>
      <c r="C172" s="14" t="s">
        <v>468</v>
      </c>
      <c r="D172" s="14" t="s">
        <v>3786</v>
      </c>
      <c r="E172" s="25"/>
      <c r="F172" s="13" t="s">
        <v>4210</v>
      </c>
      <c r="G172" s="24" t="str">
        <f aca="false">IF($E172="","",3600/IF($E172&lt;1,14,15)*$E172*0.8*Settings!$B$7*0.8*1)</f>
        <v/>
      </c>
      <c r="H172" s="24" t="str">
        <f aca="false">IF($E172="","",3600/IF($E172&lt;1,14,15)*$E172*1*Settings!$B$7*0.8*1)</f>
        <v/>
      </c>
      <c r="I172" s="24" t="str">
        <f aca="false">IF($E172="","",3600/IF($E172&lt;1,14,15)*$E172*1.1*Settings!$B$7*0.8*1)</f>
        <v/>
      </c>
      <c r="J172" s="13" t="s">
        <v>3776</v>
      </c>
      <c r="K172" s="13" t="s">
        <v>4136</v>
      </c>
      <c r="L172" s="14" t="s">
        <v>4228</v>
      </c>
      <c r="M172" s="14" t="s">
        <v>4241</v>
      </c>
      <c r="N172" s="13" t="s">
        <v>3785</v>
      </c>
      <c r="O172" s="13" t="str">
        <f aca="false">IF(H172="","D","C")</f>
        <v>D</v>
      </c>
      <c r="P172" s="14" t="s">
        <v>4214</v>
      </c>
    </row>
    <row r="173" customFormat="false" ht="32.8" hidden="false" customHeight="false" outlineLevel="0" collapsed="false">
      <c r="A173" s="13" t="s">
        <v>470</v>
      </c>
      <c r="B173" s="13" t="s">
        <v>474</v>
      </c>
      <c r="C173" s="14" t="s">
        <v>472</v>
      </c>
      <c r="D173" s="14" t="s">
        <v>3782</v>
      </c>
      <c r="E173" s="25"/>
      <c r="F173" s="13" t="s">
        <v>4210</v>
      </c>
      <c r="G173" s="24" t="str">
        <f aca="false">IF($E173="","",3600/IF($E173&lt;1,14,15)*$E173*0.8*Settings!$B$7*0.8*1)</f>
        <v/>
      </c>
      <c r="H173" s="24" t="str">
        <f aca="false">IF($E173="","",3600/IF($E173&lt;1,14,15)*$E173*1*Settings!$B$7*0.8*1)</f>
        <v/>
      </c>
      <c r="I173" s="24" t="str">
        <f aca="false">IF($E173="","",3600/IF($E173&lt;1,14,15)*$E173*1.1*Settings!$B$7*0.8*1)</f>
        <v/>
      </c>
      <c r="J173" s="13" t="s">
        <v>3776</v>
      </c>
      <c r="K173" s="13" t="s">
        <v>4136</v>
      </c>
      <c r="L173" s="14" t="s">
        <v>4228</v>
      </c>
      <c r="M173" s="14" t="s">
        <v>4241</v>
      </c>
      <c r="N173" s="13" t="s">
        <v>3785</v>
      </c>
      <c r="O173" s="13" t="str">
        <f aca="false">IF(H173="","D","C")</f>
        <v>D</v>
      </c>
      <c r="P173" s="14" t="s">
        <v>4214</v>
      </c>
    </row>
    <row r="174" customFormat="false" ht="32.8" hidden="false" customHeight="false" outlineLevel="0" collapsed="false">
      <c r="A174" s="13" t="s">
        <v>475</v>
      </c>
      <c r="B174" s="13" t="s">
        <v>474</v>
      </c>
      <c r="C174" s="14" t="s">
        <v>477</v>
      </c>
      <c r="D174" s="14" t="s">
        <v>3782</v>
      </c>
      <c r="E174" s="23" t="n">
        <v>0.57</v>
      </c>
      <c r="F174" s="13" t="s">
        <v>4210</v>
      </c>
      <c r="G174" s="24" t="n">
        <f aca="false">IF($E174="","",3600/IF($E174&lt;1,14,15)*$E174*0.8*Settings!$B$7*0.8*1)</f>
        <v>77.8587428571429</v>
      </c>
      <c r="H174" s="24" t="n">
        <f aca="false">IF($E174="","",3600/IF($E174&lt;1,14,15)*$E174*1*Settings!$B$7*0.8*1)</f>
        <v>97.3234285714286</v>
      </c>
      <c r="I174" s="24" t="n">
        <f aca="false">IF($E174="","",3600/IF($E174&lt;1,14,15)*$E174*1.1*Settings!$B$7*0.8*1)</f>
        <v>107.055771428571</v>
      </c>
      <c r="J174" s="13" t="s">
        <v>3776</v>
      </c>
      <c r="K174" s="13" t="s">
        <v>4136</v>
      </c>
      <c r="L174" s="14" t="s">
        <v>4228</v>
      </c>
      <c r="M174" s="14" t="s">
        <v>4284</v>
      </c>
      <c r="N174" s="13" t="s">
        <v>4285</v>
      </c>
      <c r="O174" s="13" t="str">
        <f aca="false">IF(H174="","D","C")</f>
        <v>C</v>
      </c>
      <c r="P174" s="14"/>
    </row>
    <row r="175" customFormat="false" ht="32.8" hidden="false" customHeight="false" outlineLevel="0" collapsed="false">
      <c r="A175" s="13" t="s">
        <v>475</v>
      </c>
      <c r="B175" s="13" t="s">
        <v>3790</v>
      </c>
      <c r="C175" s="14" t="s">
        <v>477</v>
      </c>
      <c r="D175" s="14" t="s">
        <v>3792</v>
      </c>
      <c r="E175" s="23" t="n">
        <v>0.57</v>
      </c>
      <c r="F175" s="13" t="s">
        <v>4210</v>
      </c>
      <c r="G175" s="24" t="n">
        <f aca="false">IF($E175="","",3600/IF($E175&lt;1,14,15)*$E175*0.8*Settings!$B$7*0.8*0.98)</f>
        <v>76.301568</v>
      </c>
      <c r="H175" s="24" t="n">
        <f aca="false">IF($E175="","",3600/IF($E175&lt;1,14,15)*$E175*1*Settings!$B$7*0.8*0.98)</f>
        <v>95.37696</v>
      </c>
      <c r="I175" s="24" t="n">
        <f aca="false">IF($E175="","",3600/IF($E175&lt;1,14,15)*$E175*1.1*Settings!$B$7*0.8*0.98)</f>
        <v>104.914656</v>
      </c>
      <c r="J175" s="13" t="s">
        <v>3776</v>
      </c>
      <c r="K175" s="13" t="s">
        <v>4136</v>
      </c>
      <c r="L175" s="14" t="s">
        <v>4211</v>
      </c>
      <c r="M175" s="14" t="s">
        <v>4286</v>
      </c>
      <c r="N175" s="13" t="s">
        <v>4287</v>
      </c>
      <c r="O175" s="13" t="str">
        <f aca="false">IF(H175="","D","C")</f>
        <v>C</v>
      </c>
      <c r="P175" s="14"/>
    </row>
    <row r="176" customFormat="false" ht="32.8" hidden="false" customHeight="false" outlineLevel="0" collapsed="false">
      <c r="A176" s="13" t="s">
        <v>475</v>
      </c>
      <c r="B176" s="13" t="s">
        <v>3802</v>
      </c>
      <c r="C176" s="14" t="s">
        <v>477</v>
      </c>
      <c r="D176" s="14" t="s">
        <v>3803</v>
      </c>
      <c r="E176" s="23" t="n">
        <v>0.57</v>
      </c>
      <c r="F176" s="13" t="s">
        <v>4210</v>
      </c>
      <c r="G176" s="24" t="n">
        <f aca="false">IF($E176="","",3600/IF($E176&lt;1,14,15)*$E176*0.8*Settings!$B$7*0.8*0.95)</f>
        <v>73.9658057142857</v>
      </c>
      <c r="H176" s="24" t="n">
        <f aca="false">IF($E176="","",3600/IF($E176&lt;1,14,15)*$E176*1*Settings!$B$7*0.8*0.95)</f>
        <v>92.4572571428572</v>
      </c>
      <c r="I176" s="24" t="n">
        <f aca="false">IF($E176="","",3600/IF($E176&lt;1,14,15)*$E176*1.1*Settings!$B$7*0.8*0.95)</f>
        <v>101.702982857143</v>
      </c>
      <c r="J176" s="13" t="s">
        <v>3776</v>
      </c>
      <c r="K176" s="13" t="s">
        <v>4136</v>
      </c>
      <c r="L176" s="14" t="s">
        <v>4215</v>
      </c>
      <c r="M176" s="14" t="s">
        <v>4288</v>
      </c>
      <c r="N176" s="13" t="s">
        <v>4287</v>
      </c>
      <c r="O176" s="13" t="str">
        <f aca="false">IF(H176="","D","C")</f>
        <v>C</v>
      </c>
      <c r="P176" s="14"/>
    </row>
    <row r="177" customFormat="false" ht="32.8" hidden="false" customHeight="false" outlineLevel="0" collapsed="false">
      <c r="A177" s="13" t="s">
        <v>487</v>
      </c>
      <c r="B177" s="13" t="s">
        <v>474</v>
      </c>
      <c r="C177" s="14" t="s">
        <v>488</v>
      </c>
      <c r="D177" s="14" t="s">
        <v>3782</v>
      </c>
      <c r="E177" s="23" t="n">
        <v>0.62</v>
      </c>
      <c r="F177" s="13" t="s">
        <v>4210</v>
      </c>
      <c r="G177" s="24" t="n">
        <f aca="false">IF($E177="","",3600/IF($E177&lt;1,14,15)*$E177*0.8*Settings!$B$7*0.8*1)</f>
        <v>84.6884571428572</v>
      </c>
      <c r="H177" s="24" t="n">
        <f aca="false">IF($E177="","",3600/IF($E177&lt;1,14,15)*$E177*1*Settings!$B$7*0.8*1)</f>
        <v>105.860571428571</v>
      </c>
      <c r="I177" s="24" t="n">
        <f aca="false">IF($E177="","",3600/IF($E177&lt;1,14,15)*$E177*1.1*Settings!$B$7*0.8*1)</f>
        <v>116.446628571429</v>
      </c>
      <c r="J177" s="13" t="s">
        <v>3776</v>
      </c>
      <c r="K177" s="13" t="s">
        <v>4136</v>
      </c>
      <c r="L177" s="14" t="s">
        <v>4228</v>
      </c>
      <c r="M177" s="14" t="s">
        <v>4289</v>
      </c>
      <c r="N177" s="13" t="s">
        <v>4285</v>
      </c>
      <c r="O177" s="13" t="str">
        <f aca="false">IF(H177="","D","C")</f>
        <v>C</v>
      </c>
      <c r="P177" s="14"/>
    </row>
    <row r="178" customFormat="false" ht="32.8" hidden="false" customHeight="false" outlineLevel="0" collapsed="false">
      <c r="A178" s="13" t="s">
        <v>487</v>
      </c>
      <c r="B178" s="13" t="s">
        <v>3790</v>
      </c>
      <c r="C178" s="14" t="s">
        <v>488</v>
      </c>
      <c r="D178" s="14" t="s">
        <v>3792</v>
      </c>
      <c r="E178" s="23" t="n">
        <v>0.62</v>
      </c>
      <c r="F178" s="13" t="s">
        <v>4210</v>
      </c>
      <c r="G178" s="24" t="n">
        <f aca="false">IF($E178="","",3600/IF($E178&lt;1,14,15)*$E178*0.8*Settings!$B$7*0.8*0.98)</f>
        <v>82.994688</v>
      </c>
      <c r="H178" s="24" t="n">
        <f aca="false">IF($E178="","",3600/IF($E178&lt;1,14,15)*$E178*1*Settings!$B$7*0.8*0.98)</f>
        <v>103.74336</v>
      </c>
      <c r="I178" s="24" t="n">
        <f aca="false">IF($E178="","",3600/IF($E178&lt;1,14,15)*$E178*1.1*Settings!$B$7*0.8*0.98)</f>
        <v>114.117696</v>
      </c>
      <c r="J178" s="13" t="s">
        <v>3776</v>
      </c>
      <c r="K178" s="13" t="s">
        <v>4136</v>
      </c>
      <c r="L178" s="14" t="s">
        <v>4211</v>
      </c>
      <c r="M178" s="14" t="s">
        <v>4290</v>
      </c>
      <c r="N178" s="13" t="s">
        <v>4287</v>
      </c>
      <c r="O178" s="13" t="str">
        <f aca="false">IF(H178="","D","C")</f>
        <v>C</v>
      </c>
      <c r="P178" s="14"/>
    </row>
    <row r="179" customFormat="false" ht="32.8" hidden="false" customHeight="false" outlineLevel="0" collapsed="false">
      <c r="A179" s="13" t="s">
        <v>487</v>
      </c>
      <c r="B179" s="13" t="s">
        <v>3802</v>
      </c>
      <c r="C179" s="14" t="s">
        <v>488</v>
      </c>
      <c r="D179" s="14" t="s">
        <v>3803</v>
      </c>
      <c r="E179" s="23" t="n">
        <v>0.62</v>
      </c>
      <c r="F179" s="13" t="s">
        <v>4210</v>
      </c>
      <c r="G179" s="24" t="n">
        <f aca="false">IF($E179="","",3600/IF($E179&lt;1,14,15)*$E179*0.8*Settings!$B$7*0.8*0.95)</f>
        <v>80.4540342857143</v>
      </c>
      <c r="H179" s="24" t="n">
        <f aca="false">IF($E179="","",3600/IF($E179&lt;1,14,15)*$E179*1*Settings!$B$7*0.8*0.95)</f>
        <v>100.567542857143</v>
      </c>
      <c r="I179" s="24" t="n">
        <f aca="false">IF($E179="","",3600/IF($E179&lt;1,14,15)*$E179*1.1*Settings!$B$7*0.8*0.95)</f>
        <v>110.624297142857</v>
      </c>
      <c r="J179" s="13" t="s">
        <v>3776</v>
      </c>
      <c r="K179" s="13" t="s">
        <v>4136</v>
      </c>
      <c r="L179" s="14" t="s">
        <v>4215</v>
      </c>
      <c r="M179" s="14" t="s">
        <v>4291</v>
      </c>
      <c r="N179" s="13" t="s">
        <v>4287</v>
      </c>
      <c r="O179" s="13" t="str">
        <f aca="false">IF(H179="","D","C")</f>
        <v>C</v>
      </c>
      <c r="P179" s="14"/>
    </row>
    <row r="180" customFormat="false" ht="32.8" hidden="false" customHeight="false" outlineLevel="0" collapsed="false">
      <c r="A180" s="13" t="s">
        <v>492</v>
      </c>
      <c r="B180" s="13" t="s">
        <v>474</v>
      </c>
      <c r="C180" s="14" t="s">
        <v>493</v>
      </c>
      <c r="D180" s="14" t="s">
        <v>3782</v>
      </c>
      <c r="E180" s="23" t="n">
        <v>1.25</v>
      </c>
      <c r="F180" s="13" t="s">
        <v>4210</v>
      </c>
      <c r="G180" s="24" t="n">
        <f aca="false">IF($E180="","",3600/IF($E180&lt;1,14,15)*$E180*0.8*Settings!$B$7*0.8*1)</f>
        <v>159.36</v>
      </c>
      <c r="H180" s="24" t="n">
        <f aca="false">IF($E180="","",3600/IF($E180&lt;1,14,15)*$E180*1*Settings!$B$7*0.8*1)</f>
        <v>199.2</v>
      </c>
      <c r="I180" s="24" t="n">
        <f aca="false">IF($E180="","",3600/IF($E180&lt;1,14,15)*$E180*1.1*Settings!$B$7*0.8*1)</f>
        <v>219.12</v>
      </c>
      <c r="J180" s="13" t="s">
        <v>3776</v>
      </c>
      <c r="K180" s="13" t="s">
        <v>4136</v>
      </c>
      <c r="L180" s="14" t="s">
        <v>4228</v>
      </c>
      <c r="M180" s="14" t="s">
        <v>4292</v>
      </c>
      <c r="N180" s="13" t="s">
        <v>4285</v>
      </c>
      <c r="O180" s="13" t="str">
        <f aca="false">IF(H180="","D","C")</f>
        <v>C</v>
      </c>
      <c r="P180" s="14"/>
    </row>
    <row r="181" customFormat="false" ht="32.8" hidden="false" customHeight="false" outlineLevel="0" collapsed="false">
      <c r="A181" s="13" t="s">
        <v>492</v>
      </c>
      <c r="B181" s="13" t="s">
        <v>3790</v>
      </c>
      <c r="C181" s="14" t="s">
        <v>493</v>
      </c>
      <c r="D181" s="14" t="s">
        <v>3792</v>
      </c>
      <c r="E181" s="23" t="n">
        <v>1.25</v>
      </c>
      <c r="F181" s="13" t="s">
        <v>4210</v>
      </c>
      <c r="G181" s="24" t="n">
        <f aca="false">IF($E181="","",3600/IF($E181&lt;1,14,15)*$E181*0.8*Settings!$B$7*0.8*0.98)</f>
        <v>156.1728</v>
      </c>
      <c r="H181" s="24" t="n">
        <f aca="false">IF($E181="","",3600/IF($E181&lt;1,14,15)*$E181*1*Settings!$B$7*0.8*0.98)</f>
        <v>195.216</v>
      </c>
      <c r="I181" s="24" t="n">
        <f aca="false">IF($E181="","",3600/IF($E181&lt;1,14,15)*$E181*1.1*Settings!$B$7*0.8*0.98)</f>
        <v>214.7376</v>
      </c>
      <c r="J181" s="13" t="s">
        <v>3776</v>
      </c>
      <c r="K181" s="13" t="s">
        <v>4136</v>
      </c>
      <c r="L181" s="14" t="s">
        <v>4211</v>
      </c>
      <c r="M181" s="14" t="s">
        <v>4293</v>
      </c>
      <c r="N181" s="13" t="s">
        <v>4287</v>
      </c>
      <c r="O181" s="13" t="str">
        <f aca="false">IF(H181="","D","C")</f>
        <v>C</v>
      </c>
      <c r="P181" s="14"/>
    </row>
    <row r="182" customFormat="false" ht="32.8" hidden="false" customHeight="false" outlineLevel="0" collapsed="false">
      <c r="A182" s="13" t="s">
        <v>492</v>
      </c>
      <c r="B182" s="13" t="s">
        <v>3802</v>
      </c>
      <c r="C182" s="14" t="s">
        <v>493</v>
      </c>
      <c r="D182" s="14" t="s">
        <v>3803</v>
      </c>
      <c r="E182" s="23" t="n">
        <v>1.25</v>
      </c>
      <c r="F182" s="13" t="s">
        <v>4210</v>
      </c>
      <c r="G182" s="24" t="n">
        <f aca="false">IF($E182="","",3600/IF($E182&lt;1,14,15)*$E182*0.8*Settings!$B$7*0.8*0.95)</f>
        <v>151.392</v>
      </c>
      <c r="H182" s="24" t="n">
        <f aca="false">IF($E182="","",3600/IF($E182&lt;1,14,15)*$E182*1*Settings!$B$7*0.8*0.95)</f>
        <v>189.24</v>
      </c>
      <c r="I182" s="24" t="n">
        <f aca="false">IF($E182="","",3600/IF($E182&lt;1,14,15)*$E182*1.1*Settings!$B$7*0.8*0.95)</f>
        <v>208.164</v>
      </c>
      <c r="J182" s="13" t="s">
        <v>3776</v>
      </c>
      <c r="K182" s="13" t="s">
        <v>4136</v>
      </c>
      <c r="L182" s="14" t="s">
        <v>4215</v>
      </c>
      <c r="M182" s="14" t="s">
        <v>4294</v>
      </c>
      <c r="N182" s="13" t="s">
        <v>4287</v>
      </c>
      <c r="O182" s="13" t="str">
        <f aca="false">IF(H182="","D","C")</f>
        <v>C</v>
      </c>
      <c r="P182" s="14"/>
    </row>
    <row r="183" customFormat="false" ht="32.8" hidden="false" customHeight="false" outlineLevel="0" collapsed="false">
      <c r="A183" s="13" t="s">
        <v>552</v>
      </c>
      <c r="B183" s="13" t="s">
        <v>3790</v>
      </c>
      <c r="C183" s="14" t="s">
        <v>555</v>
      </c>
      <c r="D183" s="14" t="s">
        <v>3792</v>
      </c>
      <c r="E183" s="25"/>
      <c r="F183" s="13" t="s">
        <v>4210</v>
      </c>
      <c r="G183" s="24" t="str">
        <f aca="false">IF($E183="","",3600/IF($E183&lt;1,14,15)*$E183*0.8*Settings!$B$7*0.8*0.98)</f>
        <v/>
      </c>
      <c r="H183" s="24" t="str">
        <f aca="false">IF($E183="","",3600/IF($E183&lt;1,14,15)*$E183*1*Settings!$B$7*0.8*0.98)</f>
        <v/>
      </c>
      <c r="I183" s="24" t="str">
        <f aca="false">IF($E183="","",3600/IF($E183&lt;1,14,15)*$E183*1.1*Settings!$B$7*0.8*0.98)</f>
        <v/>
      </c>
      <c r="J183" s="13" t="s">
        <v>3776</v>
      </c>
      <c r="K183" s="13" t="s">
        <v>4136</v>
      </c>
      <c r="L183" s="14" t="s">
        <v>4211</v>
      </c>
      <c r="M183" s="14" t="s">
        <v>4212</v>
      </c>
      <c r="N183" s="13" t="s">
        <v>4213</v>
      </c>
      <c r="O183" s="13" t="str">
        <f aca="false">IF(H183="","D","C")</f>
        <v>D</v>
      </c>
      <c r="P183" s="14" t="s">
        <v>4214</v>
      </c>
    </row>
    <row r="184" customFormat="false" ht="53.7" hidden="false" customHeight="false" outlineLevel="0" collapsed="false">
      <c r="A184" s="13" t="s">
        <v>552</v>
      </c>
      <c r="B184" s="13" t="s">
        <v>3806</v>
      </c>
      <c r="C184" s="14" t="s">
        <v>555</v>
      </c>
      <c r="D184" s="14" t="s">
        <v>3808</v>
      </c>
      <c r="E184" s="25"/>
      <c r="F184" s="13" t="s">
        <v>4210</v>
      </c>
      <c r="G184" s="24" t="str">
        <f aca="false">IF($E184="","",$E184*0.85*3600/33*Settings!$B$7)</f>
        <v/>
      </c>
      <c r="H184" s="24" t="str">
        <f aca="false">IF($E184="","",$E184*0.95*3600/30*Settings!$B$7)</f>
        <v/>
      </c>
      <c r="I184" s="24" t="str">
        <f aca="false">IF($E184="","",$E184*1*3600/27*Settings!$B$7)</f>
        <v/>
      </c>
      <c r="J184" s="13" t="s">
        <v>3746</v>
      </c>
      <c r="K184" s="13" t="s">
        <v>4136</v>
      </c>
      <c r="L184" s="14" t="s">
        <v>4295</v>
      </c>
      <c r="M184" s="14" t="s">
        <v>4296</v>
      </c>
      <c r="N184" s="13" t="s">
        <v>3815</v>
      </c>
      <c r="O184" s="13" t="str">
        <f aca="false">IF(H184="","D","C")</f>
        <v>D</v>
      </c>
      <c r="P184" s="14" t="s">
        <v>4297</v>
      </c>
    </row>
    <row r="185" customFormat="false" ht="53.7" hidden="false" customHeight="false" outlineLevel="0" collapsed="false">
      <c r="A185" s="13" t="s">
        <v>552</v>
      </c>
      <c r="B185" s="13" t="s">
        <v>693</v>
      </c>
      <c r="C185" s="14" t="s">
        <v>555</v>
      </c>
      <c r="D185" s="14" t="s">
        <v>3812</v>
      </c>
      <c r="E185" s="25"/>
      <c r="F185" s="13" t="s">
        <v>4210</v>
      </c>
      <c r="G185" s="24" t="str">
        <f aca="false">IF($E185="","",$E185*0.85*3600/33*Settings!$B$7)</f>
        <v/>
      </c>
      <c r="H185" s="24" t="str">
        <f aca="false">IF($E185="","",$E185*0.95*3600/30*Settings!$B$7)</f>
        <v/>
      </c>
      <c r="I185" s="24" t="str">
        <f aca="false">IF($E185="","",$E185*1*3600/27*Settings!$B$7)</f>
        <v/>
      </c>
      <c r="J185" s="13" t="s">
        <v>3746</v>
      </c>
      <c r="K185" s="13" t="s">
        <v>4136</v>
      </c>
      <c r="L185" s="14" t="s">
        <v>4295</v>
      </c>
      <c r="M185" s="14" t="s">
        <v>4296</v>
      </c>
      <c r="N185" s="13" t="s">
        <v>3815</v>
      </c>
      <c r="O185" s="13" t="str">
        <f aca="false">IF(H185="","D","C")</f>
        <v>D</v>
      </c>
      <c r="P185" s="14" t="s">
        <v>4297</v>
      </c>
    </row>
    <row r="186" customFormat="false" ht="32.8" hidden="false" customHeight="false" outlineLevel="0" collapsed="false">
      <c r="A186" s="13" t="s">
        <v>561</v>
      </c>
      <c r="B186" s="13" t="s">
        <v>3790</v>
      </c>
      <c r="C186" s="14" t="s">
        <v>563</v>
      </c>
      <c r="D186" s="14" t="s">
        <v>3792</v>
      </c>
      <c r="E186" s="25"/>
      <c r="F186" s="13" t="s">
        <v>4210</v>
      </c>
      <c r="G186" s="24" t="str">
        <f aca="false">IF($E186="","",3600/IF($E186&lt;1,14,15)*$E186*0.8*Settings!$B$7*0.8*0.98)</f>
        <v/>
      </c>
      <c r="H186" s="24" t="str">
        <f aca="false">IF($E186="","",3600/IF($E186&lt;1,14,15)*$E186*1*Settings!$B$7*0.8*0.98)</f>
        <v/>
      </c>
      <c r="I186" s="24" t="str">
        <f aca="false">IF($E186="","",3600/IF($E186&lt;1,14,15)*$E186*1.1*Settings!$B$7*0.8*0.98)</f>
        <v/>
      </c>
      <c r="J186" s="13" t="s">
        <v>3776</v>
      </c>
      <c r="K186" s="13" t="s">
        <v>4136</v>
      </c>
      <c r="L186" s="14" t="s">
        <v>4211</v>
      </c>
      <c r="M186" s="14" t="s">
        <v>4212</v>
      </c>
      <c r="N186" s="13" t="s">
        <v>4213</v>
      </c>
      <c r="O186" s="13" t="str">
        <f aca="false">IF(H186="","D","C")</f>
        <v>D</v>
      </c>
      <c r="P186" s="14" t="s">
        <v>4214</v>
      </c>
    </row>
    <row r="187" customFormat="false" ht="32.8" hidden="false" customHeight="false" outlineLevel="0" collapsed="false">
      <c r="A187" s="13" t="s">
        <v>561</v>
      </c>
      <c r="B187" s="13" t="s">
        <v>3802</v>
      </c>
      <c r="C187" s="14" t="s">
        <v>563</v>
      </c>
      <c r="D187" s="14" t="s">
        <v>3803</v>
      </c>
      <c r="E187" s="25"/>
      <c r="F187" s="13" t="s">
        <v>4210</v>
      </c>
      <c r="G187" s="24" t="str">
        <f aca="false">IF($E187="","",3600/IF($E187&lt;1,14,15)*$E187*0.8*Settings!$B$7*0.8*0.95)</f>
        <v/>
      </c>
      <c r="H187" s="24" t="str">
        <f aca="false">IF($E187="","",3600/IF($E187&lt;1,14,15)*$E187*1*Settings!$B$7*0.8*0.95)</f>
        <v/>
      </c>
      <c r="I187" s="24" t="str">
        <f aca="false">IF($E187="","",3600/IF($E187&lt;1,14,15)*$E187*1.1*Settings!$B$7*0.8*0.95)</f>
        <v/>
      </c>
      <c r="J187" s="13" t="s">
        <v>3776</v>
      </c>
      <c r="K187" s="13" t="s">
        <v>4136</v>
      </c>
      <c r="L187" s="14" t="s">
        <v>4215</v>
      </c>
      <c r="M187" s="14" t="s">
        <v>4216</v>
      </c>
      <c r="N187" s="13" t="s">
        <v>4213</v>
      </c>
      <c r="O187" s="13" t="str">
        <f aca="false">IF(H187="","D","C")</f>
        <v>D</v>
      </c>
      <c r="P187" s="14" t="s">
        <v>4214</v>
      </c>
    </row>
    <row r="188" customFormat="false" ht="43.25" hidden="false" customHeight="false" outlineLevel="0" collapsed="false">
      <c r="A188" s="13" t="s">
        <v>561</v>
      </c>
      <c r="B188" s="13" t="s">
        <v>3806</v>
      </c>
      <c r="C188" s="14" t="s">
        <v>563</v>
      </c>
      <c r="D188" s="14" t="s">
        <v>3808</v>
      </c>
      <c r="E188" s="23" t="n">
        <v>1.25</v>
      </c>
      <c r="F188" s="13" t="s">
        <v>4210</v>
      </c>
      <c r="G188" s="24" t="n">
        <f aca="false">IF($E188="","",$E188*0.85*3600/33*Settings!$B$7)</f>
        <v>96.2045454545455</v>
      </c>
      <c r="H188" s="24" t="n">
        <f aca="false">IF($E188="","",$E188*0.95*3600/30*Settings!$B$7)</f>
        <v>118.275</v>
      </c>
      <c r="I188" s="24" t="n">
        <f aca="false">IF($E188="","",$E188*1*3600/27*Settings!$B$7)</f>
        <v>138.333333333333</v>
      </c>
      <c r="J188" s="13" t="s">
        <v>3746</v>
      </c>
      <c r="K188" s="13" t="s">
        <v>4136</v>
      </c>
      <c r="L188" s="14" t="s">
        <v>4298</v>
      </c>
      <c r="M188" s="14" t="s">
        <v>4299</v>
      </c>
      <c r="N188" s="13" t="s">
        <v>4300</v>
      </c>
      <c r="O188" s="13" t="str">
        <f aca="false">IF(H188="","D","C")</f>
        <v>C</v>
      </c>
      <c r="P188" s="14"/>
    </row>
    <row r="189" customFormat="false" ht="43.25" hidden="false" customHeight="false" outlineLevel="0" collapsed="false">
      <c r="A189" s="13" t="s">
        <v>561</v>
      </c>
      <c r="B189" s="13" t="s">
        <v>693</v>
      </c>
      <c r="C189" s="14" t="s">
        <v>563</v>
      </c>
      <c r="D189" s="14" t="s">
        <v>3812</v>
      </c>
      <c r="E189" s="23" t="n">
        <v>1.25</v>
      </c>
      <c r="F189" s="13" t="s">
        <v>4210</v>
      </c>
      <c r="G189" s="24" t="n">
        <f aca="false">IF($E189="","",$E189*0.85*3600/33*Settings!$B$7)</f>
        <v>96.2045454545455</v>
      </c>
      <c r="H189" s="24" t="n">
        <f aca="false">IF($E189="","",$E189*0.95*3600/30*Settings!$B$7)</f>
        <v>118.275</v>
      </c>
      <c r="I189" s="24" t="n">
        <f aca="false">IF($E189="","",$E189*1*3600/27*Settings!$B$7)</f>
        <v>138.333333333333</v>
      </c>
      <c r="J189" s="13" t="s">
        <v>3746</v>
      </c>
      <c r="K189" s="13" t="s">
        <v>4136</v>
      </c>
      <c r="L189" s="14" t="s">
        <v>4298</v>
      </c>
      <c r="M189" s="14" t="s">
        <v>4299</v>
      </c>
      <c r="N189" s="13" t="s">
        <v>4300</v>
      </c>
      <c r="O189" s="13" t="str">
        <f aca="false">IF(H189="","D","C")</f>
        <v>C</v>
      </c>
      <c r="P189" s="14"/>
    </row>
    <row r="190" customFormat="false" ht="22.35" hidden="false" customHeight="false" outlineLevel="0" collapsed="false">
      <c r="A190" s="13" t="s">
        <v>561</v>
      </c>
      <c r="B190" s="13" t="s">
        <v>4027</v>
      </c>
      <c r="C190" s="14" t="s">
        <v>563</v>
      </c>
      <c r="D190" s="14" t="s">
        <v>4028</v>
      </c>
      <c r="E190" s="13"/>
      <c r="F190" s="13"/>
      <c r="G190" s="24" t="n">
        <v>100</v>
      </c>
      <c r="H190" s="24" t="n">
        <v>300</v>
      </c>
      <c r="I190" s="24" t="n">
        <v>800</v>
      </c>
      <c r="J190" s="13" t="s">
        <v>3972</v>
      </c>
      <c r="K190" s="13" t="s">
        <v>3879</v>
      </c>
      <c r="L190" s="14" t="s">
        <v>4225</v>
      </c>
      <c r="M190" s="14" t="s">
        <v>4226</v>
      </c>
      <c r="N190" s="13" t="s">
        <v>3977</v>
      </c>
      <c r="O190" s="13" t="s">
        <v>192</v>
      </c>
      <c r="P190" s="14"/>
    </row>
    <row r="191" customFormat="false" ht="32.8" hidden="false" customHeight="false" outlineLevel="0" collapsed="false">
      <c r="A191" s="13" t="s">
        <v>571</v>
      </c>
      <c r="B191" s="13" t="s">
        <v>3790</v>
      </c>
      <c r="C191" s="14" t="s">
        <v>573</v>
      </c>
      <c r="D191" s="14" t="s">
        <v>3792</v>
      </c>
      <c r="E191" s="25"/>
      <c r="F191" s="13" t="s">
        <v>4210</v>
      </c>
      <c r="G191" s="24" t="str">
        <f aca="false">IF($E191="","",3600/IF($E191&lt;1,14,15)*$E191*0.8*Settings!$B$7*0.8*0.98)</f>
        <v/>
      </c>
      <c r="H191" s="24" t="str">
        <f aca="false">IF($E191="","",3600/IF($E191&lt;1,14,15)*$E191*1*Settings!$B$7*0.8*0.98)</f>
        <v/>
      </c>
      <c r="I191" s="24" t="str">
        <f aca="false">IF($E191="","",3600/IF($E191&lt;1,14,15)*$E191*1.1*Settings!$B$7*0.8*0.98)</f>
        <v/>
      </c>
      <c r="J191" s="13" t="s">
        <v>3776</v>
      </c>
      <c r="K191" s="13" t="s">
        <v>4136</v>
      </c>
      <c r="L191" s="14" t="s">
        <v>4211</v>
      </c>
      <c r="M191" s="14" t="s">
        <v>4212</v>
      </c>
      <c r="N191" s="13" t="s">
        <v>4213</v>
      </c>
      <c r="O191" s="13" t="str">
        <f aca="false">IF(H191="","D","C")</f>
        <v>D</v>
      </c>
      <c r="P191" s="14" t="s">
        <v>4214</v>
      </c>
    </row>
    <row r="192" customFormat="false" ht="43.25" hidden="false" customHeight="false" outlineLevel="0" collapsed="false">
      <c r="A192" s="13" t="s">
        <v>571</v>
      </c>
      <c r="B192" s="13" t="s">
        <v>3806</v>
      </c>
      <c r="C192" s="14" t="s">
        <v>573</v>
      </c>
      <c r="D192" s="14" t="s">
        <v>3808</v>
      </c>
      <c r="E192" s="23" t="n">
        <v>0.87</v>
      </c>
      <c r="F192" s="13" t="s">
        <v>4210</v>
      </c>
      <c r="G192" s="24" t="n">
        <f aca="false">IF($E192="","",$E192*0.85*3600/33*Settings!$B$7)</f>
        <v>66.9583636363636</v>
      </c>
      <c r="H192" s="24" t="n">
        <f aca="false">IF($E192="","",$E192*0.95*3600/30*Settings!$B$7)</f>
        <v>82.3194</v>
      </c>
      <c r="I192" s="24" t="n">
        <f aca="false">IF($E192="","",$E192*1*3600/27*Settings!$B$7)</f>
        <v>96.28</v>
      </c>
      <c r="J192" s="13" t="s">
        <v>3746</v>
      </c>
      <c r="K192" s="13" t="s">
        <v>4136</v>
      </c>
      <c r="L192" s="14" t="s">
        <v>4301</v>
      </c>
      <c r="M192" s="14" t="s">
        <v>4302</v>
      </c>
      <c r="N192" s="13" t="s">
        <v>4303</v>
      </c>
      <c r="O192" s="13" t="str">
        <f aca="false">IF(H192="","D","C")</f>
        <v>C</v>
      </c>
      <c r="P192" s="14"/>
    </row>
    <row r="193" customFormat="false" ht="32.8" hidden="false" customHeight="false" outlineLevel="0" collapsed="false">
      <c r="A193" s="13" t="s">
        <v>580</v>
      </c>
      <c r="B193" s="13" t="s">
        <v>3790</v>
      </c>
      <c r="C193" s="14" t="s">
        <v>582</v>
      </c>
      <c r="D193" s="14" t="s">
        <v>3792</v>
      </c>
      <c r="E193" s="25"/>
      <c r="F193" s="13" t="s">
        <v>4210</v>
      </c>
      <c r="G193" s="24" t="str">
        <f aca="false">IF($E193="","",3600/IF($E193&lt;1,14,15)*$E193*0.8*Settings!$B$7*0.8*0.98)</f>
        <v/>
      </c>
      <c r="H193" s="24" t="str">
        <f aca="false">IF($E193="","",3600/IF($E193&lt;1,14,15)*$E193*1*Settings!$B$7*0.8*0.98)</f>
        <v/>
      </c>
      <c r="I193" s="24" t="str">
        <f aca="false">IF($E193="","",3600/IF($E193&lt;1,14,15)*$E193*1.1*Settings!$B$7*0.8*0.98)</f>
        <v/>
      </c>
      <c r="J193" s="13" t="s">
        <v>3776</v>
      </c>
      <c r="K193" s="13" t="s">
        <v>4136</v>
      </c>
      <c r="L193" s="14" t="s">
        <v>4211</v>
      </c>
      <c r="M193" s="14" t="s">
        <v>4212</v>
      </c>
      <c r="N193" s="13" t="s">
        <v>4213</v>
      </c>
      <c r="O193" s="13" t="str">
        <f aca="false">IF(H193="","D","C")</f>
        <v>D</v>
      </c>
      <c r="P193" s="14" t="s">
        <v>4214</v>
      </c>
    </row>
    <row r="194" customFormat="false" ht="53.7" hidden="false" customHeight="false" outlineLevel="0" collapsed="false">
      <c r="A194" s="13" t="s">
        <v>580</v>
      </c>
      <c r="B194" s="13" t="s">
        <v>3806</v>
      </c>
      <c r="C194" s="14" t="s">
        <v>582</v>
      </c>
      <c r="D194" s="14" t="s">
        <v>3808</v>
      </c>
      <c r="E194" s="25"/>
      <c r="F194" s="13" t="s">
        <v>4210</v>
      </c>
      <c r="G194" s="24" t="str">
        <f aca="false">IF($E194="","",$E194*0.85*3600/33*Settings!$B$7)</f>
        <v/>
      </c>
      <c r="H194" s="24" t="str">
        <f aca="false">IF($E194="","",$E194*0.95*3600/30*Settings!$B$7)</f>
        <v/>
      </c>
      <c r="I194" s="24" t="str">
        <f aca="false">IF($E194="","",$E194*1*3600/27*Settings!$B$7)</f>
        <v/>
      </c>
      <c r="J194" s="13" t="s">
        <v>3746</v>
      </c>
      <c r="K194" s="13" t="s">
        <v>4136</v>
      </c>
      <c r="L194" s="14" t="s">
        <v>4295</v>
      </c>
      <c r="M194" s="14" t="s">
        <v>4296</v>
      </c>
      <c r="N194" s="13" t="s">
        <v>3815</v>
      </c>
      <c r="O194" s="13" t="str">
        <f aca="false">IF(H194="","D","C")</f>
        <v>D</v>
      </c>
      <c r="P194" s="14" t="s">
        <v>4297</v>
      </c>
    </row>
    <row r="195" customFormat="false" ht="53.7" hidden="false" customHeight="false" outlineLevel="0" collapsed="false">
      <c r="A195" s="13" t="s">
        <v>580</v>
      </c>
      <c r="B195" s="13" t="s">
        <v>693</v>
      </c>
      <c r="C195" s="14" t="s">
        <v>582</v>
      </c>
      <c r="D195" s="14" t="s">
        <v>3812</v>
      </c>
      <c r="E195" s="25"/>
      <c r="F195" s="13" t="s">
        <v>4210</v>
      </c>
      <c r="G195" s="24" t="str">
        <f aca="false">IF($E195="","",$E195*0.85*3600/33*Settings!$B$7)</f>
        <v/>
      </c>
      <c r="H195" s="24" t="str">
        <f aca="false">IF($E195="","",$E195*0.95*3600/30*Settings!$B$7)</f>
        <v/>
      </c>
      <c r="I195" s="24" t="str">
        <f aca="false">IF($E195="","",$E195*1*3600/27*Settings!$B$7)</f>
        <v/>
      </c>
      <c r="J195" s="13" t="s">
        <v>3746</v>
      </c>
      <c r="K195" s="13" t="s">
        <v>4136</v>
      </c>
      <c r="L195" s="14" t="s">
        <v>4295</v>
      </c>
      <c r="M195" s="14" t="s">
        <v>4296</v>
      </c>
      <c r="N195" s="13" t="s">
        <v>3815</v>
      </c>
      <c r="O195" s="13" t="str">
        <f aca="false">IF(H195="","D","C")</f>
        <v>D</v>
      </c>
      <c r="P195" s="14" t="s">
        <v>4297</v>
      </c>
    </row>
    <row r="196" customFormat="false" ht="32.8" hidden="false" customHeight="false" outlineLevel="0" collapsed="false">
      <c r="A196" s="13" t="s">
        <v>586</v>
      </c>
      <c r="B196" s="13" t="s">
        <v>3790</v>
      </c>
      <c r="C196" s="14" t="s">
        <v>588</v>
      </c>
      <c r="D196" s="14" t="s">
        <v>3792</v>
      </c>
      <c r="E196" s="25"/>
      <c r="F196" s="13" t="s">
        <v>4210</v>
      </c>
      <c r="G196" s="24" t="str">
        <f aca="false">IF($E196="","",3600/IF($E196&lt;1,14,15)*$E196*0.8*Settings!$B$7*0.8*0.98)</f>
        <v/>
      </c>
      <c r="H196" s="24" t="str">
        <f aca="false">IF($E196="","",3600/IF($E196&lt;1,14,15)*$E196*1*Settings!$B$7*0.8*0.98)</f>
        <v/>
      </c>
      <c r="I196" s="24" t="str">
        <f aca="false">IF($E196="","",3600/IF($E196&lt;1,14,15)*$E196*1.1*Settings!$B$7*0.8*0.98)</f>
        <v/>
      </c>
      <c r="J196" s="13" t="s">
        <v>3776</v>
      </c>
      <c r="K196" s="13" t="s">
        <v>4136</v>
      </c>
      <c r="L196" s="14" t="s">
        <v>4211</v>
      </c>
      <c r="M196" s="14" t="s">
        <v>4212</v>
      </c>
      <c r="N196" s="13" t="s">
        <v>4213</v>
      </c>
      <c r="O196" s="13" t="str">
        <f aca="false">IF(H196="","D","C")</f>
        <v>D</v>
      </c>
      <c r="P196" s="14" t="s">
        <v>4214</v>
      </c>
    </row>
    <row r="197" customFormat="false" ht="43.25" hidden="false" customHeight="false" outlineLevel="0" collapsed="false">
      <c r="A197" s="13" t="s">
        <v>586</v>
      </c>
      <c r="B197" s="13" t="s">
        <v>3796</v>
      </c>
      <c r="C197" s="14" t="s">
        <v>588</v>
      </c>
      <c r="D197" s="14" t="s">
        <v>3797</v>
      </c>
      <c r="E197" s="25"/>
      <c r="F197" s="13" t="s">
        <v>4210</v>
      </c>
      <c r="G197" s="24" t="str">
        <f aca="false">IF($E197="","",3600/IF($E197&lt;1,14,15)*$E197*0.8*Settings!$B$7*0.8*0.98)</f>
        <v/>
      </c>
      <c r="H197" s="24" t="str">
        <f aca="false">IF($E197="","",3600/IF($E197&lt;1,14,15)*$E197*1*Settings!$B$7*0.8*0.98)</f>
        <v/>
      </c>
      <c r="I197" s="24" t="str">
        <f aca="false">IF($E197="","",3600/IF($E197&lt;1,14,15)*$E197*1.1*Settings!$B$7*0.8*0.98)</f>
        <v/>
      </c>
      <c r="J197" s="13" t="s">
        <v>3776</v>
      </c>
      <c r="K197" s="13" t="s">
        <v>4136</v>
      </c>
      <c r="L197" s="14" t="s">
        <v>4227</v>
      </c>
      <c r="M197" s="14" t="s">
        <v>4212</v>
      </c>
      <c r="N197" s="13" t="s">
        <v>4213</v>
      </c>
      <c r="O197" s="13" t="str">
        <f aca="false">IF(H197="","D","C")</f>
        <v>D</v>
      </c>
      <c r="P197" s="14" t="s">
        <v>4214</v>
      </c>
    </row>
    <row r="198" customFormat="false" ht="53.7" hidden="false" customHeight="false" outlineLevel="0" collapsed="false">
      <c r="A198" s="13" t="s">
        <v>586</v>
      </c>
      <c r="B198" s="13" t="s">
        <v>3806</v>
      </c>
      <c r="C198" s="14" t="s">
        <v>588</v>
      </c>
      <c r="D198" s="14" t="s">
        <v>3808</v>
      </c>
      <c r="E198" s="25"/>
      <c r="F198" s="13" t="s">
        <v>4210</v>
      </c>
      <c r="G198" s="24" t="str">
        <f aca="false">IF($E198="","",$E198*0.85*3600/33*Settings!$B$7)</f>
        <v/>
      </c>
      <c r="H198" s="24" t="str">
        <f aca="false">IF($E198="","",$E198*0.95*3600/30*Settings!$B$7)</f>
        <v/>
      </c>
      <c r="I198" s="24" t="str">
        <f aca="false">IF($E198="","",$E198*1*3600/27*Settings!$B$7)</f>
        <v/>
      </c>
      <c r="J198" s="13" t="s">
        <v>3746</v>
      </c>
      <c r="K198" s="13" t="s">
        <v>4136</v>
      </c>
      <c r="L198" s="14" t="s">
        <v>4295</v>
      </c>
      <c r="M198" s="14" t="s">
        <v>4296</v>
      </c>
      <c r="N198" s="13" t="s">
        <v>3815</v>
      </c>
      <c r="O198" s="13" t="str">
        <f aca="false">IF(H198="","D","C")</f>
        <v>D</v>
      </c>
      <c r="P198" s="14" t="s">
        <v>4297</v>
      </c>
    </row>
    <row r="199" customFormat="false" ht="53.7" hidden="false" customHeight="false" outlineLevel="0" collapsed="false">
      <c r="A199" s="13" t="s">
        <v>586</v>
      </c>
      <c r="B199" s="13" t="s">
        <v>693</v>
      </c>
      <c r="C199" s="14" t="s">
        <v>588</v>
      </c>
      <c r="D199" s="14" t="s">
        <v>3812</v>
      </c>
      <c r="E199" s="25"/>
      <c r="F199" s="13" t="s">
        <v>4210</v>
      </c>
      <c r="G199" s="24" t="str">
        <f aca="false">IF($E199="","",$E199*0.85*3600/33*Settings!$B$7)</f>
        <v/>
      </c>
      <c r="H199" s="24" t="str">
        <f aca="false">IF($E199="","",$E199*0.95*3600/30*Settings!$B$7)</f>
        <v/>
      </c>
      <c r="I199" s="24" t="str">
        <f aca="false">IF($E199="","",$E199*1*3600/27*Settings!$B$7)</f>
        <v/>
      </c>
      <c r="J199" s="13" t="s">
        <v>3746</v>
      </c>
      <c r="K199" s="13" t="s">
        <v>4136</v>
      </c>
      <c r="L199" s="14" t="s">
        <v>4295</v>
      </c>
      <c r="M199" s="14" t="s">
        <v>4296</v>
      </c>
      <c r="N199" s="13" t="s">
        <v>3815</v>
      </c>
      <c r="O199" s="13" t="str">
        <f aca="false">IF(H199="","D","C")</f>
        <v>D</v>
      </c>
      <c r="P199" s="14" t="s">
        <v>4297</v>
      </c>
    </row>
    <row r="200" customFormat="false" ht="32.8" hidden="false" customHeight="false" outlineLevel="0" collapsed="false">
      <c r="A200" s="13" t="s">
        <v>592</v>
      </c>
      <c r="B200" s="13" t="s">
        <v>3790</v>
      </c>
      <c r="C200" s="14" t="s">
        <v>593</v>
      </c>
      <c r="D200" s="14" t="s">
        <v>3792</v>
      </c>
      <c r="E200" s="25"/>
      <c r="F200" s="13" t="s">
        <v>4210</v>
      </c>
      <c r="G200" s="24" t="str">
        <f aca="false">IF($E200="","",3600/IF($E200&lt;1,14,15)*$E200*0.8*Settings!$B$7*0.8*0.98)</f>
        <v/>
      </c>
      <c r="H200" s="24" t="str">
        <f aca="false">IF($E200="","",3600/IF($E200&lt;1,14,15)*$E200*1*Settings!$B$7*0.8*0.98)</f>
        <v/>
      </c>
      <c r="I200" s="24" t="str">
        <f aca="false">IF($E200="","",3600/IF($E200&lt;1,14,15)*$E200*1.1*Settings!$B$7*0.8*0.98)</f>
        <v/>
      </c>
      <c r="J200" s="13" t="s">
        <v>3776</v>
      </c>
      <c r="K200" s="13" t="s">
        <v>4136</v>
      </c>
      <c r="L200" s="14" t="s">
        <v>4211</v>
      </c>
      <c r="M200" s="14" t="s">
        <v>4212</v>
      </c>
      <c r="N200" s="13" t="s">
        <v>4213</v>
      </c>
      <c r="O200" s="13" t="str">
        <f aca="false">IF(H200="","D","C")</f>
        <v>D</v>
      </c>
      <c r="P200" s="14" t="s">
        <v>4214</v>
      </c>
    </row>
    <row r="201" customFormat="false" ht="43.25" hidden="false" customHeight="false" outlineLevel="0" collapsed="false">
      <c r="A201" s="13" t="s">
        <v>592</v>
      </c>
      <c r="B201" s="13" t="s">
        <v>3796</v>
      </c>
      <c r="C201" s="14" t="s">
        <v>593</v>
      </c>
      <c r="D201" s="14" t="s">
        <v>3797</v>
      </c>
      <c r="E201" s="25"/>
      <c r="F201" s="13" t="s">
        <v>4210</v>
      </c>
      <c r="G201" s="24" t="str">
        <f aca="false">IF($E201="","",3600/IF($E201&lt;1,14,15)*$E201*0.8*Settings!$B$7*0.8*0.98)</f>
        <v/>
      </c>
      <c r="H201" s="24" t="str">
        <f aca="false">IF($E201="","",3600/IF($E201&lt;1,14,15)*$E201*1*Settings!$B$7*0.8*0.98)</f>
        <v/>
      </c>
      <c r="I201" s="24" t="str">
        <f aca="false">IF($E201="","",3600/IF($E201&lt;1,14,15)*$E201*1.1*Settings!$B$7*0.8*0.98)</f>
        <v/>
      </c>
      <c r="J201" s="13" t="s">
        <v>3776</v>
      </c>
      <c r="K201" s="13" t="s">
        <v>4136</v>
      </c>
      <c r="L201" s="14" t="s">
        <v>4227</v>
      </c>
      <c r="M201" s="14" t="s">
        <v>4212</v>
      </c>
      <c r="N201" s="13" t="s">
        <v>4213</v>
      </c>
      <c r="O201" s="13" t="str">
        <f aca="false">IF(H201="","D","C")</f>
        <v>D</v>
      </c>
      <c r="P201" s="14" t="s">
        <v>4214</v>
      </c>
    </row>
    <row r="202" customFormat="false" ht="53.7" hidden="false" customHeight="false" outlineLevel="0" collapsed="false">
      <c r="A202" s="13" t="s">
        <v>592</v>
      </c>
      <c r="B202" s="13" t="s">
        <v>3806</v>
      </c>
      <c r="C202" s="14" t="s">
        <v>593</v>
      </c>
      <c r="D202" s="14" t="s">
        <v>3808</v>
      </c>
      <c r="E202" s="25"/>
      <c r="F202" s="13" t="s">
        <v>4210</v>
      </c>
      <c r="G202" s="24" t="str">
        <f aca="false">IF($E202="","",$E202*0.85*3600/33*Settings!$B$7)</f>
        <v/>
      </c>
      <c r="H202" s="24" t="str">
        <f aca="false">IF($E202="","",$E202*0.95*3600/30*Settings!$B$7)</f>
        <v/>
      </c>
      <c r="I202" s="24" t="str">
        <f aca="false">IF($E202="","",$E202*1*3600/27*Settings!$B$7)</f>
        <v/>
      </c>
      <c r="J202" s="13" t="s">
        <v>3746</v>
      </c>
      <c r="K202" s="13" t="s">
        <v>4136</v>
      </c>
      <c r="L202" s="14" t="s">
        <v>4295</v>
      </c>
      <c r="M202" s="14" t="s">
        <v>4296</v>
      </c>
      <c r="N202" s="13" t="s">
        <v>3815</v>
      </c>
      <c r="O202" s="13" t="str">
        <f aca="false">IF(H202="","D","C")</f>
        <v>D</v>
      </c>
      <c r="P202" s="14" t="s">
        <v>4297</v>
      </c>
    </row>
    <row r="203" customFormat="false" ht="53.7" hidden="false" customHeight="false" outlineLevel="0" collapsed="false">
      <c r="A203" s="13" t="s">
        <v>592</v>
      </c>
      <c r="B203" s="13" t="s">
        <v>693</v>
      </c>
      <c r="C203" s="14" t="s">
        <v>593</v>
      </c>
      <c r="D203" s="14" t="s">
        <v>3812</v>
      </c>
      <c r="E203" s="25"/>
      <c r="F203" s="13" t="s">
        <v>4210</v>
      </c>
      <c r="G203" s="24" t="str">
        <f aca="false">IF($E203="","",$E203*0.85*3600/33*Settings!$B$7)</f>
        <v/>
      </c>
      <c r="H203" s="24" t="str">
        <f aca="false">IF($E203="","",$E203*0.95*3600/30*Settings!$B$7)</f>
        <v/>
      </c>
      <c r="I203" s="24" t="str">
        <f aca="false">IF($E203="","",$E203*1*3600/27*Settings!$B$7)</f>
        <v/>
      </c>
      <c r="J203" s="13" t="s">
        <v>3746</v>
      </c>
      <c r="K203" s="13" t="s">
        <v>4136</v>
      </c>
      <c r="L203" s="14" t="s">
        <v>4295</v>
      </c>
      <c r="M203" s="14" t="s">
        <v>4296</v>
      </c>
      <c r="N203" s="13" t="s">
        <v>3815</v>
      </c>
      <c r="O203" s="13" t="str">
        <f aca="false">IF(H203="","D","C")</f>
        <v>D</v>
      </c>
      <c r="P203" s="14" t="s">
        <v>4297</v>
      </c>
    </row>
    <row r="204" customFormat="false" ht="32.8" hidden="false" customHeight="false" outlineLevel="0" collapsed="false">
      <c r="A204" s="13" t="s">
        <v>598</v>
      </c>
      <c r="B204" s="13" t="s">
        <v>3790</v>
      </c>
      <c r="C204" s="14" t="s">
        <v>600</v>
      </c>
      <c r="D204" s="14" t="s">
        <v>3792</v>
      </c>
      <c r="E204" s="25"/>
      <c r="F204" s="13" t="s">
        <v>4210</v>
      </c>
      <c r="G204" s="24" t="str">
        <f aca="false">IF($E204="","",3600/IF($E204&lt;1,14,15)*$E204*0.8*Settings!$B$7*0.8*0.98)</f>
        <v/>
      </c>
      <c r="H204" s="24" t="str">
        <f aca="false">IF($E204="","",3600/IF($E204&lt;1,14,15)*$E204*1*Settings!$B$7*0.8*0.98)</f>
        <v/>
      </c>
      <c r="I204" s="24" t="str">
        <f aca="false">IF($E204="","",3600/IF($E204&lt;1,14,15)*$E204*1.1*Settings!$B$7*0.8*0.98)</f>
        <v/>
      </c>
      <c r="J204" s="13" t="s">
        <v>3776</v>
      </c>
      <c r="K204" s="13" t="s">
        <v>4136</v>
      </c>
      <c r="L204" s="14" t="s">
        <v>4211</v>
      </c>
      <c r="M204" s="14" t="s">
        <v>4212</v>
      </c>
      <c r="N204" s="13" t="s">
        <v>4213</v>
      </c>
      <c r="O204" s="13" t="str">
        <f aca="false">IF(H204="","D","C")</f>
        <v>D</v>
      </c>
      <c r="P204" s="14" t="s">
        <v>4214</v>
      </c>
    </row>
    <row r="205" customFormat="false" ht="53.7" hidden="false" customHeight="false" outlineLevel="0" collapsed="false">
      <c r="A205" s="13" t="s">
        <v>598</v>
      </c>
      <c r="B205" s="13" t="s">
        <v>3806</v>
      </c>
      <c r="C205" s="14" t="s">
        <v>600</v>
      </c>
      <c r="D205" s="14" t="s">
        <v>3808</v>
      </c>
      <c r="E205" s="25"/>
      <c r="F205" s="13" t="s">
        <v>4210</v>
      </c>
      <c r="G205" s="24" t="str">
        <f aca="false">IF($E205="","",$E205*0.85*3600/33*Settings!$B$7)</f>
        <v/>
      </c>
      <c r="H205" s="24" t="str">
        <f aca="false">IF($E205="","",$E205*0.95*3600/30*Settings!$B$7)</f>
        <v/>
      </c>
      <c r="I205" s="24" t="str">
        <f aca="false">IF($E205="","",$E205*1*3600/27*Settings!$B$7)</f>
        <v/>
      </c>
      <c r="J205" s="13" t="s">
        <v>3746</v>
      </c>
      <c r="K205" s="13" t="s">
        <v>4136</v>
      </c>
      <c r="L205" s="14" t="s">
        <v>4295</v>
      </c>
      <c r="M205" s="14" t="s">
        <v>4296</v>
      </c>
      <c r="N205" s="13" t="s">
        <v>3815</v>
      </c>
      <c r="O205" s="13" t="str">
        <f aca="false">IF(H205="","D","C")</f>
        <v>D</v>
      </c>
      <c r="P205" s="14" t="s">
        <v>4297</v>
      </c>
    </row>
    <row r="206" customFormat="false" ht="43.25" hidden="false" customHeight="false" outlineLevel="0" collapsed="false">
      <c r="A206" s="13" t="s">
        <v>603</v>
      </c>
      <c r="B206" s="13" t="s">
        <v>693</v>
      </c>
      <c r="C206" s="14" t="s">
        <v>606</v>
      </c>
      <c r="D206" s="14" t="s">
        <v>3812</v>
      </c>
      <c r="E206" s="23" t="n">
        <v>0.6</v>
      </c>
      <c r="F206" s="13" t="s">
        <v>4210</v>
      </c>
      <c r="G206" s="24" t="n">
        <f aca="false">IF($E206="","",$E206*0.85*3600/33*Settings!$B$7)</f>
        <v>46.1781818181818</v>
      </c>
      <c r="H206" s="24" t="n">
        <f aca="false">IF($E206="","",$E206*0.95*3600/30*Settings!$B$7)</f>
        <v>56.772</v>
      </c>
      <c r="I206" s="24" t="n">
        <f aca="false">IF($E206="","",$E206*1*3600/27*Settings!$B$7)</f>
        <v>66.4</v>
      </c>
      <c r="J206" s="13" t="s">
        <v>3746</v>
      </c>
      <c r="K206" s="13" t="s">
        <v>4136</v>
      </c>
      <c r="L206" s="14" t="s">
        <v>4304</v>
      </c>
      <c r="M206" s="14" t="s">
        <v>4305</v>
      </c>
      <c r="N206" s="13" t="s">
        <v>4306</v>
      </c>
      <c r="O206" s="13" t="str">
        <f aca="false">IF(H206="","D","C")</f>
        <v>C</v>
      </c>
      <c r="P206" s="14"/>
    </row>
    <row r="207" customFormat="false" ht="43.25" hidden="false" customHeight="false" outlineLevel="0" collapsed="false">
      <c r="A207" s="13" t="s">
        <v>603</v>
      </c>
      <c r="B207" s="13" t="s">
        <v>3816</v>
      </c>
      <c r="C207" s="14" t="s">
        <v>606</v>
      </c>
      <c r="D207" s="14" t="s">
        <v>3817</v>
      </c>
      <c r="E207" s="23" t="n">
        <v>0.6</v>
      </c>
      <c r="F207" s="13" t="s">
        <v>4210</v>
      </c>
      <c r="G207" s="24" t="n">
        <f aca="false">IF($E207="","",$E207*0.85*3600/33*Settings!$B$7)</f>
        <v>46.1781818181818</v>
      </c>
      <c r="H207" s="24" t="n">
        <f aca="false">IF($E207="","",$E207*0.95*3600/30*Settings!$B$7)</f>
        <v>56.772</v>
      </c>
      <c r="I207" s="24" t="n">
        <f aca="false">IF($E207="","",$E207*1*3600/27*Settings!$B$7)</f>
        <v>66.4</v>
      </c>
      <c r="J207" s="13" t="s">
        <v>3746</v>
      </c>
      <c r="K207" s="13" t="s">
        <v>4136</v>
      </c>
      <c r="L207" s="14" t="s">
        <v>4304</v>
      </c>
      <c r="M207" s="14" t="s">
        <v>4305</v>
      </c>
      <c r="N207" s="13" t="s">
        <v>4306</v>
      </c>
      <c r="O207" s="13" t="str">
        <f aca="false">IF(H207="","D","C")</f>
        <v>C</v>
      </c>
      <c r="P207" s="14"/>
    </row>
    <row r="208" customFormat="false" ht="43.25" hidden="false" customHeight="false" outlineLevel="0" collapsed="false">
      <c r="A208" s="13" t="s">
        <v>603</v>
      </c>
      <c r="B208" s="13" t="s">
        <v>3806</v>
      </c>
      <c r="C208" s="14" t="s">
        <v>606</v>
      </c>
      <c r="D208" s="14" t="s">
        <v>3808</v>
      </c>
      <c r="E208" s="23" t="n">
        <v>0.6</v>
      </c>
      <c r="F208" s="13" t="s">
        <v>4210</v>
      </c>
      <c r="G208" s="24" t="n">
        <f aca="false">IF($E208="","",$E208*0.85*3600/33*Settings!$B$7)</f>
        <v>46.1781818181818</v>
      </c>
      <c r="H208" s="24" t="n">
        <f aca="false">IF($E208="","",$E208*0.95*3600/30*Settings!$B$7)</f>
        <v>56.772</v>
      </c>
      <c r="I208" s="24" t="n">
        <f aca="false">IF($E208="","",$E208*1*3600/27*Settings!$B$7)</f>
        <v>66.4</v>
      </c>
      <c r="J208" s="13" t="s">
        <v>3746</v>
      </c>
      <c r="K208" s="13" t="s">
        <v>4136</v>
      </c>
      <c r="L208" s="14" t="s">
        <v>4304</v>
      </c>
      <c r="M208" s="14" t="s">
        <v>4305</v>
      </c>
      <c r="N208" s="13" t="s">
        <v>4306</v>
      </c>
      <c r="O208" s="13" t="str">
        <f aca="false">IF(H208="","D","C")</f>
        <v>C</v>
      </c>
      <c r="P208" s="14"/>
    </row>
    <row r="209" customFormat="false" ht="53.7" hidden="false" customHeight="false" outlineLevel="0" collapsed="false">
      <c r="A209" s="13" t="s">
        <v>611</v>
      </c>
      <c r="B209" s="13" t="s">
        <v>693</v>
      </c>
      <c r="C209" s="14" t="s">
        <v>613</v>
      </c>
      <c r="D209" s="14" t="s">
        <v>3812</v>
      </c>
      <c r="E209" s="23" t="n">
        <v>1.125</v>
      </c>
      <c r="F209" s="13" t="s">
        <v>4210</v>
      </c>
      <c r="G209" s="24" t="n">
        <f aca="false">IF($E209="","",$E209*0.85*3600/33*Settings!$B$7)</f>
        <v>86.5840909090909</v>
      </c>
      <c r="H209" s="24" t="n">
        <f aca="false">IF($E209="","",$E209*0.95*3600/30*Settings!$B$7)</f>
        <v>106.4475</v>
      </c>
      <c r="I209" s="24" t="n">
        <f aca="false">IF($E209="","",$E209*1*3600/27*Settings!$B$7)</f>
        <v>124.5</v>
      </c>
      <c r="J209" s="13" t="s">
        <v>3746</v>
      </c>
      <c r="K209" s="13" t="s">
        <v>4136</v>
      </c>
      <c r="L209" s="14" t="s">
        <v>4307</v>
      </c>
      <c r="M209" s="14" t="s">
        <v>4308</v>
      </c>
      <c r="N209" s="13" t="s">
        <v>4306</v>
      </c>
      <c r="O209" s="13" t="str">
        <f aca="false">IF(H209="","D","C")</f>
        <v>C</v>
      </c>
      <c r="P209" s="14"/>
    </row>
    <row r="210" customFormat="false" ht="53.7" hidden="false" customHeight="false" outlineLevel="0" collapsed="false">
      <c r="A210" s="13" t="s">
        <v>611</v>
      </c>
      <c r="B210" s="13" t="s">
        <v>3816</v>
      </c>
      <c r="C210" s="14" t="s">
        <v>613</v>
      </c>
      <c r="D210" s="14" t="s">
        <v>3817</v>
      </c>
      <c r="E210" s="23" t="n">
        <v>1.125</v>
      </c>
      <c r="F210" s="13" t="s">
        <v>4210</v>
      </c>
      <c r="G210" s="24" t="n">
        <f aca="false">IF($E210="","",$E210*0.85*3600/33*Settings!$B$7)</f>
        <v>86.5840909090909</v>
      </c>
      <c r="H210" s="24" t="n">
        <f aca="false">IF($E210="","",$E210*0.95*3600/30*Settings!$B$7)</f>
        <v>106.4475</v>
      </c>
      <c r="I210" s="24" t="n">
        <f aca="false">IF($E210="","",$E210*1*3600/27*Settings!$B$7)</f>
        <v>124.5</v>
      </c>
      <c r="J210" s="13" t="s">
        <v>3746</v>
      </c>
      <c r="K210" s="13" t="s">
        <v>4136</v>
      </c>
      <c r="L210" s="14" t="s">
        <v>4307</v>
      </c>
      <c r="M210" s="14" t="s">
        <v>4308</v>
      </c>
      <c r="N210" s="13" t="s">
        <v>4306</v>
      </c>
      <c r="O210" s="13" t="str">
        <f aca="false">IF(H210="","D","C")</f>
        <v>C</v>
      </c>
      <c r="P210" s="14"/>
    </row>
    <row r="211" customFormat="false" ht="53.7" hidden="false" customHeight="false" outlineLevel="0" collapsed="false">
      <c r="A211" s="13" t="s">
        <v>611</v>
      </c>
      <c r="B211" s="13" t="s">
        <v>3806</v>
      </c>
      <c r="C211" s="14" t="s">
        <v>613</v>
      </c>
      <c r="D211" s="14" t="s">
        <v>3808</v>
      </c>
      <c r="E211" s="23" t="n">
        <v>1.125</v>
      </c>
      <c r="F211" s="13" t="s">
        <v>4210</v>
      </c>
      <c r="G211" s="24" t="n">
        <f aca="false">IF($E211="","",$E211*0.85*3600/33*Settings!$B$7)</f>
        <v>86.5840909090909</v>
      </c>
      <c r="H211" s="24" t="n">
        <f aca="false">IF($E211="","",$E211*0.95*3600/30*Settings!$B$7)</f>
        <v>106.4475</v>
      </c>
      <c r="I211" s="24" t="n">
        <f aca="false">IF($E211="","",$E211*1*3600/27*Settings!$B$7)</f>
        <v>124.5</v>
      </c>
      <c r="J211" s="13" t="s">
        <v>3746</v>
      </c>
      <c r="K211" s="13" t="s">
        <v>4136</v>
      </c>
      <c r="L211" s="14" t="s">
        <v>4307</v>
      </c>
      <c r="M211" s="14" t="s">
        <v>4308</v>
      </c>
      <c r="N211" s="13" t="s">
        <v>4306</v>
      </c>
      <c r="O211" s="13" t="str">
        <f aca="false">IF(H211="","D","C")</f>
        <v>C</v>
      </c>
      <c r="P211" s="14"/>
    </row>
    <row r="212" customFormat="false" ht="53.7" hidden="false" customHeight="false" outlineLevel="0" collapsed="false">
      <c r="A212" s="13" t="s">
        <v>619</v>
      </c>
      <c r="B212" s="13" t="s">
        <v>693</v>
      </c>
      <c r="C212" s="14" t="s">
        <v>620</v>
      </c>
      <c r="D212" s="14" t="s">
        <v>3812</v>
      </c>
      <c r="E212" s="23" t="n">
        <v>2.25</v>
      </c>
      <c r="F212" s="13" t="s">
        <v>4210</v>
      </c>
      <c r="G212" s="24" t="n">
        <f aca="false">IF($E212="","",$E212*0.85*3600/33*Settings!$B$7)</f>
        <v>173.168181818182</v>
      </c>
      <c r="H212" s="24" t="n">
        <f aca="false">IF($E212="","",$E212*0.95*3600/30*Settings!$B$7)</f>
        <v>212.895</v>
      </c>
      <c r="I212" s="24" t="n">
        <f aca="false">IF($E212="","",$E212*1*3600/27*Settings!$B$7)</f>
        <v>249</v>
      </c>
      <c r="J212" s="13" t="s">
        <v>3746</v>
      </c>
      <c r="K212" s="13" t="s">
        <v>4136</v>
      </c>
      <c r="L212" s="14" t="s">
        <v>4309</v>
      </c>
      <c r="M212" s="14" t="s">
        <v>4310</v>
      </c>
      <c r="N212" s="13" t="s">
        <v>4306</v>
      </c>
      <c r="O212" s="13" t="str">
        <f aca="false">IF(H212="","D","C")</f>
        <v>C</v>
      </c>
      <c r="P212" s="14"/>
    </row>
    <row r="213" customFormat="false" ht="53.7" hidden="false" customHeight="false" outlineLevel="0" collapsed="false">
      <c r="A213" s="13" t="s">
        <v>619</v>
      </c>
      <c r="B213" s="13" t="s">
        <v>3816</v>
      </c>
      <c r="C213" s="14" t="s">
        <v>620</v>
      </c>
      <c r="D213" s="14" t="s">
        <v>3817</v>
      </c>
      <c r="E213" s="23" t="n">
        <v>2.25</v>
      </c>
      <c r="F213" s="13" t="s">
        <v>4210</v>
      </c>
      <c r="G213" s="24" t="n">
        <f aca="false">IF($E213="","",$E213*0.85*3600/33*Settings!$B$7)</f>
        <v>173.168181818182</v>
      </c>
      <c r="H213" s="24" t="n">
        <f aca="false">IF($E213="","",$E213*0.95*3600/30*Settings!$B$7)</f>
        <v>212.895</v>
      </c>
      <c r="I213" s="24" t="n">
        <f aca="false">IF($E213="","",$E213*1*3600/27*Settings!$B$7)</f>
        <v>249</v>
      </c>
      <c r="J213" s="13" t="s">
        <v>3746</v>
      </c>
      <c r="K213" s="13" t="s">
        <v>4136</v>
      </c>
      <c r="L213" s="14" t="s">
        <v>4309</v>
      </c>
      <c r="M213" s="14" t="s">
        <v>4310</v>
      </c>
      <c r="N213" s="13" t="s">
        <v>4306</v>
      </c>
      <c r="O213" s="13" t="str">
        <f aca="false">IF(H213="","D","C")</f>
        <v>C</v>
      </c>
      <c r="P213" s="14"/>
    </row>
    <row r="214" customFormat="false" ht="53.7" hidden="false" customHeight="false" outlineLevel="0" collapsed="false">
      <c r="A214" s="13" t="s">
        <v>619</v>
      </c>
      <c r="B214" s="13" t="s">
        <v>3806</v>
      </c>
      <c r="C214" s="14" t="s">
        <v>620</v>
      </c>
      <c r="D214" s="14" t="s">
        <v>3808</v>
      </c>
      <c r="E214" s="23" t="n">
        <v>2.25</v>
      </c>
      <c r="F214" s="13" t="s">
        <v>4210</v>
      </c>
      <c r="G214" s="24" t="n">
        <f aca="false">IF($E214="","",$E214*0.85*3600/33*Settings!$B$7)</f>
        <v>173.168181818182</v>
      </c>
      <c r="H214" s="24" t="n">
        <f aca="false">IF($E214="","",$E214*0.95*3600/30*Settings!$B$7)</f>
        <v>212.895</v>
      </c>
      <c r="I214" s="24" t="n">
        <f aca="false">IF($E214="","",$E214*1*3600/27*Settings!$B$7)</f>
        <v>249</v>
      </c>
      <c r="J214" s="13" t="s">
        <v>3746</v>
      </c>
      <c r="K214" s="13" t="s">
        <v>4136</v>
      </c>
      <c r="L214" s="14" t="s">
        <v>4309</v>
      </c>
      <c r="M214" s="14" t="s">
        <v>4310</v>
      </c>
      <c r="N214" s="13" t="s">
        <v>4306</v>
      </c>
      <c r="O214" s="13" t="str">
        <f aca="false">IF(H214="","D","C")</f>
        <v>C</v>
      </c>
      <c r="P214" s="14"/>
    </row>
    <row r="215" customFormat="false" ht="43.25" hidden="false" customHeight="false" outlineLevel="0" collapsed="false">
      <c r="A215" s="13" t="s">
        <v>627</v>
      </c>
      <c r="B215" s="13" t="s">
        <v>693</v>
      </c>
      <c r="C215" s="14" t="s">
        <v>629</v>
      </c>
      <c r="D215" s="14" t="s">
        <v>3812</v>
      </c>
      <c r="E215" s="23" t="n">
        <v>3.1</v>
      </c>
      <c r="F215" s="13" t="s">
        <v>4210</v>
      </c>
      <c r="G215" s="24" t="n">
        <f aca="false">IF($E215="","",$E215*0.85*3600/33*Settings!$B$7)</f>
        <v>238.587272727273</v>
      </c>
      <c r="H215" s="24" t="n">
        <f aca="false">IF($E215="","",$E215*0.95*3600/30*Settings!$B$7)</f>
        <v>293.322</v>
      </c>
      <c r="I215" s="24" t="n">
        <f aca="false">IF($E215="","",$E215*1*3600/27*Settings!$B$7)</f>
        <v>343.066666666667</v>
      </c>
      <c r="J215" s="13" t="s">
        <v>3746</v>
      </c>
      <c r="K215" s="13" t="s">
        <v>4136</v>
      </c>
      <c r="L215" s="14" t="s">
        <v>4311</v>
      </c>
      <c r="M215" s="14" t="s">
        <v>4312</v>
      </c>
      <c r="N215" s="13" t="s">
        <v>4306</v>
      </c>
      <c r="O215" s="13" t="str">
        <f aca="false">IF(H215="","D","C")</f>
        <v>C</v>
      </c>
      <c r="P215" s="14"/>
    </row>
    <row r="216" customFormat="false" ht="43.25" hidden="false" customHeight="false" outlineLevel="0" collapsed="false">
      <c r="A216" s="13" t="s">
        <v>627</v>
      </c>
      <c r="B216" s="13" t="s">
        <v>3816</v>
      </c>
      <c r="C216" s="14" t="s">
        <v>629</v>
      </c>
      <c r="D216" s="14" t="s">
        <v>3817</v>
      </c>
      <c r="E216" s="23" t="n">
        <v>3.1</v>
      </c>
      <c r="F216" s="13" t="s">
        <v>4210</v>
      </c>
      <c r="G216" s="24" t="n">
        <f aca="false">IF($E216="","",$E216*0.85*3600/33*Settings!$B$7)</f>
        <v>238.587272727273</v>
      </c>
      <c r="H216" s="24" t="n">
        <f aca="false">IF($E216="","",$E216*0.95*3600/30*Settings!$B$7)</f>
        <v>293.322</v>
      </c>
      <c r="I216" s="24" t="n">
        <f aca="false">IF($E216="","",$E216*1*3600/27*Settings!$B$7)</f>
        <v>343.066666666667</v>
      </c>
      <c r="J216" s="13" t="s">
        <v>3746</v>
      </c>
      <c r="K216" s="13" t="s">
        <v>4136</v>
      </c>
      <c r="L216" s="14" t="s">
        <v>4311</v>
      </c>
      <c r="M216" s="14" t="s">
        <v>4312</v>
      </c>
      <c r="N216" s="13" t="s">
        <v>4306</v>
      </c>
      <c r="O216" s="13" t="str">
        <f aca="false">IF(H216="","D","C")</f>
        <v>C</v>
      </c>
      <c r="P216" s="14"/>
    </row>
    <row r="217" customFormat="false" ht="43.25" hidden="false" customHeight="false" outlineLevel="0" collapsed="false">
      <c r="A217" s="13" t="s">
        <v>627</v>
      </c>
      <c r="B217" s="13" t="s">
        <v>3806</v>
      </c>
      <c r="C217" s="14" t="s">
        <v>629</v>
      </c>
      <c r="D217" s="14" t="s">
        <v>3808</v>
      </c>
      <c r="E217" s="23" t="n">
        <v>3.1</v>
      </c>
      <c r="F217" s="13" t="s">
        <v>4210</v>
      </c>
      <c r="G217" s="24" t="n">
        <f aca="false">IF($E217="","",$E217*0.85*3600/33*Settings!$B$7)</f>
        <v>238.587272727273</v>
      </c>
      <c r="H217" s="24" t="n">
        <f aca="false">IF($E217="","",$E217*0.95*3600/30*Settings!$B$7)</f>
        <v>293.322</v>
      </c>
      <c r="I217" s="24" t="n">
        <f aca="false">IF($E217="","",$E217*1*3600/27*Settings!$B$7)</f>
        <v>343.066666666667</v>
      </c>
      <c r="J217" s="13" t="s">
        <v>3746</v>
      </c>
      <c r="K217" s="13" t="s">
        <v>4136</v>
      </c>
      <c r="L217" s="14" t="s">
        <v>4311</v>
      </c>
      <c r="M217" s="14" t="s">
        <v>4312</v>
      </c>
      <c r="N217" s="13" t="s">
        <v>4306</v>
      </c>
      <c r="O217" s="13" t="str">
        <f aca="false">IF(H217="","D","C")</f>
        <v>C</v>
      </c>
      <c r="P217" s="14"/>
    </row>
    <row r="218" customFormat="false" ht="43.25" hidden="false" customHeight="false" outlineLevel="0" collapsed="false">
      <c r="A218" s="13" t="s">
        <v>635</v>
      </c>
      <c r="B218" s="13" t="s">
        <v>693</v>
      </c>
      <c r="C218" s="14" t="s">
        <v>636</v>
      </c>
      <c r="D218" s="14" t="s">
        <v>3812</v>
      </c>
      <c r="E218" s="23" t="n">
        <v>3.875</v>
      </c>
      <c r="F218" s="13" t="s">
        <v>4210</v>
      </c>
      <c r="G218" s="24" t="n">
        <f aca="false">IF($E218="","",$E218*0.85*3600/33*Settings!$B$7)</f>
        <v>298.234090909091</v>
      </c>
      <c r="H218" s="24" t="n">
        <f aca="false">IF($E218="","",$E218*0.95*3600/30*Settings!$B$7)</f>
        <v>366.6525</v>
      </c>
      <c r="I218" s="24" t="n">
        <f aca="false">IF($E218="","",$E218*1*3600/27*Settings!$B$7)</f>
        <v>428.833333333333</v>
      </c>
      <c r="J218" s="13" t="s">
        <v>3746</v>
      </c>
      <c r="K218" s="13" t="s">
        <v>4136</v>
      </c>
      <c r="L218" s="14" t="s">
        <v>4313</v>
      </c>
      <c r="M218" s="14" t="s">
        <v>4314</v>
      </c>
      <c r="N218" s="13" t="s">
        <v>4306</v>
      </c>
      <c r="O218" s="13" t="str">
        <f aca="false">IF(H218="","D","C")</f>
        <v>C</v>
      </c>
      <c r="P218" s="14"/>
    </row>
    <row r="219" customFormat="false" ht="43.25" hidden="false" customHeight="false" outlineLevel="0" collapsed="false">
      <c r="A219" s="13" t="s">
        <v>635</v>
      </c>
      <c r="B219" s="13" t="s">
        <v>3816</v>
      </c>
      <c r="C219" s="14" t="s">
        <v>636</v>
      </c>
      <c r="D219" s="14" t="s">
        <v>3817</v>
      </c>
      <c r="E219" s="23" t="n">
        <v>3.875</v>
      </c>
      <c r="F219" s="13" t="s">
        <v>4210</v>
      </c>
      <c r="G219" s="24" t="n">
        <f aca="false">IF($E219="","",$E219*0.85*3600/33*Settings!$B$7)</f>
        <v>298.234090909091</v>
      </c>
      <c r="H219" s="24" t="n">
        <f aca="false">IF($E219="","",$E219*0.95*3600/30*Settings!$B$7)</f>
        <v>366.6525</v>
      </c>
      <c r="I219" s="24" t="n">
        <f aca="false">IF($E219="","",$E219*1*3600/27*Settings!$B$7)</f>
        <v>428.833333333333</v>
      </c>
      <c r="J219" s="13" t="s">
        <v>3746</v>
      </c>
      <c r="K219" s="13" t="s">
        <v>4136</v>
      </c>
      <c r="L219" s="14" t="s">
        <v>4313</v>
      </c>
      <c r="M219" s="14" t="s">
        <v>4314</v>
      </c>
      <c r="N219" s="13" t="s">
        <v>4306</v>
      </c>
      <c r="O219" s="13" t="str">
        <f aca="false">IF(H219="","D","C")</f>
        <v>C</v>
      </c>
      <c r="P219" s="14"/>
    </row>
    <row r="220" customFormat="false" ht="43.25" hidden="false" customHeight="false" outlineLevel="0" collapsed="false">
      <c r="A220" s="13" t="s">
        <v>635</v>
      </c>
      <c r="B220" s="13" t="s">
        <v>3806</v>
      </c>
      <c r="C220" s="14" t="s">
        <v>636</v>
      </c>
      <c r="D220" s="14" t="s">
        <v>3808</v>
      </c>
      <c r="E220" s="23" t="n">
        <v>3.875</v>
      </c>
      <c r="F220" s="13" t="s">
        <v>4210</v>
      </c>
      <c r="G220" s="24" t="n">
        <f aca="false">IF($E220="","",$E220*0.85*3600/33*Settings!$B$7)</f>
        <v>298.234090909091</v>
      </c>
      <c r="H220" s="24" t="n">
        <f aca="false">IF($E220="","",$E220*0.95*3600/30*Settings!$B$7)</f>
        <v>366.6525</v>
      </c>
      <c r="I220" s="24" t="n">
        <f aca="false">IF($E220="","",$E220*1*3600/27*Settings!$B$7)</f>
        <v>428.833333333333</v>
      </c>
      <c r="J220" s="13" t="s">
        <v>3746</v>
      </c>
      <c r="K220" s="13" t="s">
        <v>4136</v>
      </c>
      <c r="L220" s="14" t="s">
        <v>4313</v>
      </c>
      <c r="M220" s="14" t="s">
        <v>4314</v>
      </c>
      <c r="N220" s="13" t="s">
        <v>4306</v>
      </c>
      <c r="O220" s="13" t="str">
        <f aca="false">IF(H220="","D","C")</f>
        <v>C</v>
      </c>
      <c r="P220" s="14"/>
    </row>
    <row r="221" customFormat="false" ht="53.7" hidden="false" customHeight="false" outlineLevel="0" collapsed="false">
      <c r="A221" s="13" t="s">
        <v>642</v>
      </c>
      <c r="B221" s="13" t="s">
        <v>693</v>
      </c>
      <c r="C221" s="14" t="s">
        <v>644</v>
      </c>
      <c r="D221" s="14" t="s">
        <v>3812</v>
      </c>
      <c r="E221" s="23" t="n">
        <v>4.5</v>
      </c>
      <c r="F221" s="13" t="s">
        <v>4210</v>
      </c>
      <c r="G221" s="24" t="n">
        <f aca="false">IF($E221="","",$E221*0.85*3600/33*Settings!$B$7)</f>
        <v>346.336363636364</v>
      </c>
      <c r="H221" s="24" t="n">
        <f aca="false">IF($E221="","",$E221*0.95*3600/30*Settings!$B$7)</f>
        <v>425.79</v>
      </c>
      <c r="I221" s="24" t="n">
        <f aca="false">IF($E221="","",$E221*1*3600/27*Settings!$B$7)</f>
        <v>498</v>
      </c>
      <c r="J221" s="13" t="s">
        <v>3746</v>
      </c>
      <c r="K221" s="13" t="s">
        <v>4136</v>
      </c>
      <c r="L221" s="14" t="s">
        <v>4315</v>
      </c>
      <c r="M221" s="14" t="s">
        <v>4316</v>
      </c>
      <c r="N221" s="13" t="s">
        <v>4306</v>
      </c>
      <c r="O221" s="13" t="str">
        <f aca="false">IF(H221="","D","C")</f>
        <v>C</v>
      </c>
      <c r="P221" s="14"/>
    </row>
    <row r="222" customFormat="false" ht="53.7" hidden="false" customHeight="false" outlineLevel="0" collapsed="false">
      <c r="A222" s="13" t="s">
        <v>642</v>
      </c>
      <c r="B222" s="13" t="s">
        <v>3816</v>
      </c>
      <c r="C222" s="14" t="s">
        <v>644</v>
      </c>
      <c r="D222" s="14" t="s">
        <v>3817</v>
      </c>
      <c r="E222" s="23" t="n">
        <v>4.5</v>
      </c>
      <c r="F222" s="13" t="s">
        <v>4210</v>
      </c>
      <c r="G222" s="24" t="n">
        <f aca="false">IF($E222="","",$E222*0.85*3600/33*Settings!$B$7)</f>
        <v>346.336363636364</v>
      </c>
      <c r="H222" s="24" t="n">
        <f aca="false">IF($E222="","",$E222*0.95*3600/30*Settings!$B$7)</f>
        <v>425.79</v>
      </c>
      <c r="I222" s="24" t="n">
        <f aca="false">IF($E222="","",$E222*1*3600/27*Settings!$B$7)</f>
        <v>498</v>
      </c>
      <c r="J222" s="13" t="s">
        <v>3746</v>
      </c>
      <c r="K222" s="13" t="s">
        <v>4136</v>
      </c>
      <c r="L222" s="14" t="s">
        <v>4315</v>
      </c>
      <c r="M222" s="14" t="s">
        <v>4316</v>
      </c>
      <c r="N222" s="13" t="s">
        <v>4306</v>
      </c>
      <c r="O222" s="13" t="str">
        <f aca="false">IF(H222="","D","C")</f>
        <v>C</v>
      </c>
      <c r="P222" s="14"/>
    </row>
    <row r="223" customFormat="false" ht="53.7" hidden="false" customHeight="false" outlineLevel="0" collapsed="false">
      <c r="A223" s="13" t="s">
        <v>642</v>
      </c>
      <c r="B223" s="13" t="s">
        <v>3806</v>
      </c>
      <c r="C223" s="14" t="s">
        <v>644</v>
      </c>
      <c r="D223" s="14" t="s">
        <v>3808</v>
      </c>
      <c r="E223" s="23" t="n">
        <v>4.5</v>
      </c>
      <c r="F223" s="13" t="s">
        <v>4210</v>
      </c>
      <c r="G223" s="24" t="n">
        <f aca="false">IF($E223="","",$E223*0.85*3600/33*Settings!$B$7)</f>
        <v>346.336363636364</v>
      </c>
      <c r="H223" s="24" t="n">
        <f aca="false">IF($E223="","",$E223*0.95*3600/30*Settings!$B$7)</f>
        <v>425.79</v>
      </c>
      <c r="I223" s="24" t="n">
        <f aca="false">IF($E223="","",$E223*1*3600/27*Settings!$B$7)</f>
        <v>498</v>
      </c>
      <c r="J223" s="13" t="s">
        <v>3746</v>
      </c>
      <c r="K223" s="13" t="s">
        <v>4136</v>
      </c>
      <c r="L223" s="14" t="s">
        <v>4315</v>
      </c>
      <c r="M223" s="14" t="s">
        <v>4316</v>
      </c>
      <c r="N223" s="13" t="s">
        <v>4306</v>
      </c>
      <c r="O223" s="13" t="str">
        <f aca="false">IF(H223="","D","C")</f>
        <v>C</v>
      </c>
      <c r="P223" s="14"/>
    </row>
    <row r="224" customFormat="false" ht="43.25" hidden="false" customHeight="false" outlineLevel="0" collapsed="false">
      <c r="A224" s="13" t="s">
        <v>650</v>
      </c>
      <c r="B224" s="13" t="s">
        <v>693</v>
      </c>
      <c r="C224" s="14" t="s">
        <v>651</v>
      </c>
      <c r="D224" s="14" t="s">
        <v>3812</v>
      </c>
      <c r="E224" s="23" t="n">
        <v>5.25</v>
      </c>
      <c r="F224" s="13" t="s">
        <v>4210</v>
      </c>
      <c r="G224" s="24" t="n">
        <f aca="false">IF($E224="","",$E224*0.85*3600/33*Settings!$B$7)</f>
        <v>404.059090909091</v>
      </c>
      <c r="H224" s="24" t="n">
        <f aca="false">IF($E224="","",$E224*0.95*3600/30*Settings!$B$7)</f>
        <v>496.755</v>
      </c>
      <c r="I224" s="24" t="n">
        <f aca="false">IF($E224="","",$E224*1*3600/27*Settings!$B$7)</f>
        <v>581</v>
      </c>
      <c r="J224" s="13" t="s">
        <v>3746</v>
      </c>
      <c r="K224" s="13" t="s">
        <v>4136</v>
      </c>
      <c r="L224" s="14" t="s">
        <v>4317</v>
      </c>
      <c r="M224" s="14" t="s">
        <v>4318</v>
      </c>
      <c r="N224" s="13" t="s">
        <v>4306</v>
      </c>
      <c r="O224" s="13" t="str">
        <f aca="false">IF(H224="","D","C")</f>
        <v>C</v>
      </c>
      <c r="P224" s="14"/>
    </row>
    <row r="225" customFormat="false" ht="43.25" hidden="false" customHeight="false" outlineLevel="0" collapsed="false">
      <c r="A225" s="13" t="s">
        <v>650</v>
      </c>
      <c r="B225" s="13" t="s">
        <v>3816</v>
      </c>
      <c r="C225" s="14" t="s">
        <v>651</v>
      </c>
      <c r="D225" s="14" t="s">
        <v>3817</v>
      </c>
      <c r="E225" s="23" t="n">
        <v>5.25</v>
      </c>
      <c r="F225" s="13" t="s">
        <v>4210</v>
      </c>
      <c r="G225" s="24" t="n">
        <f aca="false">IF($E225="","",$E225*0.85*3600/33*Settings!$B$7)</f>
        <v>404.059090909091</v>
      </c>
      <c r="H225" s="24" t="n">
        <f aca="false">IF($E225="","",$E225*0.95*3600/30*Settings!$B$7)</f>
        <v>496.755</v>
      </c>
      <c r="I225" s="24" t="n">
        <f aca="false">IF($E225="","",$E225*1*3600/27*Settings!$B$7)</f>
        <v>581</v>
      </c>
      <c r="J225" s="13" t="s">
        <v>3746</v>
      </c>
      <c r="K225" s="13" t="s">
        <v>4136</v>
      </c>
      <c r="L225" s="14" t="s">
        <v>4317</v>
      </c>
      <c r="M225" s="14" t="s">
        <v>4318</v>
      </c>
      <c r="N225" s="13" t="s">
        <v>4306</v>
      </c>
      <c r="O225" s="13" t="str">
        <f aca="false">IF(H225="","D","C")</f>
        <v>C</v>
      </c>
      <c r="P225" s="14"/>
    </row>
    <row r="226" customFormat="false" ht="43.25" hidden="false" customHeight="false" outlineLevel="0" collapsed="false">
      <c r="A226" s="13" t="s">
        <v>650</v>
      </c>
      <c r="B226" s="13" t="s">
        <v>3806</v>
      </c>
      <c r="C226" s="14" t="s">
        <v>651</v>
      </c>
      <c r="D226" s="14" t="s">
        <v>3808</v>
      </c>
      <c r="E226" s="23" t="n">
        <v>5.25</v>
      </c>
      <c r="F226" s="13" t="s">
        <v>4210</v>
      </c>
      <c r="G226" s="24" t="n">
        <f aca="false">IF($E226="","",$E226*0.85*3600/33*Settings!$B$7)</f>
        <v>404.059090909091</v>
      </c>
      <c r="H226" s="24" t="n">
        <f aca="false">IF($E226="","",$E226*0.95*3600/30*Settings!$B$7)</f>
        <v>496.755</v>
      </c>
      <c r="I226" s="24" t="n">
        <f aca="false">IF($E226="","",$E226*1*3600/27*Settings!$B$7)</f>
        <v>581</v>
      </c>
      <c r="J226" s="13" t="s">
        <v>3746</v>
      </c>
      <c r="K226" s="13" t="s">
        <v>4136</v>
      </c>
      <c r="L226" s="14" t="s">
        <v>4317</v>
      </c>
      <c r="M226" s="14" t="s">
        <v>4318</v>
      </c>
      <c r="N226" s="13" t="s">
        <v>4306</v>
      </c>
      <c r="O226" s="13" t="str">
        <f aca="false">IF(H226="","D","C")</f>
        <v>C</v>
      </c>
      <c r="P226" s="14"/>
    </row>
    <row r="227" customFormat="false" ht="53.7" hidden="false" customHeight="false" outlineLevel="0" collapsed="false">
      <c r="A227" s="13" t="s">
        <v>657</v>
      </c>
      <c r="B227" s="13" t="s">
        <v>693</v>
      </c>
      <c r="C227" s="14" t="s">
        <v>658</v>
      </c>
      <c r="D227" s="14" t="s">
        <v>3812</v>
      </c>
      <c r="E227" s="25"/>
      <c r="F227" s="13" t="s">
        <v>4210</v>
      </c>
      <c r="G227" s="24" t="str">
        <f aca="false">IF($E227="","",$E227*0.85*3600/33*Settings!$B$7)</f>
        <v/>
      </c>
      <c r="H227" s="24" t="str">
        <f aca="false">IF($E227="","",$E227*0.95*3600/30*Settings!$B$7)</f>
        <v/>
      </c>
      <c r="I227" s="24" t="str">
        <f aca="false">IF($E227="","",$E227*1*3600/27*Settings!$B$7)</f>
        <v/>
      </c>
      <c r="J227" s="13" t="s">
        <v>3746</v>
      </c>
      <c r="K227" s="13" t="s">
        <v>4136</v>
      </c>
      <c r="L227" s="14" t="s">
        <v>4295</v>
      </c>
      <c r="M227" s="14" t="s">
        <v>4296</v>
      </c>
      <c r="N227" s="13" t="s">
        <v>3815</v>
      </c>
      <c r="O227" s="13" t="str">
        <f aca="false">IF(H227="","D","C")</f>
        <v>D</v>
      </c>
      <c r="P227" s="14" t="s">
        <v>4297</v>
      </c>
    </row>
    <row r="228" customFormat="false" ht="53.7" hidden="false" customHeight="false" outlineLevel="0" collapsed="false">
      <c r="A228" s="13" t="s">
        <v>657</v>
      </c>
      <c r="B228" s="13" t="s">
        <v>3816</v>
      </c>
      <c r="C228" s="14" t="s">
        <v>658</v>
      </c>
      <c r="D228" s="14" t="s">
        <v>3817</v>
      </c>
      <c r="E228" s="25"/>
      <c r="F228" s="13" t="s">
        <v>4210</v>
      </c>
      <c r="G228" s="24" t="str">
        <f aca="false">IF($E228="","",$E228*0.85*3600/33*Settings!$B$7)</f>
        <v/>
      </c>
      <c r="H228" s="24" t="str">
        <f aca="false">IF($E228="","",$E228*0.95*3600/30*Settings!$B$7)</f>
        <v/>
      </c>
      <c r="I228" s="24" t="str">
        <f aca="false">IF($E228="","",$E228*1*3600/27*Settings!$B$7)</f>
        <v/>
      </c>
      <c r="J228" s="13" t="s">
        <v>3746</v>
      </c>
      <c r="K228" s="13" t="s">
        <v>4136</v>
      </c>
      <c r="L228" s="14" t="s">
        <v>4295</v>
      </c>
      <c r="M228" s="14" t="s">
        <v>4296</v>
      </c>
      <c r="N228" s="13" t="s">
        <v>3815</v>
      </c>
      <c r="O228" s="13" t="str">
        <f aca="false">IF(H228="","D","C")</f>
        <v>D</v>
      </c>
      <c r="P228" s="14" t="s">
        <v>4297</v>
      </c>
    </row>
    <row r="229" customFormat="false" ht="53.7" hidden="false" customHeight="false" outlineLevel="0" collapsed="false">
      <c r="A229" s="13" t="s">
        <v>657</v>
      </c>
      <c r="B229" s="13" t="s">
        <v>3806</v>
      </c>
      <c r="C229" s="14" t="s">
        <v>658</v>
      </c>
      <c r="D229" s="14" t="s">
        <v>3808</v>
      </c>
      <c r="E229" s="25"/>
      <c r="F229" s="13" t="s">
        <v>4210</v>
      </c>
      <c r="G229" s="24" t="str">
        <f aca="false">IF($E229="","",$E229*0.85*3600/33*Settings!$B$7)</f>
        <v/>
      </c>
      <c r="H229" s="24" t="str">
        <f aca="false">IF($E229="","",$E229*0.95*3600/30*Settings!$B$7)</f>
        <v/>
      </c>
      <c r="I229" s="24" t="str">
        <f aca="false">IF($E229="","",$E229*1*3600/27*Settings!$B$7)</f>
        <v/>
      </c>
      <c r="J229" s="13" t="s">
        <v>3746</v>
      </c>
      <c r="K229" s="13" t="s">
        <v>4136</v>
      </c>
      <c r="L229" s="14" t="s">
        <v>4295</v>
      </c>
      <c r="M229" s="14" t="s">
        <v>4296</v>
      </c>
      <c r="N229" s="13" t="s">
        <v>3815</v>
      </c>
      <c r="O229" s="13" t="str">
        <f aca="false">IF(H229="","D","C")</f>
        <v>D</v>
      </c>
      <c r="P229" s="14" t="s">
        <v>4297</v>
      </c>
    </row>
    <row r="230" customFormat="false" ht="43.25" hidden="false" customHeight="false" outlineLevel="0" collapsed="false">
      <c r="A230" s="13" t="s">
        <v>663</v>
      </c>
      <c r="B230" s="13" t="s">
        <v>693</v>
      </c>
      <c r="C230" s="14" t="s">
        <v>664</v>
      </c>
      <c r="D230" s="14" t="s">
        <v>3812</v>
      </c>
      <c r="E230" s="23" t="n">
        <v>6.625</v>
      </c>
      <c r="F230" s="13" t="s">
        <v>4210</v>
      </c>
      <c r="G230" s="24" t="n">
        <f aca="false">IF($E230="","",$E230*0.85*3600/33*Settings!$B$7)</f>
        <v>509.884090909091</v>
      </c>
      <c r="H230" s="24" t="n">
        <f aca="false">IF($E230="","",$E230*0.95*3600/30*Settings!$B$7)</f>
        <v>626.8575</v>
      </c>
      <c r="I230" s="24" t="n">
        <f aca="false">IF($E230="","",$E230*1*3600/27*Settings!$B$7)</f>
        <v>733.166666666667</v>
      </c>
      <c r="J230" s="13" t="s">
        <v>3746</v>
      </c>
      <c r="K230" s="13" t="s">
        <v>4136</v>
      </c>
      <c r="L230" s="14" t="s">
        <v>4319</v>
      </c>
      <c r="M230" s="14" t="s">
        <v>4320</v>
      </c>
      <c r="N230" s="13" t="s">
        <v>4306</v>
      </c>
      <c r="O230" s="13" t="str">
        <f aca="false">IF(H230="","D","C")</f>
        <v>C</v>
      </c>
      <c r="P230" s="14"/>
    </row>
    <row r="231" customFormat="false" ht="43.25" hidden="false" customHeight="false" outlineLevel="0" collapsed="false">
      <c r="A231" s="13" t="s">
        <v>663</v>
      </c>
      <c r="B231" s="13" t="s">
        <v>3816</v>
      </c>
      <c r="C231" s="14" t="s">
        <v>664</v>
      </c>
      <c r="D231" s="14" t="s">
        <v>3817</v>
      </c>
      <c r="E231" s="23" t="n">
        <v>6.625</v>
      </c>
      <c r="F231" s="13" t="s">
        <v>4210</v>
      </c>
      <c r="G231" s="24" t="n">
        <f aca="false">IF($E231="","",$E231*0.85*3600/33*Settings!$B$7)</f>
        <v>509.884090909091</v>
      </c>
      <c r="H231" s="24" t="n">
        <f aca="false">IF($E231="","",$E231*0.95*3600/30*Settings!$B$7)</f>
        <v>626.8575</v>
      </c>
      <c r="I231" s="24" t="n">
        <f aca="false">IF($E231="","",$E231*1*3600/27*Settings!$B$7)</f>
        <v>733.166666666667</v>
      </c>
      <c r="J231" s="13" t="s">
        <v>3746</v>
      </c>
      <c r="K231" s="13" t="s">
        <v>4136</v>
      </c>
      <c r="L231" s="14" t="s">
        <v>4319</v>
      </c>
      <c r="M231" s="14" t="s">
        <v>4320</v>
      </c>
      <c r="N231" s="13" t="s">
        <v>4306</v>
      </c>
      <c r="O231" s="13" t="str">
        <f aca="false">IF(H231="","D","C")</f>
        <v>C</v>
      </c>
      <c r="P231" s="14"/>
    </row>
    <row r="232" customFormat="false" ht="43.25" hidden="false" customHeight="false" outlineLevel="0" collapsed="false">
      <c r="A232" s="13" t="s">
        <v>663</v>
      </c>
      <c r="B232" s="13" t="s">
        <v>3806</v>
      </c>
      <c r="C232" s="14" t="s">
        <v>664</v>
      </c>
      <c r="D232" s="14" t="s">
        <v>3808</v>
      </c>
      <c r="E232" s="23" t="n">
        <v>6.625</v>
      </c>
      <c r="F232" s="13" t="s">
        <v>4210</v>
      </c>
      <c r="G232" s="24" t="n">
        <f aca="false">IF($E232="","",$E232*0.85*3600/33*Settings!$B$7)</f>
        <v>509.884090909091</v>
      </c>
      <c r="H232" s="24" t="n">
        <f aca="false">IF($E232="","",$E232*0.95*3600/30*Settings!$B$7)</f>
        <v>626.8575</v>
      </c>
      <c r="I232" s="24" t="n">
        <f aca="false">IF($E232="","",$E232*1*3600/27*Settings!$B$7)</f>
        <v>733.166666666667</v>
      </c>
      <c r="J232" s="13" t="s">
        <v>3746</v>
      </c>
      <c r="K232" s="13" t="s">
        <v>4136</v>
      </c>
      <c r="L232" s="14" t="s">
        <v>4319</v>
      </c>
      <c r="M232" s="14" t="s">
        <v>4320</v>
      </c>
      <c r="N232" s="13" t="s">
        <v>4306</v>
      </c>
      <c r="O232" s="13" t="str">
        <f aca="false">IF(H232="","D","C")</f>
        <v>C</v>
      </c>
      <c r="P232" s="14"/>
    </row>
    <row r="233" customFormat="false" ht="53.7" hidden="false" customHeight="false" outlineLevel="0" collapsed="false">
      <c r="A233" s="13" t="s">
        <v>669</v>
      </c>
      <c r="B233" s="13" t="s">
        <v>693</v>
      </c>
      <c r="C233" s="14" t="s">
        <v>670</v>
      </c>
      <c r="D233" s="14" t="s">
        <v>3812</v>
      </c>
      <c r="E233" s="25"/>
      <c r="F233" s="13" t="s">
        <v>4210</v>
      </c>
      <c r="G233" s="24" t="str">
        <f aca="false">IF($E233="","",$E233*0.85*3600/33*Settings!$B$7)</f>
        <v/>
      </c>
      <c r="H233" s="24" t="str">
        <f aca="false">IF($E233="","",$E233*0.95*3600/30*Settings!$B$7)</f>
        <v/>
      </c>
      <c r="I233" s="24" t="str">
        <f aca="false">IF($E233="","",$E233*1*3600/27*Settings!$B$7)</f>
        <v/>
      </c>
      <c r="J233" s="13" t="s">
        <v>3746</v>
      </c>
      <c r="K233" s="13" t="s">
        <v>4136</v>
      </c>
      <c r="L233" s="14" t="s">
        <v>4295</v>
      </c>
      <c r="M233" s="14" t="s">
        <v>4296</v>
      </c>
      <c r="N233" s="13" t="s">
        <v>3815</v>
      </c>
      <c r="O233" s="13" t="str">
        <f aca="false">IF(H233="","D","C")</f>
        <v>D</v>
      </c>
      <c r="P233" s="14" t="s">
        <v>4297</v>
      </c>
    </row>
    <row r="234" customFormat="false" ht="53.7" hidden="false" customHeight="false" outlineLevel="0" collapsed="false">
      <c r="A234" s="13" t="s">
        <v>669</v>
      </c>
      <c r="B234" s="13" t="s">
        <v>3816</v>
      </c>
      <c r="C234" s="14" t="s">
        <v>670</v>
      </c>
      <c r="D234" s="14" t="s">
        <v>3817</v>
      </c>
      <c r="E234" s="25"/>
      <c r="F234" s="13" t="s">
        <v>4210</v>
      </c>
      <c r="G234" s="24" t="str">
        <f aca="false">IF($E234="","",$E234*0.85*3600/33*Settings!$B$7)</f>
        <v/>
      </c>
      <c r="H234" s="24" t="str">
        <f aca="false">IF($E234="","",$E234*0.95*3600/30*Settings!$B$7)</f>
        <v/>
      </c>
      <c r="I234" s="24" t="str">
        <f aca="false">IF($E234="","",$E234*1*3600/27*Settings!$B$7)</f>
        <v/>
      </c>
      <c r="J234" s="13" t="s">
        <v>3746</v>
      </c>
      <c r="K234" s="13" t="s">
        <v>4136</v>
      </c>
      <c r="L234" s="14" t="s">
        <v>4295</v>
      </c>
      <c r="M234" s="14" t="s">
        <v>4296</v>
      </c>
      <c r="N234" s="13" t="s">
        <v>3815</v>
      </c>
      <c r="O234" s="13" t="str">
        <f aca="false">IF(H234="","D","C")</f>
        <v>D</v>
      </c>
      <c r="P234" s="14" t="s">
        <v>4297</v>
      </c>
    </row>
    <row r="235" customFormat="false" ht="53.7" hidden="false" customHeight="false" outlineLevel="0" collapsed="false">
      <c r="A235" s="13" t="s">
        <v>675</v>
      </c>
      <c r="B235" s="13" t="s">
        <v>693</v>
      </c>
      <c r="C235" s="14" t="s">
        <v>677</v>
      </c>
      <c r="D235" s="14" t="s">
        <v>3812</v>
      </c>
      <c r="E235" s="25"/>
      <c r="F235" s="13" t="s">
        <v>4210</v>
      </c>
      <c r="G235" s="24" t="str">
        <f aca="false">IF($E235="","",$E235*0.85*3600/33*Settings!$B$7)</f>
        <v/>
      </c>
      <c r="H235" s="24" t="str">
        <f aca="false">IF($E235="","",$E235*0.95*3600/30*Settings!$B$7)</f>
        <v/>
      </c>
      <c r="I235" s="24" t="str">
        <f aca="false">IF($E235="","",$E235*1*3600/27*Settings!$B$7)</f>
        <v/>
      </c>
      <c r="J235" s="13" t="s">
        <v>3746</v>
      </c>
      <c r="K235" s="13" t="s">
        <v>4136</v>
      </c>
      <c r="L235" s="14" t="s">
        <v>4295</v>
      </c>
      <c r="M235" s="14" t="s">
        <v>4296</v>
      </c>
      <c r="N235" s="13" t="s">
        <v>3815</v>
      </c>
      <c r="O235" s="13" t="str">
        <f aca="false">IF(H235="","D","C")</f>
        <v>D</v>
      </c>
      <c r="P235" s="14" t="s">
        <v>4297</v>
      </c>
    </row>
    <row r="236" customFormat="false" ht="53.7" hidden="false" customHeight="false" outlineLevel="0" collapsed="false">
      <c r="A236" s="13" t="s">
        <v>675</v>
      </c>
      <c r="B236" s="13" t="s">
        <v>3816</v>
      </c>
      <c r="C236" s="14" t="s">
        <v>677</v>
      </c>
      <c r="D236" s="14" t="s">
        <v>3817</v>
      </c>
      <c r="E236" s="25"/>
      <c r="F236" s="13" t="s">
        <v>4210</v>
      </c>
      <c r="G236" s="24" t="str">
        <f aca="false">IF($E236="","",$E236*0.85*3600/33*Settings!$B$7)</f>
        <v/>
      </c>
      <c r="H236" s="24" t="str">
        <f aca="false">IF($E236="","",$E236*0.95*3600/30*Settings!$B$7)</f>
        <v/>
      </c>
      <c r="I236" s="24" t="str">
        <f aca="false">IF($E236="","",$E236*1*3600/27*Settings!$B$7)</f>
        <v/>
      </c>
      <c r="J236" s="13" t="s">
        <v>3746</v>
      </c>
      <c r="K236" s="13" t="s">
        <v>4136</v>
      </c>
      <c r="L236" s="14" t="s">
        <v>4295</v>
      </c>
      <c r="M236" s="14" t="s">
        <v>4296</v>
      </c>
      <c r="N236" s="13" t="s">
        <v>3815</v>
      </c>
      <c r="O236" s="13" t="str">
        <f aca="false">IF(H236="","D","C")</f>
        <v>D</v>
      </c>
      <c r="P236" s="14" t="s">
        <v>4297</v>
      </c>
    </row>
    <row r="237" customFormat="false" ht="53.7" hidden="false" customHeight="false" outlineLevel="0" collapsed="false">
      <c r="A237" s="13" t="s">
        <v>682</v>
      </c>
      <c r="B237" s="13" t="s">
        <v>693</v>
      </c>
      <c r="C237" s="14" t="s">
        <v>683</v>
      </c>
      <c r="D237" s="14" t="s">
        <v>3812</v>
      </c>
      <c r="E237" s="25"/>
      <c r="F237" s="13" t="s">
        <v>4210</v>
      </c>
      <c r="G237" s="24" t="str">
        <f aca="false">IF($E237="","",$E237*0.85*3600/33*Settings!$B$7)</f>
        <v/>
      </c>
      <c r="H237" s="24" t="str">
        <f aca="false">IF($E237="","",$E237*0.95*3600/30*Settings!$B$7)</f>
        <v/>
      </c>
      <c r="I237" s="24" t="str">
        <f aca="false">IF($E237="","",$E237*1*3600/27*Settings!$B$7)</f>
        <v/>
      </c>
      <c r="J237" s="13" t="s">
        <v>3746</v>
      </c>
      <c r="K237" s="13" t="s">
        <v>4136</v>
      </c>
      <c r="L237" s="14" t="s">
        <v>4295</v>
      </c>
      <c r="M237" s="14" t="s">
        <v>4296</v>
      </c>
      <c r="N237" s="13" t="s">
        <v>3815</v>
      </c>
      <c r="O237" s="13" t="str">
        <f aca="false">IF(H237="","D","C")</f>
        <v>D</v>
      </c>
      <c r="P237" s="14" t="s">
        <v>4297</v>
      </c>
    </row>
    <row r="238" customFormat="false" ht="53.7" hidden="false" customHeight="false" outlineLevel="0" collapsed="false">
      <c r="A238" s="13" t="s">
        <v>682</v>
      </c>
      <c r="B238" s="13" t="s">
        <v>3816</v>
      </c>
      <c r="C238" s="14" t="s">
        <v>683</v>
      </c>
      <c r="D238" s="14" t="s">
        <v>3817</v>
      </c>
      <c r="E238" s="25"/>
      <c r="F238" s="13" t="s">
        <v>4210</v>
      </c>
      <c r="G238" s="24" t="str">
        <f aca="false">IF($E238="","",$E238*0.85*3600/33*Settings!$B$7)</f>
        <v/>
      </c>
      <c r="H238" s="24" t="str">
        <f aca="false">IF($E238="","",$E238*0.95*3600/30*Settings!$B$7)</f>
        <v/>
      </c>
      <c r="I238" s="24" t="str">
        <f aca="false">IF($E238="","",$E238*1*3600/27*Settings!$B$7)</f>
        <v/>
      </c>
      <c r="J238" s="13" t="s">
        <v>3746</v>
      </c>
      <c r="K238" s="13" t="s">
        <v>4136</v>
      </c>
      <c r="L238" s="14" t="s">
        <v>4295</v>
      </c>
      <c r="M238" s="14" t="s">
        <v>4296</v>
      </c>
      <c r="N238" s="13" t="s">
        <v>3815</v>
      </c>
      <c r="O238" s="13" t="str">
        <f aca="false">IF(H238="","D","C")</f>
        <v>D</v>
      </c>
      <c r="P238" s="14" t="s">
        <v>4297</v>
      </c>
    </row>
    <row r="239" customFormat="false" ht="53.7" hidden="false" customHeight="false" outlineLevel="0" collapsed="false">
      <c r="A239" s="13" t="s">
        <v>689</v>
      </c>
      <c r="B239" s="13" t="s">
        <v>693</v>
      </c>
      <c r="C239" s="14" t="s">
        <v>691</v>
      </c>
      <c r="D239" s="14" t="s">
        <v>3812</v>
      </c>
      <c r="E239" s="25"/>
      <c r="F239" s="13" t="s">
        <v>4210</v>
      </c>
      <c r="G239" s="24" t="str">
        <f aca="false">IF($E239="","",$E239*0.85*3600/33*Settings!$B$7)</f>
        <v/>
      </c>
      <c r="H239" s="24" t="str">
        <f aca="false">IF($E239="","",$E239*0.95*3600/30*Settings!$B$7)</f>
        <v/>
      </c>
      <c r="I239" s="24" t="str">
        <f aca="false">IF($E239="","",$E239*1*3600/27*Settings!$B$7)</f>
        <v/>
      </c>
      <c r="J239" s="13" t="s">
        <v>3746</v>
      </c>
      <c r="K239" s="13" t="s">
        <v>4136</v>
      </c>
      <c r="L239" s="14" t="s">
        <v>4295</v>
      </c>
      <c r="M239" s="14" t="s">
        <v>4296</v>
      </c>
      <c r="N239" s="13" t="s">
        <v>3815</v>
      </c>
      <c r="O239" s="13" t="str">
        <f aca="false">IF(H239="","D","C")</f>
        <v>D</v>
      </c>
      <c r="P239" s="14" t="s">
        <v>4297</v>
      </c>
    </row>
    <row r="240" customFormat="false" ht="53.7" hidden="false" customHeight="false" outlineLevel="0" collapsed="false">
      <c r="A240" s="13" t="s">
        <v>695</v>
      </c>
      <c r="B240" s="13" t="s">
        <v>693</v>
      </c>
      <c r="C240" s="14" t="s">
        <v>696</v>
      </c>
      <c r="D240" s="14" t="s">
        <v>3812</v>
      </c>
      <c r="E240" s="25"/>
      <c r="F240" s="13" t="s">
        <v>4210</v>
      </c>
      <c r="G240" s="24" t="str">
        <f aca="false">IF($E240="","",$E240*0.85*3600/33*Settings!$B$7)</f>
        <v/>
      </c>
      <c r="H240" s="24" t="str">
        <f aca="false">IF($E240="","",$E240*0.95*3600/30*Settings!$B$7)</f>
        <v/>
      </c>
      <c r="I240" s="24" t="str">
        <f aca="false">IF($E240="","",$E240*1*3600/27*Settings!$B$7)</f>
        <v/>
      </c>
      <c r="J240" s="13" t="s">
        <v>3746</v>
      </c>
      <c r="K240" s="13" t="s">
        <v>4136</v>
      </c>
      <c r="L240" s="14" t="s">
        <v>4295</v>
      </c>
      <c r="M240" s="14" t="s">
        <v>4296</v>
      </c>
      <c r="N240" s="13" t="s">
        <v>3815</v>
      </c>
      <c r="O240" s="13" t="str">
        <f aca="false">IF(H240="","D","C")</f>
        <v>D</v>
      </c>
      <c r="P240" s="14" t="s">
        <v>4297</v>
      </c>
    </row>
    <row r="241" customFormat="false" ht="43.25" hidden="false" customHeight="false" outlineLevel="0" collapsed="false">
      <c r="A241" s="13" t="s">
        <v>699</v>
      </c>
      <c r="B241" s="13" t="s">
        <v>693</v>
      </c>
      <c r="C241" s="14" t="s">
        <v>702</v>
      </c>
      <c r="D241" s="14" t="s">
        <v>3812</v>
      </c>
      <c r="E241" s="23" t="n">
        <v>3.1</v>
      </c>
      <c r="F241" s="13" t="s">
        <v>4210</v>
      </c>
      <c r="G241" s="24" t="n">
        <f aca="false">IF($E241="","",$E241*0.85*3600/33*Settings!$B$7)</f>
        <v>238.587272727273</v>
      </c>
      <c r="H241" s="24" t="n">
        <f aca="false">IF($E241="","",$E241*0.95*3600/30*Settings!$B$7)</f>
        <v>293.322</v>
      </c>
      <c r="I241" s="24" t="n">
        <f aca="false">IF($E241="","",$E241*1*3600/27*Settings!$B$7)</f>
        <v>343.066666666667</v>
      </c>
      <c r="J241" s="13" t="s">
        <v>3746</v>
      </c>
      <c r="K241" s="13" t="s">
        <v>4136</v>
      </c>
      <c r="L241" s="14" t="s">
        <v>4321</v>
      </c>
      <c r="M241" s="14" t="s">
        <v>4312</v>
      </c>
      <c r="N241" s="13" t="s">
        <v>4322</v>
      </c>
      <c r="O241" s="13" t="str">
        <f aca="false">IF(H241="","D","C")</f>
        <v>C</v>
      </c>
      <c r="P241" s="14"/>
    </row>
    <row r="242" customFormat="false" ht="43.25" hidden="false" customHeight="false" outlineLevel="0" collapsed="false">
      <c r="A242" s="13" t="s">
        <v>699</v>
      </c>
      <c r="B242" s="13" t="s">
        <v>3806</v>
      </c>
      <c r="C242" s="14" t="s">
        <v>702</v>
      </c>
      <c r="D242" s="14" t="s">
        <v>3808</v>
      </c>
      <c r="E242" s="23" t="n">
        <v>3.1</v>
      </c>
      <c r="F242" s="13" t="s">
        <v>4210</v>
      </c>
      <c r="G242" s="24" t="n">
        <f aca="false">IF($E242="","",$E242*0.85*3600/33*Settings!$B$7)</f>
        <v>238.587272727273</v>
      </c>
      <c r="H242" s="24" t="n">
        <f aca="false">IF($E242="","",$E242*0.95*3600/30*Settings!$B$7)</f>
        <v>293.322</v>
      </c>
      <c r="I242" s="24" t="n">
        <f aca="false">IF($E242="","",$E242*1*3600/27*Settings!$B$7)</f>
        <v>343.066666666667</v>
      </c>
      <c r="J242" s="13" t="s">
        <v>3746</v>
      </c>
      <c r="K242" s="13" t="s">
        <v>4136</v>
      </c>
      <c r="L242" s="14" t="s">
        <v>4321</v>
      </c>
      <c r="M242" s="14" t="s">
        <v>4312</v>
      </c>
      <c r="N242" s="13" t="s">
        <v>4322</v>
      </c>
      <c r="O242" s="13" t="str">
        <f aca="false">IF(H242="","D","C")</f>
        <v>C</v>
      </c>
      <c r="P242" s="14"/>
    </row>
    <row r="243" customFormat="false" ht="43.25" hidden="false" customHeight="false" outlineLevel="0" collapsed="false">
      <c r="A243" s="13" t="s">
        <v>709</v>
      </c>
      <c r="B243" s="13" t="s">
        <v>693</v>
      </c>
      <c r="C243" s="14" t="s">
        <v>710</v>
      </c>
      <c r="D243" s="14" t="s">
        <v>3812</v>
      </c>
      <c r="E243" s="23" t="n">
        <v>4.095</v>
      </c>
      <c r="F243" s="13" t="s">
        <v>4210</v>
      </c>
      <c r="G243" s="24" t="n">
        <f aca="false">IF($E243="","",$E243*0.85*3600/33*Settings!$B$7)</f>
        <v>315.166090909091</v>
      </c>
      <c r="H243" s="24" t="n">
        <f aca="false">IF($E243="","",$E243*0.95*3600/30*Settings!$B$7)</f>
        <v>387.4689</v>
      </c>
      <c r="I243" s="24" t="n">
        <f aca="false">IF($E243="","",$E243*1*3600/27*Settings!$B$7)</f>
        <v>453.18</v>
      </c>
      <c r="J243" s="13" t="s">
        <v>3746</v>
      </c>
      <c r="K243" s="13" t="s">
        <v>4136</v>
      </c>
      <c r="L243" s="14" t="s">
        <v>4323</v>
      </c>
      <c r="M243" s="14" t="s">
        <v>4324</v>
      </c>
      <c r="N243" s="13" t="s">
        <v>4322</v>
      </c>
      <c r="O243" s="13" t="str">
        <f aca="false">IF(H243="","D","C")</f>
        <v>C</v>
      </c>
      <c r="P243" s="14"/>
    </row>
    <row r="244" customFormat="false" ht="43.25" hidden="false" customHeight="false" outlineLevel="0" collapsed="false">
      <c r="A244" s="13" t="s">
        <v>709</v>
      </c>
      <c r="B244" s="13" t="s">
        <v>3806</v>
      </c>
      <c r="C244" s="14" t="s">
        <v>710</v>
      </c>
      <c r="D244" s="14" t="s">
        <v>3808</v>
      </c>
      <c r="E244" s="23" t="n">
        <v>4.095</v>
      </c>
      <c r="F244" s="13" t="s">
        <v>4210</v>
      </c>
      <c r="G244" s="24" t="n">
        <f aca="false">IF($E244="","",$E244*0.85*3600/33*Settings!$B$7)</f>
        <v>315.166090909091</v>
      </c>
      <c r="H244" s="24" t="n">
        <f aca="false">IF($E244="","",$E244*0.95*3600/30*Settings!$B$7)</f>
        <v>387.4689</v>
      </c>
      <c r="I244" s="24" t="n">
        <f aca="false">IF($E244="","",$E244*1*3600/27*Settings!$B$7)</f>
        <v>453.18</v>
      </c>
      <c r="J244" s="13" t="s">
        <v>3746</v>
      </c>
      <c r="K244" s="13" t="s">
        <v>4136</v>
      </c>
      <c r="L244" s="14" t="s">
        <v>4323</v>
      </c>
      <c r="M244" s="14" t="s">
        <v>4324</v>
      </c>
      <c r="N244" s="13" t="s">
        <v>4322</v>
      </c>
      <c r="O244" s="13" t="str">
        <f aca="false">IF(H244="","D","C")</f>
        <v>C</v>
      </c>
      <c r="P244" s="14"/>
    </row>
    <row r="245" customFormat="false" ht="64.15" hidden="false" customHeight="false" outlineLevel="0" collapsed="false">
      <c r="A245" s="13" t="s">
        <v>715</v>
      </c>
      <c r="B245" s="13" t="s">
        <v>693</v>
      </c>
      <c r="C245" s="14" t="s">
        <v>718</v>
      </c>
      <c r="D245" s="14" t="s">
        <v>3812</v>
      </c>
      <c r="E245" s="25"/>
      <c r="F245" s="13" t="s">
        <v>4210</v>
      </c>
      <c r="G245" s="24" t="str">
        <f aca="false">IF($E245="","",$E245*0.85*3600/33*Settings!$B$7)</f>
        <v/>
      </c>
      <c r="H245" s="24" t="str">
        <f aca="false">IF($E245="","",$E245*0.95*3600/30*Settings!$B$7)</f>
        <v/>
      </c>
      <c r="I245" s="24" t="str">
        <f aca="false">IF($E245="","",$E245*1*3600/27*Settings!$B$7)</f>
        <v/>
      </c>
      <c r="J245" s="13" t="s">
        <v>3746</v>
      </c>
      <c r="K245" s="13" t="s">
        <v>4136</v>
      </c>
      <c r="L245" s="14" t="s">
        <v>4325</v>
      </c>
      <c r="M245" s="14" t="s">
        <v>4296</v>
      </c>
      <c r="N245" s="13" t="s">
        <v>3815</v>
      </c>
      <c r="O245" s="13" t="str">
        <f aca="false">IF(H245="","D","C")</f>
        <v>D</v>
      </c>
      <c r="P245" s="14" t="s">
        <v>4297</v>
      </c>
    </row>
    <row r="246" customFormat="false" ht="64.15" hidden="false" customHeight="false" outlineLevel="0" collapsed="false">
      <c r="A246" s="13" t="s">
        <v>715</v>
      </c>
      <c r="B246" s="13" t="s">
        <v>3806</v>
      </c>
      <c r="C246" s="14" t="s">
        <v>718</v>
      </c>
      <c r="D246" s="14" t="s">
        <v>3808</v>
      </c>
      <c r="E246" s="25"/>
      <c r="F246" s="13" t="s">
        <v>4210</v>
      </c>
      <c r="G246" s="24" t="str">
        <f aca="false">IF($E246="","",$E246*0.85*3600/33*Settings!$B$7)</f>
        <v/>
      </c>
      <c r="H246" s="24" t="str">
        <f aca="false">IF($E246="","",$E246*0.95*3600/30*Settings!$B$7)</f>
        <v/>
      </c>
      <c r="I246" s="24" t="str">
        <f aca="false">IF($E246="","",$E246*1*3600/27*Settings!$B$7)</f>
        <v/>
      </c>
      <c r="J246" s="13" t="s">
        <v>3746</v>
      </c>
      <c r="K246" s="13" t="s">
        <v>4136</v>
      </c>
      <c r="L246" s="14" t="s">
        <v>4325</v>
      </c>
      <c r="M246" s="14" t="s">
        <v>4296</v>
      </c>
      <c r="N246" s="13" t="s">
        <v>3815</v>
      </c>
      <c r="O246" s="13" t="str">
        <f aca="false">IF(H246="","D","C")</f>
        <v>D</v>
      </c>
      <c r="P246" s="14" t="s">
        <v>4297</v>
      </c>
    </row>
    <row r="247" customFormat="false" ht="15" hidden="false" customHeight="false" outlineLevel="0" collapsed="false">
      <c r="A247" s="13" t="s">
        <v>715</v>
      </c>
      <c r="B247" s="13" t="s">
        <v>3924</v>
      </c>
      <c r="C247" s="14" t="s">
        <v>718</v>
      </c>
      <c r="D247" s="14" t="s">
        <v>3925</v>
      </c>
      <c r="E247" s="13"/>
      <c r="F247" s="13"/>
      <c r="G247" s="24"/>
      <c r="H247" s="24"/>
      <c r="I247" s="24"/>
      <c r="J247" s="13" t="s">
        <v>3746</v>
      </c>
      <c r="K247" s="13" t="s">
        <v>3771</v>
      </c>
      <c r="L247" s="14"/>
      <c r="M247" s="14" t="s">
        <v>4326</v>
      </c>
      <c r="N247" s="13"/>
      <c r="O247" s="13" t="s">
        <v>188</v>
      </c>
      <c r="P247" s="14" t="s">
        <v>4145</v>
      </c>
    </row>
    <row r="248" customFormat="false" ht="64.15" hidden="false" customHeight="false" outlineLevel="0" collapsed="false">
      <c r="A248" s="13" t="s">
        <v>727</v>
      </c>
      <c r="B248" s="13" t="s">
        <v>693</v>
      </c>
      <c r="C248" s="14" t="s">
        <v>729</v>
      </c>
      <c r="D248" s="14" t="s">
        <v>3812</v>
      </c>
      <c r="E248" s="25"/>
      <c r="F248" s="13" t="s">
        <v>4210</v>
      </c>
      <c r="G248" s="24" t="str">
        <f aca="false">IF($E248="","",$E248*0.85*3600/33*Settings!$B$7)</f>
        <v/>
      </c>
      <c r="H248" s="24" t="str">
        <f aca="false">IF($E248="","",$E248*0.95*3600/30*Settings!$B$7)</f>
        <v/>
      </c>
      <c r="I248" s="24" t="str">
        <f aca="false">IF($E248="","",$E248*1*3600/27*Settings!$B$7)</f>
        <v/>
      </c>
      <c r="J248" s="13" t="s">
        <v>3746</v>
      </c>
      <c r="K248" s="13" t="s">
        <v>4136</v>
      </c>
      <c r="L248" s="14" t="s">
        <v>4325</v>
      </c>
      <c r="M248" s="14" t="s">
        <v>4296</v>
      </c>
      <c r="N248" s="13" t="s">
        <v>3815</v>
      </c>
      <c r="O248" s="13" t="str">
        <f aca="false">IF(H248="","D","C")</f>
        <v>D</v>
      </c>
      <c r="P248" s="14" t="s">
        <v>4297</v>
      </c>
    </row>
    <row r="249" customFormat="false" ht="64.15" hidden="false" customHeight="false" outlineLevel="0" collapsed="false">
      <c r="A249" s="13" t="s">
        <v>727</v>
      </c>
      <c r="B249" s="13" t="s">
        <v>3806</v>
      </c>
      <c r="C249" s="14" t="s">
        <v>729</v>
      </c>
      <c r="D249" s="14" t="s">
        <v>3808</v>
      </c>
      <c r="E249" s="25"/>
      <c r="F249" s="13" t="s">
        <v>4210</v>
      </c>
      <c r="G249" s="24" t="str">
        <f aca="false">IF($E249="","",$E249*0.85*3600/33*Settings!$B$7)</f>
        <v/>
      </c>
      <c r="H249" s="24" t="str">
        <f aca="false">IF($E249="","",$E249*0.95*3600/30*Settings!$B$7)</f>
        <v/>
      </c>
      <c r="I249" s="24" t="str">
        <f aca="false">IF($E249="","",$E249*1*3600/27*Settings!$B$7)</f>
        <v/>
      </c>
      <c r="J249" s="13" t="s">
        <v>3746</v>
      </c>
      <c r="K249" s="13" t="s">
        <v>4136</v>
      </c>
      <c r="L249" s="14" t="s">
        <v>4325</v>
      </c>
      <c r="M249" s="14" t="s">
        <v>4296</v>
      </c>
      <c r="N249" s="13" t="s">
        <v>3815</v>
      </c>
      <c r="O249" s="13" t="str">
        <f aca="false">IF(H249="","D","C")</f>
        <v>D</v>
      </c>
      <c r="P249" s="14" t="s">
        <v>4297</v>
      </c>
    </row>
    <row r="250" customFormat="false" ht="15" hidden="false" customHeight="false" outlineLevel="0" collapsed="false">
      <c r="A250" s="13" t="s">
        <v>727</v>
      </c>
      <c r="B250" s="13" t="s">
        <v>3924</v>
      </c>
      <c r="C250" s="14" t="s">
        <v>729</v>
      </c>
      <c r="D250" s="14" t="s">
        <v>3925</v>
      </c>
      <c r="E250" s="13"/>
      <c r="F250" s="13"/>
      <c r="G250" s="24"/>
      <c r="H250" s="24"/>
      <c r="I250" s="24"/>
      <c r="J250" s="13" t="s">
        <v>3746</v>
      </c>
      <c r="K250" s="13" t="s">
        <v>3771</v>
      </c>
      <c r="L250" s="14"/>
      <c r="M250" s="14" t="s">
        <v>4326</v>
      </c>
      <c r="N250" s="13"/>
      <c r="O250" s="13" t="s">
        <v>188</v>
      </c>
      <c r="P250" s="14" t="s">
        <v>4145</v>
      </c>
    </row>
    <row r="251" customFormat="false" ht="64.15" hidden="false" customHeight="false" outlineLevel="0" collapsed="false">
      <c r="A251" s="13" t="s">
        <v>735</v>
      </c>
      <c r="B251" s="13" t="s">
        <v>693</v>
      </c>
      <c r="C251" s="14" t="s">
        <v>737</v>
      </c>
      <c r="D251" s="14" t="s">
        <v>3812</v>
      </c>
      <c r="E251" s="23" t="n">
        <v>0.6</v>
      </c>
      <c r="F251" s="13" t="s">
        <v>4210</v>
      </c>
      <c r="G251" s="24" t="n">
        <f aca="false">IF($E251="","",$E251*0.85*3600/33*Settings!$B$7)</f>
        <v>46.1781818181818</v>
      </c>
      <c r="H251" s="24" t="n">
        <f aca="false">IF($E251="","",$E251*0.95*3600/30*Settings!$B$7)</f>
        <v>56.772</v>
      </c>
      <c r="I251" s="24" t="n">
        <f aca="false">IF($E251="","",$E251*1*3600/27*Settings!$B$7)</f>
        <v>66.4</v>
      </c>
      <c r="J251" s="13" t="s">
        <v>3746</v>
      </c>
      <c r="K251" s="13" t="s">
        <v>4136</v>
      </c>
      <c r="L251" s="14" t="s">
        <v>4327</v>
      </c>
      <c r="M251" s="14" t="s">
        <v>4305</v>
      </c>
      <c r="N251" s="13" t="s">
        <v>4328</v>
      </c>
      <c r="O251" s="13" t="str">
        <f aca="false">IF(H251="","D","C")</f>
        <v>C</v>
      </c>
      <c r="P251" s="14"/>
    </row>
    <row r="252" customFormat="false" ht="64.15" hidden="false" customHeight="false" outlineLevel="0" collapsed="false">
      <c r="A252" s="13" t="s">
        <v>735</v>
      </c>
      <c r="B252" s="13" t="s">
        <v>3806</v>
      </c>
      <c r="C252" s="14" t="s">
        <v>737</v>
      </c>
      <c r="D252" s="14" t="s">
        <v>3808</v>
      </c>
      <c r="E252" s="23" t="n">
        <v>0.6</v>
      </c>
      <c r="F252" s="13" t="s">
        <v>4210</v>
      </c>
      <c r="G252" s="24" t="n">
        <f aca="false">IF($E252="","",$E252*0.85*3600/33*Settings!$B$7)</f>
        <v>46.1781818181818</v>
      </c>
      <c r="H252" s="24" t="n">
        <f aca="false">IF($E252="","",$E252*0.95*3600/30*Settings!$B$7)</f>
        <v>56.772</v>
      </c>
      <c r="I252" s="24" t="n">
        <f aca="false">IF($E252="","",$E252*1*3600/27*Settings!$B$7)</f>
        <v>66.4</v>
      </c>
      <c r="J252" s="13" t="s">
        <v>3746</v>
      </c>
      <c r="K252" s="13" t="s">
        <v>4136</v>
      </c>
      <c r="L252" s="14" t="s">
        <v>4327</v>
      </c>
      <c r="M252" s="14" t="s">
        <v>4305</v>
      </c>
      <c r="N252" s="13" t="s">
        <v>4328</v>
      </c>
      <c r="O252" s="13" t="str">
        <f aca="false">IF(H252="","D","C")</f>
        <v>C</v>
      </c>
      <c r="P252" s="14"/>
    </row>
    <row r="253" customFormat="false" ht="15" hidden="false" customHeight="false" outlineLevel="0" collapsed="false">
      <c r="A253" s="13" t="s">
        <v>735</v>
      </c>
      <c r="B253" s="13" t="s">
        <v>3924</v>
      </c>
      <c r="C253" s="14" t="s">
        <v>737</v>
      </c>
      <c r="D253" s="14" t="s">
        <v>3925</v>
      </c>
      <c r="E253" s="13"/>
      <c r="F253" s="13"/>
      <c r="G253" s="24"/>
      <c r="H253" s="24"/>
      <c r="I253" s="24"/>
      <c r="J253" s="13" t="s">
        <v>3746</v>
      </c>
      <c r="K253" s="13" t="s">
        <v>3771</v>
      </c>
      <c r="L253" s="14"/>
      <c r="M253" s="14" t="s">
        <v>4326</v>
      </c>
      <c r="N253" s="13"/>
      <c r="O253" s="13" t="s">
        <v>188</v>
      </c>
      <c r="P253" s="14" t="s">
        <v>4145</v>
      </c>
    </row>
    <row r="254" customFormat="false" ht="64.15" hidden="false" customHeight="false" outlineLevel="0" collapsed="false">
      <c r="A254" s="13" t="s">
        <v>743</v>
      </c>
      <c r="B254" s="13" t="s">
        <v>693</v>
      </c>
      <c r="C254" s="14" t="s">
        <v>745</v>
      </c>
      <c r="D254" s="14" t="s">
        <v>3812</v>
      </c>
      <c r="E254" s="23" t="n">
        <v>0.69</v>
      </c>
      <c r="F254" s="13" t="s">
        <v>4210</v>
      </c>
      <c r="G254" s="24" t="n">
        <f aca="false">IF($E254="","",$E254*0.85*3600/33*Settings!$B$7)</f>
        <v>53.1049090909091</v>
      </c>
      <c r="H254" s="24" t="n">
        <f aca="false">IF($E254="","",$E254*0.95*3600/30*Settings!$B$7)</f>
        <v>65.2878</v>
      </c>
      <c r="I254" s="24" t="n">
        <f aca="false">IF($E254="","",$E254*1*3600/27*Settings!$B$7)</f>
        <v>76.36</v>
      </c>
      <c r="J254" s="13" t="s">
        <v>3746</v>
      </c>
      <c r="K254" s="13" t="s">
        <v>4136</v>
      </c>
      <c r="L254" s="14" t="s">
        <v>4329</v>
      </c>
      <c r="M254" s="14" t="s">
        <v>4330</v>
      </c>
      <c r="N254" s="13" t="s">
        <v>4328</v>
      </c>
      <c r="O254" s="13" t="str">
        <f aca="false">IF(H254="","D","C")</f>
        <v>C</v>
      </c>
      <c r="P254" s="14"/>
    </row>
    <row r="255" customFormat="false" ht="64.15" hidden="false" customHeight="false" outlineLevel="0" collapsed="false">
      <c r="A255" s="13" t="s">
        <v>743</v>
      </c>
      <c r="B255" s="13" t="s">
        <v>3806</v>
      </c>
      <c r="C255" s="14" t="s">
        <v>745</v>
      </c>
      <c r="D255" s="14" t="s">
        <v>3808</v>
      </c>
      <c r="E255" s="23" t="n">
        <v>0.69</v>
      </c>
      <c r="F255" s="13" t="s">
        <v>4210</v>
      </c>
      <c r="G255" s="24" t="n">
        <f aca="false">IF($E255="","",$E255*0.85*3600/33*Settings!$B$7)</f>
        <v>53.1049090909091</v>
      </c>
      <c r="H255" s="24" t="n">
        <f aca="false">IF($E255="","",$E255*0.95*3600/30*Settings!$B$7)</f>
        <v>65.2878</v>
      </c>
      <c r="I255" s="24" t="n">
        <f aca="false">IF($E255="","",$E255*1*3600/27*Settings!$B$7)</f>
        <v>76.36</v>
      </c>
      <c r="J255" s="13" t="s">
        <v>3746</v>
      </c>
      <c r="K255" s="13" t="s">
        <v>4136</v>
      </c>
      <c r="L255" s="14" t="s">
        <v>4329</v>
      </c>
      <c r="M255" s="14" t="s">
        <v>4330</v>
      </c>
      <c r="N255" s="13" t="s">
        <v>4328</v>
      </c>
      <c r="O255" s="13" t="str">
        <f aca="false">IF(H255="","D","C")</f>
        <v>C</v>
      </c>
      <c r="P255" s="14"/>
    </row>
    <row r="256" customFormat="false" ht="15" hidden="false" customHeight="false" outlineLevel="0" collapsed="false">
      <c r="A256" s="13" t="s">
        <v>743</v>
      </c>
      <c r="B256" s="13" t="s">
        <v>3924</v>
      </c>
      <c r="C256" s="14" t="s">
        <v>745</v>
      </c>
      <c r="D256" s="14" t="s">
        <v>3925</v>
      </c>
      <c r="E256" s="13"/>
      <c r="F256" s="13"/>
      <c r="G256" s="24"/>
      <c r="H256" s="24"/>
      <c r="I256" s="24"/>
      <c r="J256" s="13" t="s">
        <v>3746</v>
      </c>
      <c r="K256" s="13" t="s">
        <v>3771</v>
      </c>
      <c r="L256" s="14"/>
      <c r="M256" s="14" t="s">
        <v>4326</v>
      </c>
      <c r="N256" s="13"/>
      <c r="O256" s="13" t="s">
        <v>188</v>
      </c>
      <c r="P256" s="14" t="s">
        <v>4145</v>
      </c>
    </row>
    <row r="257" customFormat="false" ht="64.15" hidden="false" customHeight="false" outlineLevel="0" collapsed="false">
      <c r="A257" s="13" t="s">
        <v>752</v>
      </c>
      <c r="B257" s="13" t="s">
        <v>693</v>
      </c>
      <c r="C257" s="14" t="s">
        <v>754</v>
      </c>
      <c r="D257" s="14" t="s">
        <v>3812</v>
      </c>
      <c r="E257" s="25"/>
      <c r="F257" s="13" t="s">
        <v>4210</v>
      </c>
      <c r="G257" s="24" t="str">
        <f aca="false">IF($E257="","",$E257*0.85*3600/33*Settings!$B$7)</f>
        <v/>
      </c>
      <c r="H257" s="24" t="str">
        <f aca="false">IF($E257="","",$E257*0.95*3600/30*Settings!$B$7)</f>
        <v/>
      </c>
      <c r="I257" s="24" t="str">
        <f aca="false">IF($E257="","",$E257*1*3600/27*Settings!$B$7)</f>
        <v/>
      </c>
      <c r="J257" s="13" t="s">
        <v>3746</v>
      </c>
      <c r="K257" s="13" t="s">
        <v>4136</v>
      </c>
      <c r="L257" s="14" t="s">
        <v>4325</v>
      </c>
      <c r="M257" s="14" t="s">
        <v>4296</v>
      </c>
      <c r="N257" s="13" t="s">
        <v>3815</v>
      </c>
      <c r="O257" s="13" t="str">
        <f aca="false">IF(H257="","D","C")</f>
        <v>D</v>
      </c>
      <c r="P257" s="14" t="s">
        <v>4297</v>
      </c>
    </row>
    <row r="258" customFormat="false" ht="64.15" hidden="false" customHeight="false" outlineLevel="0" collapsed="false">
      <c r="A258" s="13" t="s">
        <v>752</v>
      </c>
      <c r="B258" s="13" t="s">
        <v>3806</v>
      </c>
      <c r="C258" s="14" t="s">
        <v>754</v>
      </c>
      <c r="D258" s="14" t="s">
        <v>3808</v>
      </c>
      <c r="E258" s="25"/>
      <c r="F258" s="13" t="s">
        <v>4210</v>
      </c>
      <c r="G258" s="24" t="str">
        <f aca="false">IF($E258="","",$E258*0.85*3600/33*Settings!$B$7)</f>
        <v/>
      </c>
      <c r="H258" s="24" t="str">
        <f aca="false">IF($E258="","",$E258*0.95*3600/30*Settings!$B$7)</f>
        <v/>
      </c>
      <c r="I258" s="24" t="str">
        <f aca="false">IF($E258="","",$E258*1*3600/27*Settings!$B$7)</f>
        <v/>
      </c>
      <c r="J258" s="13" t="s">
        <v>3746</v>
      </c>
      <c r="K258" s="13" t="s">
        <v>4136</v>
      </c>
      <c r="L258" s="14" t="s">
        <v>4325</v>
      </c>
      <c r="M258" s="14" t="s">
        <v>4296</v>
      </c>
      <c r="N258" s="13" t="s">
        <v>3815</v>
      </c>
      <c r="O258" s="13" t="str">
        <f aca="false">IF(H258="","D","C")</f>
        <v>D</v>
      </c>
      <c r="P258" s="14" t="s">
        <v>4297</v>
      </c>
    </row>
    <row r="259" customFormat="false" ht="15" hidden="false" customHeight="false" outlineLevel="0" collapsed="false">
      <c r="A259" s="13" t="s">
        <v>752</v>
      </c>
      <c r="B259" s="13" t="s">
        <v>3924</v>
      </c>
      <c r="C259" s="14" t="s">
        <v>754</v>
      </c>
      <c r="D259" s="14" t="s">
        <v>3925</v>
      </c>
      <c r="E259" s="13"/>
      <c r="F259" s="13"/>
      <c r="G259" s="24"/>
      <c r="H259" s="24"/>
      <c r="I259" s="24"/>
      <c r="J259" s="13" t="s">
        <v>3746</v>
      </c>
      <c r="K259" s="13" t="s">
        <v>3771</v>
      </c>
      <c r="L259" s="14"/>
      <c r="M259" s="14" t="s">
        <v>4326</v>
      </c>
      <c r="N259" s="13"/>
      <c r="O259" s="13" t="s">
        <v>188</v>
      </c>
      <c r="P259" s="14" t="s">
        <v>4145</v>
      </c>
    </row>
    <row r="260" customFormat="false" ht="64.15" hidden="false" customHeight="false" outlineLevel="0" collapsed="false">
      <c r="A260" s="13" t="s">
        <v>760</v>
      </c>
      <c r="B260" s="13" t="s">
        <v>3806</v>
      </c>
      <c r="C260" s="14" t="s">
        <v>762</v>
      </c>
      <c r="D260" s="14" t="s">
        <v>3808</v>
      </c>
      <c r="E260" s="25"/>
      <c r="F260" s="13" t="s">
        <v>4210</v>
      </c>
      <c r="G260" s="24" t="str">
        <f aca="false">IF($E260="","",$E260*0.85*3600/33*Settings!$B$7)</f>
        <v/>
      </c>
      <c r="H260" s="24" t="str">
        <f aca="false">IF($E260="","",$E260*0.95*3600/30*Settings!$B$7)</f>
        <v/>
      </c>
      <c r="I260" s="24" t="str">
        <f aca="false">IF($E260="","",$E260*1*3600/27*Settings!$B$7)</f>
        <v/>
      </c>
      <c r="J260" s="13" t="s">
        <v>3746</v>
      </c>
      <c r="K260" s="13" t="s">
        <v>4136</v>
      </c>
      <c r="L260" s="14" t="s">
        <v>4325</v>
      </c>
      <c r="M260" s="14" t="s">
        <v>4296</v>
      </c>
      <c r="N260" s="13" t="s">
        <v>3815</v>
      </c>
      <c r="O260" s="13" t="str">
        <f aca="false">IF(H260="","D","C")</f>
        <v>D</v>
      </c>
      <c r="P260" s="14" t="s">
        <v>4297</v>
      </c>
    </row>
    <row r="261" customFormat="false" ht="15" hidden="false" customHeight="false" outlineLevel="0" collapsed="false">
      <c r="A261" s="13" t="s">
        <v>760</v>
      </c>
      <c r="B261" s="13" t="s">
        <v>3924</v>
      </c>
      <c r="C261" s="14" t="s">
        <v>762</v>
      </c>
      <c r="D261" s="14" t="s">
        <v>3925</v>
      </c>
      <c r="E261" s="13"/>
      <c r="F261" s="13"/>
      <c r="G261" s="24"/>
      <c r="H261" s="24"/>
      <c r="I261" s="24"/>
      <c r="J261" s="13" t="s">
        <v>3746</v>
      </c>
      <c r="K261" s="13" t="s">
        <v>3771</v>
      </c>
      <c r="L261" s="14"/>
      <c r="M261" s="14" t="s">
        <v>4326</v>
      </c>
      <c r="N261" s="13"/>
      <c r="O261" s="13" t="s">
        <v>188</v>
      </c>
      <c r="P261" s="14" t="s">
        <v>4145</v>
      </c>
    </row>
    <row r="262" customFormat="false" ht="64.15" hidden="false" customHeight="false" outlineLevel="0" collapsed="false">
      <c r="A262" s="13" t="s">
        <v>769</v>
      </c>
      <c r="B262" s="13" t="s">
        <v>693</v>
      </c>
      <c r="C262" s="14" t="s">
        <v>771</v>
      </c>
      <c r="D262" s="14" t="s">
        <v>3812</v>
      </c>
      <c r="E262" s="25"/>
      <c r="F262" s="13" t="s">
        <v>4210</v>
      </c>
      <c r="G262" s="24" t="str">
        <f aca="false">IF($E262="","",$E262*0.85*3600/33*Settings!$B$7)</f>
        <v/>
      </c>
      <c r="H262" s="24" t="str">
        <f aca="false">IF($E262="","",$E262*0.95*3600/30*Settings!$B$7)</f>
        <v/>
      </c>
      <c r="I262" s="24" t="str">
        <f aca="false">IF($E262="","",$E262*1*3600/27*Settings!$B$7)</f>
        <v/>
      </c>
      <c r="J262" s="13" t="s">
        <v>3746</v>
      </c>
      <c r="K262" s="13" t="s">
        <v>4136</v>
      </c>
      <c r="L262" s="14" t="s">
        <v>4325</v>
      </c>
      <c r="M262" s="14" t="s">
        <v>4296</v>
      </c>
      <c r="N262" s="13" t="s">
        <v>3815</v>
      </c>
      <c r="O262" s="13" t="str">
        <f aca="false">IF(H262="","D","C")</f>
        <v>D</v>
      </c>
      <c r="P262" s="14" t="s">
        <v>4297</v>
      </c>
    </row>
    <row r="263" customFormat="false" ht="64.15" hidden="false" customHeight="false" outlineLevel="0" collapsed="false">
      <c r="A263" s="13" t="s">
        <v>769</v>
      </c>
      <c r="B263" s="13" t="s">
        <v>3806</v>
      </c>
      <c r="C263" s="14" t="s">
        <v>771</v>
      </c>
      <c r="D263" s="14" t="s">
        <v>3808</v>
      </c>
      <c r="E263" s="25"/>
      <c r="F263" s="13" t="s">
        <v>4210</v>
      </c>
      <c r="G263" s="24" t="str">
        <f aca="false">IF($E263="","",$E263*0.85*3600/33*Settings!$B$7)</f>
        <v/>
      </c>
      <c r="H263" s="24" t="str">
        <f aca="false">IF($E263="","",$E263*0.95*3600/30*Settings!$B$7)</f>
        <v/>
      </c>
      <c r="I263" s="24" t="str">
        <f aca="false">IF($E263="","",$E263*1*3600/27*Settings!$B$7)</f>
        <v/>
      </c>
      <c r="J263" s="13" t="s">
        <v>3746</v>
      </c>
      <c r="K263" s="13" t="s">
        <v>4136</v>
      </c>
      <c r="L263" s="14" t="s">
        <v>4325</v>
      </c>
      <c r="M263" s="14" t="s">
        <v>4296</v>
      </c>
      <c r="N263" s="13" t="s">
        <v>3815</v>
      </c>
      <c r="O263" s="13" t="str">
        <f aca="false">IF(H263="","D","C")</f>
        <v>D</v>
      </c>
      <c r="P263" s="14" t="s">
        <v>4297</v>
      </c>
    </row>
    <row r="264" customFormat="false" ht="15" hidden="false" customHeight="false" outlineLevel="0" collapsed="false">
      <c r="A264" s="13" t="s">
        <v>769</v>
      </c>
      <c r="B264" s="13" t="s">
        <v>3924</v>
      </c>
      <c r="C264" s="14" t="s">
        <v>771</v>
      </c>
      <c r="D264" s="14" t="s">
        <v>3925</v>
      </c>
      <c r="E264" s="13"/>
      <c r="F264" s="13"/>
      <c r="G264" s="24"/>
      <c r="H264" s="24"/>
      <c r="I264" s="24"/>
      <c r="J264" s="13" t="s">
        <v>3746</v>
      </c>
      <c r="K264" s="13" t="s">
        <v>3771</v>
      </c>
      <c r="L264" s="14"/>
      <c r="M264" s="14" t="s">
        <v>4326</v>
      </c>
      <c r="N264" s="13"/>
      <c r="O264" s="13" t="s">
        <v>188</v>
      </c>
      <c r="P264" s="14" t="s">
        <v>4145</v>
      </c>
    </row>
    <row r="265" customFormat="false" ht="64.15" hidden="false" customHeight="false" outlineLevel="0" collapsed="false">
      <c r="A265" s="13" t="s">
        <v>777</v>
      </c>
      <c r="B265" s="13" t="s">
        <v>693</v>
      </c>
      <c r="C265" s="14" t="s">
        <v>779</v>
      </c>
      <c r="D265" s="14" t="s">
        <v>3812</v>
      </c>
      <c r="E265" s="23" t="n">
        <v>0.69</v>
      </c>
      <c r="F265" s="13" t="s">
        <v>4210</v>
      </c>
      <c r="G265" s="24" t="n">
        <f aca="false">IF($E265="","",$E265*0.85*3600/33*Settings!$B$7)</f>
        <v>53.1049090909091</v>
      </c>
      <c r="H265" s="24" t="n">
        <f aca="false">IF($E265="","",$E265*0.95*3600/30*Settings!$B$7)</f>
        <v>65.2878</v>
      </c>
      <c r="I265" s="24" t="n">
        <f aca="false">IF($E265="","",$E265*1*3600/27*Settings!$B$7)</f>
        <v>76.36</v>
      </c>
      <c r="J265" s="13" t="s">
        <v>3746</v>
      </c>
      <c r="K265" s="13" t="s">
        <v>4136</v>
      </c>
      <c r="L265" s="14" t="s">
        <v>4329</v>
      </c>
      <c r="M265" s="14" t="s">
        <v>4330</v>
      </c>
      <c r="N265" s="13" t="s">
        <v>4328</v>
      </c>
      <c r="O265" s="13" t="str">
        <f aca="false">IF(H265="","D","C")</f>
        <v>C</v>
      </c>
      <c r="P265" s="14"/>
    </row>
    <row r="266" customFormat="false" ht="64.15" hidden="false" customHeight="false" outlineLevel="0" collapsed="false">
      <c r="A266" s="13" t="s">
        <v>777</v>
      </c>
      <c r="B266" s="13" t="s">
        <v>3806</v>
      </c>
      <c r="C266" s="14" t="s">
        <v>779</v>
      </c>
      <c r="D266" s="14" t="s">
        <v>3808</v>
      </c>
      <c r="E266" s="23" t="n">
        <v>0.69</v>
      </c>
      <c r="F266" s="13" t="s">
        <v>4210</v>
      </c>
      <c r="G266" s="24" t="n">
        <f aca="false">IF($E266="","",$E266*0.85*3600/33*Settings!$B$7)</f>
        <v>53.1049090909091</v>
      </c>
      <c r="H266" s="24" t="n">
        <f aca="false">IF($E266="","",$E266*0.95*3600/30*Settings!$B$7)</f>
        <v>65.2878</v>
      </c>
      <c r="I266" s="24" t="n">
        <f aca="false">IF($E266="","",$E266*1*3600/27*Settings!$B$7)</f>
        <v>76.36</v>
      </c>
      <c r="J266" s="13" t="s">
        <v>3746</v>
      </c>
      <c r="K266" s="13" t="s">
        <v>4136</v>
      </c>
      <c r="L266" s="14" t="s">
        <v>4329</v>
      </c>
      <c r="M266" s="14" t="s">
        <v>4330</v>
      </c>
      <c r="N266" s="13" t="s">
        <v>4328</v>
      </c>
      <c r="O266" s="13" t="str">
        <f aca="false">IF(H266="","D","C")</f>
        <v>C</v>
      </c>
      <c r="P266" s="14"/>
    </row>
    <row r="267" customFormat="false" ht="15" hidden="false" customHeight="false" outlineLevel="0" collapsed="false">
      <c r="A267" s="13" t="s">
        <v>777</v>
      </c>
      <c r="B267" s="13" t="s">
        <v>3924</v>
      </c>
      <c r="C267" s="14" t="s">
        <v>779</v>
      </c>
      <c r="D267" s="14" t="s">
        <v>3925</v>
      </c>
      <c r="E267" s="13"/>
      <c r="F267" s="13"/>
      <c r="G267" s="24"/>
      <c r="H267" s="24"/>
      <c r="I267" s="24"/>
      <c r="J267" s="13" t="s">
        <v>3746</v>
      </c>
      <c r="K267" s="13" t="s">
        <v>3771</v>
      </c>
      <c r="L267" s="14"/>
      <c r="M267" s="14" t="s">
        <v>4326</v>
      </c>
      <c r="N267" s="13"/>
      <c r="O267" s="13" t="s">
        <v>188</v>
      </c>
      <c r="P267" s="14" t="s">
        <v>4145</v>
      </c>
    </row>
    <row r="268" customFormat="false" ht="64.15" hidden="false" customHeight="false" outlineLevel="0" collapsed="false">
      <c r="A268" s="13" t="s">
        <v>785</v>
      </c>
      <c r="B268" s="13" t="s">
        <v>693</v>
      </c>
      <c r="C268" s="14" t="s">
        <v>787</v>
      </c>
      <c r="D268" s="14" t="s">
        <v>3812</v>
      </c>
      <c r="E268" s="23" t="n">
        <v>0.74</v>
      </c>
      <c r="F268" s="13" t="s">
        <v>4210</v>
      </c>
      <c r="G268" s="24" t="n">
        <f aca="false">IF($E268="","",$E268*0.85*3600/33*Settings!$B$7)</f>
        <v>56.9530909090909</v>
      </c>
      <c r="H268" s="24" t="n">
        <f aca="false">IF($E268="","",$E268*0.95*3600/30*Settings!$B$7)</f>
        <v>70.0188</v>
      </c>
      <c r="I268" s="24" t="n">
        <f aca="false">IF($E268="","",$E268*1*3600/27*Settings!$B$7)</f>
        <v>81.8933333333333</v>
      </c>
      <c r="J268" s="13" t="s">
        <v>3746</v>
      </c>
      <c r="K268" s="13" t="s">
        <v>4136</v>
      </c>
      <c r="L268" s="14" t="s">
        <v>4331</v>
      </c>
      <c r="M268" s="14" t="s">
        <v>4332</v>
      </c>
      <c r="N268" s="13" t="s">
        <v>4328</v>
      </c>
      <c r="O268" s="13" t="str">
        <f aca="false">IF(H268="","D","C")</f>
        <v>C</v>
      </c>
      <c r="P268" s="14"/>
    </row>
    <row r="269" customFormat="false" ht="64.15" hidden="false" customHeight="false" outlineLevel="0" collapsed="false">
      <c r="A269" s="13" t="s">
        <v>785</v>
      </c>
      <c r="B269" s="13" t="s">
        <v>3806</v>
      </c>
      <c r="C269" s="14" t="s">
        <v>787</v>
      </c>
      <c r="D269" s="14" t="s">
        <v>3808</v>
      </c>
      <c r="E269" s="23" t="n">
        <v>0.74</v>
      </c>
      <c r="F269" s="13" t="s">
        <v>4210</v>
      </c>
      <c r="G269" s="24" t="n">
        <f aca="false">IF($E269="","",$E269*0.85*3600/33*Settings!$B$7)</f>
        <v>56.9530909090909</v>
      </c>
      <c r="H269" s="24" t="n">
        <f aca="false">IF($E269="","",$E269*0.95*3600/30*Settings!$B$7)</f>
        <v>70.0188</v>
      </c>
      <c r="I269" s="24" t="n">
        <f aca="false">IF($E269="","",$E269*1*3600/27*Settings!$B$7)</f>
        <v>81.8933333333333</v>
      </c>
      <c r="J269" s="13" t="s">
        <v>3746</v>
      </c>
      <c r="K269" s="13" t="s">
        <v>4136</v>
      </c>
      <c r="L269" s="14" t="s">
        <v>4331</v>
      </c>
      <c r="M269" s="14" t="s">
        <v>4332</v>
      </c>
      <c r="N269" s="13" t="s">
        <v>4328</v>
      </c>
      <c r="O269" s="13" t="str">
        <f aca="false">IF(H269="","D","C")</f>
        <v>C</v>
      </c>
      <c r="P269" s="14"/>
    </row>
    <row r="270" customFormat="false" ht="15" hidden="false" customHeight="false" outlineLevel="0" collapsed="false">
      <c r="A270" s="13" t="s">
        <v>785</v>
      </c>
      <c r="B270" s="13" t="s">
        <v>3924</v>
      </c>
      <c r="C270" s="14" t="s">
        <v>787</v>
      </c>
      <c r="D270" s="14" t="s">
        <v>3925</v>
      </c>
      <c r="E270" s="13"/>
      <c r="F270" s="13"/>
      <c r="G270" s="24"/>
      <c r="H270" s="24"/>
      <c r="I270" s="24"/>
      <c r="J270" s="13" t="s">
        <v>3746</v>
      </c>
      <c r="K270" s="13" t="s">
        <v>3771</v>
      </c>
      <c r="L270" s="14"/>
      <c r="M270" s="14" t="s">
        <v>4326</v>
      </c>
      <c r="N270" s="13"/>
      <c r="O270" s="13" t="s">
        <v>188</v>
      </c>
      <c r="P270" s="14" t="s">
        <v>4145</v>
      </c>
    </row>
    <row r="271" customFormat="false" ht="43.25" hidden="false" customHeight="false" outlineLevel="0" collapsed="false">
      <c r="A271" s="13" t="s">
        <v>794</v>
      </c>
      <c r="B271" s="13" t="s">
        <v>3820</v>
      </c>
      <c r="C271" s="14" t="s">
        <v>797</v>
      </c>
      <c r="D271" s="14" t="s">
        <v>3822</v>
      </c>
      <c r="E271" s="23" t="n">
        <v>24</v>
      </c>
      <c r="F271" s="13" t="s">
        <v>4333</v>
      </c>
      <c r="G271" s="24" t="str">
        <f aca="false">IF(OR($E271="",Settings!$B$26="",Settings!$B$27=""),"",MIN($E271*Settings!$B$34,57610/Settings!$B$35)*60*Settings!$B$7/(1+0.81+1000/(Settings!$B$26*88)+1000/(Settings!$B$27*88))*0.8)</f>
        <v/>
      </c>
      <c r="H271" s="24" t="str">
        <f aca="false">IF(OR($E271="",Settings!$B$26="",Settings!$B$27=""),"",MIN($E271*Settings!$B$34,57610/Settings!$B$35)*60*Settings!$B$7/(0.85+0.81+1000/(Settings!$B$26*88)+1000/(Settings!$B$27*88))*0.8)</f>
        <v/>
      </c>
      <c r="I271" s="24"/>
      <c r="J271" s="13" t="s">
        <v>3776</v>
      </c>
      <c r="K271" s="13" t="s">
        <v>4136</v>
      </c>
      <c r="L271" s="14" t="s">
        <v>4334</v>
      </c>
      <c r="M271" s="14" t="s">
        <v>4335</v>
      </c>
      <c r="N271" s="13" t="s">
        <v>4336</v>
      </c>
      <c r="O271" s="13" t="str">
        <f aca="false">IF(H271="","D","C")</f>
        <v>D</v>
      </c>
      <c r="P271" s="14" t="s">
        <v>4337</v>
      </c>
    </row>
    <row r="272" customFormat="false" ht="43.25" hidden="false" customHeight="false" outlineLevel="0" collapsed="false">
      <c r="A272" s="13" t="s">
        <v>794</v>
      </c>
      <c r="B272" s="13" t="s">
        <v>3827</v>
      </c>
      <c r="C272" s="14" t="s">
        <v>797</v>
      </c>
      <c r="D272" s="14" t="s">
        <v>3828</v>
      </c>
      <c r="E272" s="23" t="n">
        <v>24</v>
      </c>
      <c r="F272" s="13" t="s">
        <v>4333</v>
      </c>
      <c r="G272" s="24" t="str">
        <f aca="false">IF(OR($E272="",Settings!$B$26="",Settings!$B$27=""),"",MIN($E272*Settings!$B$34,57610/Settings!$B$35)*60*Settings!$B$7/(1+0.81+2000/(Settings!$B$26*88)+2000/(Settings!$B$27*88))*0.8)</f>
        <v/>
      </c>
      <c r="H272" s="24" t="str">
        <f aca="false">IF(OR($E272="",Settings!$B$26="",Settings!$B$27=""),"",MIN($E272*Settings!$B$34,57610/Settings!$B$35)*60*Settings!$B$7/(0.85+0.81+2000/(Settings!$B$26*88)+2000/(Settings!$B$27*88))*0.8)</f>
        <v/>
      </c>
      <c r="I272" s="24"/>
      <c r="J272" s="13" t="s">
        <v>3776</v>
      </c>
      <c r="K272" s="13" t="s">
        <v>4136</v>
      </c>
      <c r="L272" s="14" t="s">
        <v>4338</v>
      </c>
      <c r="M272" s="14" t="s">
        <v>4339</v>
      </c>
      <c r="N272" s="13" t="s">
        <v>4336</v>
      </c>
      <c r="O272" s="13" t="str">
        <f aca="false">IF(H272="","D","C")</f>
        <v>D</v>
      </c>
      <c r="P272" s="14" t="s">
        <v>4337</v>
      </c>
    </row>
    <row r="273" customFormat="false" ht="43.25" hidden="false" customHeight="false" outlineLevel="0" collapsed="false">
      <c r="A273" s="13" t="s">
        <v>794</v>
      </c>
      <c r="B273" s="13" t="s">
        <v>3832</v>
      </c>
      <c r="C273" s="14" t="s">
        <v>797</v>
      </c>
      <c r="D273" s="14" t="s">
        <v>3833</v>
      </c>
      <c r="E273" s="23" t="n">
        <v>24</v>
      </c>
      <c r="F273" s="13" t="s">
        <v>4333</v>
      </c>
      <c r="G273" s="24" t="str">
        <f aca="false">IF(OR($E273="",Settings!$B$26="",Settings!$B$27=""),"",MIN($E273*Settings!$B$34,57610/Settings!$B$35)*60*Settings!$B$7/(1+0.81+3000/(Settings!$B$26*88)+3000/(Settings!$B$27*88))*0.8)</f>
        <v/>
      </c>
      <c r="H273" s="24" t="str">
        <f aca="false">IF(OR($E273="",Settings!$B$26="",Settings!$B$27=""),"",MIN($E273*Settings!$B$34,57610/Settings!$B$35)*60*Settings!$B$7/(0.85+0.81+3000/(Settings!$B$26*88)+3000/(Settings!$B$27*88))*0.8)</f>
        <v/>
      </c>
      <c r="I273" s="24"/>
      <c r="J273" s="13" t="s">
        <v>3776</v>
      </c>
      <c r="K273" s="13" t="s">
        <v>4136</v>
      </c>
      <c r="L273" s="14" t="s">
        <v>4340</v>
      </c>
      <c r="M273" s="14" t="s">
        <v>4341</v>
      </c>
      <c r="N273" s="13" t="s">
        <v>4336</v>
      </c>
      <c r="O273" s="13" t="str">
        <f aca="false">IF(H273="","D","C")</f>
        <v>D</v>
      </c>
      <c r="P273" s="14" t="s">
        <v>4337</v>
      </c>
    </row>
    <row r="274" customFormat="false" ht="43.25" hidden="false" customHeight="false" outlineLevel="0" collapsed="false">
      <c r="A274" s="13" t="s">
        <v>806</v>
      </c>
      <c r="B274" s="13" t="s">
        <v>3820</v>
      </c>
      <c r="C274" s="14" t="s">
        <v>808</v>
      </c>
      <c r="D274" s="14" t="s">
        <v>3822</v>
      </c>
      <c r="E274" s="23" t="n">
        <v>23</v>
      </c>
      <c r="F274" s="13" t="s">
        <v>4333</v>
      </c>
      <c r="G274" s="24" t="str">
        <f aca="false">IF(OR($E274="",Settings!$B$26="",Settings!$B$27=""),"",MIN($E274*Settings!$B$34,55200/Settings!$B$35)*60*Settings!$B$7/(1+0.81+1000/(Settings!$B$26*88)+1000/(Settings!$B$27*88))*0.8)</f>
        <v/>
      </c>
      <c r="H274" s="24" t="str">
        <f aca="false">IF(OR($E274="",Settings!$B$26="",Settings!$B$27=""),"",MIN($E274*Settings!$B$34,55200/Settings!$B$35)*60*Settings!$B$7/(0.85+0.81+1000/(Settings!$B$26*88)+1000/(Settings!$B$27*88))*0.8)</f>
        <v/>
      </c>
      <c r="I274" s="24"/>
      <c r="J274" s="13" t="s">
        <v>3776</v>
      </c>
      <c r="K274" s="13" t="s">
        <v>4136</v>
      </c>
      <c r="L274" s="14" t="s">
        <v>4342</v>
      </c>
      <c r="M274" s="14" t="s">
        <v>4343</v>
      </c>
      <c r="N274" s="13" t="s">
        <v>4336</v>
      </c>
      <c r="O274" s="13" t="str">
        <f aca="false">IF(H274="","D","C")</f>
        <v>D</v>
      </c>
      <c r="P274" s="14" t="s">
        <v>4337</v>
      </c>
    </row>
    <row r="275" customFormat="false" ht="43.25" hidden="false" customHeight="false" outlineLevel="0" collapsed="false">
      <c r="A275" s="13" t="s">
        <v>806</v>
      </c>
      <c r="B275" s="13" t="s">
        <v>3827</v>
      </c>
      <c r="C275" s="14" t="s">
        <v>808</v>
      </c>
      <c r="D275" s="14" t="s">
        <v>3828</v>
      </c>
      <c r="E275" s="23" t="n">
        <v>23</v>
      </c>
      <c r="F275" s="13" t="s">
        <v>4333</v>
      </c>
      <c r="G275" s="24" t="str">
        <f aca="false">IF(OR($E275="",Settings!$B$26="",Settings!$B$27=""),"",MIN($E275*Settings!$B$34,55200/Settings!$B$35)*60*Settings!$B$7/(1+0.81+2000/(Settings!$B$26*88)+2000/(Settings!$B$27*88))*0.8)</f>
        <v/>
      </c>
      <c r="H275" s="24" t="str">
        <f aca="false">IF(OR($E275="",Settings!$B$26="",Settings!$B$27=""),"",MIN($E275*Settings!$B$34,55200/Settings!$B$35)*60*Settings!$B$7/(0.85+0.81+2000/(Settings!$B$26*88)+2000/(Settings!$B$27*88))*0.8)</f>
        <v/>
      </c>
      <c r="I275" s="24"/>
      <c r="J275" s="13" t="s">
        <v>3776</v>
      </c>
      <c r="K275" s="13" t="s">
        <v>4136</v>
      </c>
      <c r="L275" s="14" t="s">
        <v>4344</v>
      </c>
      <c r="M275" s="14" t="s">
        <v>4345</v>
      </c>
      <c r="N275" s="13" t="s">
        <v>4336</v>
      </c>
      <c r="O275" s="13" t="str">
        <f aca="false">IF(H275="","D","C")</f>
        <v>D</v>
      </c>
      <c r="P275" s="14" t="s">
        <v>4337</v>
      </c>
    </row>
    <row r="276" customFormat="false" ht="43.25" hidden="false" customHeight="false" outlineLevel="0" collapsed="false">
      <c r="A276" s="13" t="s">
        <v>806</v>
      </c>
      <c r="B276" s="13" t="s">
        <v>3832</v>
      </c>
      <c r="C276" s="14" t="s">
        <v>808</v>
      </c>
      <c r="D276" s="14" t="s">
        <v>3833</v>
      </c>
      <c r="E276" s="23" t="n">
        <v>23</v>
      </c>
      <c r="F276" s="13" t="s">
        <v>4333</v>
      </c>
      <c r="G276" s="24" t="str">
        <f aca="false">IF(OR($E276="",Settings!$B$26="",Settings!$B$27=""),"",MIN($E276*Settings!$B$34,55200/Settings!$B$35)*60*Settings!$B$7/(1+0.81+3000/(Settings!$B$26*88)+3000/(Settings!$B$27*88))*0.8)</f>
        <v/>
      </c>
      <c r="H276" s="24" t="str">
        <f aca="false">IF(OR($E276="",Settings!$B$26="",Settings!$B$27=""),"",MIN($E276*Settings!$B$34,55200/Settings!$B$35)*60*Settings!$B$7/(0.85+0.81+3000/(Settings!$B$26*88)+3000/(Settings!$B$27*88))*0.8)</f>
        <v/>
      </c>
      <c r="I276" s="24"/>
      <c r="J276" s="13" t="s">
        <v>3776</v>
      </c>
      <c r="K276" s="13" t="s">
        <v>4136</v>
      </c>
      <c r="L276" s="14" t="s">
        <v>4346</v>
      </c>
      <c r="M276" s="14" t="s">
        <v>4347</v>
      </c>
      <c r="N276" s="13" t="s">
        <v>4336</v>
      </c>
      <c r="O276" s="13" t="str">
        <f aca="false">IF(H276="","D","C")</f>
        <v>D</v>
      </c>
      <c r="P276" s="14" t="s">
        <v>4337</v>
      </c>
    </row>
    <row r="277" customFormat="false" ht="53.7" hidden="false" customHeight="false" outlineLevel="0" collapsed="false">
      <c r="A277" s="13" t="s">
        <v>813</v>
      </c>
      <c r="B277" s="13" t="s">
        <v>3820</v>
      </c>
      <c r="C277" s="14" t="s">
        <v>797</v>
      </c>
      <c r="D277" s="14" t="s">
        <v>3822</v>
      </c>
      <c r="E277" s="23" t="n">
        <v>24</v>
      </c>
      <c r="F277" s="13" t="s">
        <v>4333</v>
      </c>
      <c r="G277" s="24" t="str">
        <f aca="false">IF(OR($E277="",Settings!$B$26="",Settings!$B$27=""),"",$E277*Settings!$B$34*60*Settings!$B$7/(1+0.81+1000/(Settings!$B$26*88)+1000/(Settings!$B$27*88))*0.8)</f>
        <v/>
      </c>
      <c r="H277" s="24" t="str">
        <f aca="false">IF(OR($E277="",Settings!$B$26="",Settings!$B$27=""),"",$E277*Settings!$B$34*60*Settings!$B$7/(0.85+0.81+1000/(Settings!$B$26*88)+1000/(Settings!$B$27*88))*0.8)</f>
        <v/>
      </c>
      <c r="I277" s="24"/>
      <c r="J277" s="13" t="s">
        <v>3776</v>
      </c>
      <c r="K277" s="13" t="s">
        <v>4136</v>
      </c>
      <c r="L277" s="14" t="s">
        <v>4334</v>
      </c>
      <c r="M277" s="14" t="s">
        <v>4348</v>
      </c>
      <c r="N277" s="13" t="s">
        <v>4336</v>
      </c>
      <c r="O277" s="13" t="str">
        <f aca="false">IF(H277="","D","C")</f>
        <v>D</v>
      </c>
      <c r="P277" s="14" t="s">
        <v>4337</v>
      </c>
    </row>
    <row r="278" customFormat="false" ht="53.7" hidden="false" customHeight="false" outlineLevel="0" collapsed="false">
      <c r="A278" s="13" t="s">
        <v>813</v>
      </c>
      <c r="B278" s="13" t="s">
        <v>3827</v>
      </c>
      <c r="C278" s="14" t="s">
        <v>797</v>
      </c>
      <c r="D278" s="14" t="s">
        <v>3828</v>
      </c>
      <c r="E278" s="23" t="n">
        <v>24</v>
      </c>
      <c r="F278" s="13" t="s">
        <v>4333</v>
      </c>
      <c r="G278" s="24" t="str">
        <f aca="false">IF(OR($E278="",Settings!$B$26="",Settings!$B$27=""),"",$E278*Settings!$B$34*60*Settings!$B$7/(1+0.81+2000/(Settings!$B$26*88)+2000/(Settings!$B$27*88))*0.8)</f>
        <v/>
      </c>
      <c r="H278" s="24" t="str">
        <f aca="false">IF(OR($E278="",Settings!$B$26="",Settings!$B$27=""),"",$E278*Settings!$B$34*60*Settings!$B$7/(0.85+0.81+2000/(Settings!$B$26*88)+2000/(Settings!$B$27*88))*0.8)</f>
        <v/>
      </c>
      <c r="I278" s="24"/>
      <c r="J278" s="13" t="s">
        <v>3776</v>
      </c>
      <c r="K278" s="13" t="s">
        <v>4136</v>
      </c>
      <c r="L278" s="14" t="s">
        <v>4338</v>
      </c>
      <c r="M278" s="14" t="s">
        <v>4349</v>
      </c>
      <c r="N278" s="13" t="s">
        <v>4336</v>
      </c>
      <c r="O278" s="13" t="str">
        <f aca="false">IF(H278="","D","C")</f>
        <v>D</v>
      </c>
      <c r="P278" s="14" t="s">
        <v>4337</v>
      </c>
    </row>
    <row r="279" customFormat="false" ht="53.7" hidden="false" customHeight="false" outlineLevel="0" collapsed="false">
      <c r="A279" s="13" t="s">
        <v>813</v>
      </c>
      <c r="B279" s="13" t="s">
        <v>3832</v>
      </c>
      <c r="C279" s="14" t="s">
        <v>797</v>
      </c>
      <c r="D279" s="14" t="s">
        <v>3833</v>
      </c>
      <c r="E279" s="23" t="n">
        <v>24</v>
      </c>
      <c r="F279" s="13" t="s">
        <v>4333</v>
      </c>
      <c r="G279" s="24" t="str">
        <f aca="false">IF(OR($E279="",Settings!$B$26="",Settings!$B$27=""),"",$E279*Settings!$B$34*60*Settings!$B$7/(1+0.81+3000/(Settings!$B$26*88)+3000/(Settings!$B$27*88))*0.8)</f>
        <v/>
      </c>
      <c r="H279" s="24" t="str">
        <f aca="false">IF(OR($E279="",Settings!$B$26="",Settings!$B$27=""),"",$E279*Settings!$B$34*60*Settings!$B$7/(0.85+0.81+3000/(Settings!$B$26*88)+3000/(Settings!$B$27*88))*0.8)</f>
        <v/>
      </c>
      <c r="I279" s="24"/>
      <c r="J279" s="13" t="s">
        <v>3776</v>
      </c>
      <c r="K279" s="13" t="s">
        <v>4136</v>
      </c>
      <c r="L279" s="14" t="s">
        <v>4340</v>
      </c>
      <c r="M279" s="14" t="s">
        <v>4350</v>
      </c>
      <c r="N279" s="13" t="s">
        <v>4336</v>
      </c>
      <c r="O279" s="13" t="str">
        <f aca="false">IF(H279="","D","C")</f>
        <v>D</v>
      </c>
      <c r="P279" s="14" t="s">
        <v>4337</v>
      </c>
    </row>
    <row r="280" customFormat="false" ht="43.25" hidden="false" customHeight="false" outlineLevel="0" collapsed="false">
      <c r="A280" s="13" t="s">
        <v>820</v>
      </c>
      <c r="B280" s="13" t="s">
        <v>3820</v>
      </c>
      <c r="C280" s="14" t="s">
        <v>821</v>
      </c>
      <c r="D280" s="14" t="s">
        <v>3822</v>
      </c>
      <c r="E280" s="23" t="n">
        <v>34</v>
      </c>
      <c r="F280" s="13" t="s">
        <v>4333</v>
      </c>
      <c r="G280" s="24" t="str">
        <f aca="false">IF(OR($E280="",Settings!$B$26="",Settings!$B$27=""),"",MIN($E280*Settings!$B$34,82200/Settings!$B$35)*60*Settings!$B$7/(1+0.81+1000/(Settings!$B$26*88)+1000/(Settings!$B$27*88))*0.8)</f>
        <v/>
      </c>
      <c r="H280" s="24" t="str">
        <f aca="false">IF(OR($E280="",Settings!$B$26="",Settings!$B$27=""),"",MIN($E280*Settings!$B$34,82200/Settings!$B$35)*60*Settings!$B$7/(0.85+0.81+1000/(Settings!$B$26*88)+1000/(Settings!$B$27*88))*0.8)</f>
        <v/>
      </c>
      <c r="I280" s="24"/>
      <c r="J280" s="13" t="s">
        <v>3776</v>
      </c>
      <c r="K280" s="13" t="s">
        <v>4136</v>
      </c>
      <c r="L280" s="14" t="s">
        <v>4351</v>
      </c>
      <c r="M280" s="14" t="s">
        <v>4352</v>
      </c>
      <c r="N280" s="13" t="s">
        <v>4336</v>
      </c>
      <c r="O280" s="13" t="str">
        <f aca="false">IF(H280="","D","C")</f>
        <v>D</v>
      </c>
      <c r="P280" s="14" t="s">
        <v>4337</v>
      </c>
    </row>
    <row r="281" customFormat="false" ht="43.25" hidden="false" customHeight="false" outlineLevel="0" collapsed="false">
      <c r="A281" s="13" t="s">
        <v>820</v>
      </c>
      <c r="B281" s="13" t="s">
        <v>3827</v>
      </c>
      <c r="C281" s="14" t="s">
        <v>821</v>
      </c>
      <c r="D281" s="14" t="s">
        <v>3828</v>
      </c>
      <c r="E281" s="23" t="n">
        <v>34</v>
      </c>
      <c r="F281" s="13" t="s">
        <v>4333</v>
      </c>
      <c r="G281" s="24" t="str">
        <f aca="false">IF(OR($E281="",Settings!$B$26="",Settings!$B$27=""),"",MIN($E281*Settings!$B$34,82200/Settings!$B$35)*60*Settings!$B$7/(1+0.81+2000/(Settings!$B$26*88)+2000/(Settings!$B$27*88))*0.8)</f>
        <v/>
      </c>
      <c r="H281" s="24" t="str">
        <f aca="false">IF(OR($E281="",Settings!$B$26="",Settings!$B$27=""),"",MIN($E281*Settings!$B$34,82200/Settings!$B$35)*60*Settings!$B$7/(0.85+0.81+2000/(Settings!$B$26*88)+2000/(Settings!$B$27*88))*0.8)</f>
        <v/>
      </c>
      <c r="I281" s="24"/>
      <c r="J281" s="13" t="s">
        <v>3776</v>
      </c>
      <c r="K281" s="13" t="s">
        <v>4136</v>
      </c>
      <c r="L281" s="14" t="s">
        <v>4353</v>
      </c>
      <c r="M281" s="14" t="s">
        <v>4354</v>
      </c>
      <c r="N281" s="13" t="s">
        <v>4336</v>
      </c>
      <c r="O281" s="13" t="str">
        <f aca="false">IF(H281="","D","C")</f>
        <v>D</v>
      </c>
      <c r="P281" s="14" t="s">
        <v>4337</v>
      </c>
    </row>
    <row r="282" customFormat="false" ht="43.25" hidden="false" customHeight="false" outlineLevel="0" collapsed="false">
      <c r="A282" s="13" t="s">
        <v>820</v>
      </c>
      <c r="B282" s="13" t="s">
        <v>3832</v>
      </c>
      <c r="C282" s="14" t="s">
        <v>821</v>
      </c>
      <c r="D282" s="14" t="s">
        <v>3833</v>
      </c>
      <c r="E282" s="23" t="n">
        <v>34</v>
      </c>
      <c r="F282" s="13" t="s">
        <v>4333</v>
      </c>
      <c r="G282" s="24" t="str">
        <f aca="false">IF(OR($E282="",Settings!$B$26="",Settings!$B$27=""),"",MIN($E282*Settings!$B$34,82200/Settings!$B$35)*60*Settings!$B$7/(1+0.81+3000/(Settings!$B$26*88)+3000/(Settings!$B$27*88))*0.8)</f>
        <v/>
      </c>
      <c r="H282" s="24" t="str">
        <f aca="false">IF(OR($E282="",Settings!$B$26="",Settings!$B$27=""),"",MIN($E282*Settings!$B$34,82200/Settings!$B$35)*60*Settings!$B$7/(0.85+0.81+3000/(Settings!$B$26*88)+3000/(Settings!$B$27*88))*0.8)</f>
        <v/>
      </c>
      <c r="I282" s="24"/>
      <c r="J282" s="13" t="s">
        <v>3776</v>
      </c>
      <c r="K282" s="13" t="s">
        <v>4136</v>
      </c>
      <c r="L282" s="14" t="s">
        <v>4355</v>
      </c>
      <c r="M282" s="14" t="s">
        <v>4356</v>
      </c>
      <c r="N282" s="13" t="s">
        <v>4336</v>
      </c>
      <c r="O282" s="13" t="str">
        <f aca="false">IF(H282="","D","C")</f>
        <v>D</v>
      </c>
      <c r="P282" s="14" t="s">
        <v>4337</v>
      </c>
    </row>
    <row r="283" customFormat="false" ht="43.25" hidden="false" customHeight="false" outlineLevel="0" collapsed="false">
      <c r="A283" s="13" t="s">
        <v>827</v>
      </c>
      <c r="B283" s="13" t="s">
        <v>3820</v>
      </c>
      <c r="C283" s="14" t="s">
        <v>821</v>
      </c>
      <c r="D283" s="14" t="s">
        <v>3822</v>
      </c>
      <c r="E283" s="23" t="n">
        <v>34</v>
      </c>
      <c r="F283" s="13" t="s">
        <v>4333</v>
      </c>
      <c r="G283" s="24" t="str">
        <f aca="false">IF(OR($E283="",Settings!$B$26="",Settings!$B$27=""),"",MIN($E283*Settings!$B$34,82200/Settings!$B$35)*60*Settings!$B$7/(1+0.81+1000/(Settings!$B$26*88)+1000/(Settings!$B$27*88))*0.8)</f>
        <v/>
      </c>
      <c r="H283" s="24" t="str">
        <f aca="false">IF(OR($E283="",Settings!$B$26="",Settings!$B$27=""),"",MIN($E283*Settings!$B$34,82200/Settings!$B$35)*60*Settings!$B$7/(0.85+0.81+1000/(Settings!$B$26*88)+1000/(Settings!$B$27*88))*0.8)</f>
        <v/>
      </c>
      <c r="I283" s="24"/>
      <c r="J283" s="13" t="s">
        <v>3776</v>
      </c>
      <c r="K283" s="13" t="s">
        <v>4136</v>
      </c>
      <c r="L283" s="14" t="s">
        <v>4351</v>
      </c>
      <c r="M283" s="14" t="s">
        <v>4352</v>
      </c>
      <c r="N283" s="13" t="s">
        <v>4336</v>
      </c>
      <c r="O283" s="13" t="str">
        <f aca="false">IF(H283="","D","C")</f>
        <v>D</v>
      </c>
      <c r="P283" s="14" t="s">
        <v>4337</v>
      </c>
    </row>
    <row r="284" customFormat="false" ht="43.25" hidden="false" customHeight="false" outlineLevel="0" collapsed="false">
      <c r="A284" s="13" t="s">
        <v>827</v>
      </c>
      <c r="B284" s="13" t="s">
        <v>3827</v>
      </c>
      <c r="C284" s="14" t="s">
        <v>821</v>
      </c>
      <c r="D284" s="14" t="s">
        <v>3828</v>
      </c>
      <c r="E284" s="23" t="n">
        <v>34</v>
      </c>
      <c r="F284" s="13" t="s">
        <v>4333</v>
      </c>
      <c r="G284" s="24" t="str">
        <f aca="false">IF(OR($E284="",Settings!$B$26="",Settings!$B$27=""),"",MIN($E284*Settings!$B$34,82200/Settings!$B$35)*60*Settings!$B$7/(1+0.81+2000/(Settings!$B$26*88)+2000/(Settings!$B$27*88))*0.8)</f>
        <v/>
      </c>
      <c r="H284" s="24" t="str">
        <f aca="false">IF(OR($E284="",Settings!$B$26="",Settings!$B$27=""),"",MIN($E284*Settings!$B$34,82200/Settings!$B$35)*60*Settings!$B$7/(0.85+0.81+2000/(Settings!$B$26*88)+2000/(Settings!$B$27*88))*0.8)</f>
        <v/>
      </c>
      <c r="I284" s="24"/>
      <c r="J284" s="13" t="s">
        <v>3776</v>
      </c>
      <c r="K284" s="13" t="s">
        <v>4136</v>
      </c>
      <c r="L284" s="14" t="s">
        <v>4353</v>
      </c>
      <c r="M284" s="14" t="s">
        <v>4354</v>
      </c>
      <c r="N284" s="13" t="s">
        <v>4336</v>
      </c>
      <c r="O284" s="13" t="str">
        <f aca="false">IF(H284="","D","C")</f>
        <v>D</v>
      </c>
      <c r="P284" s="14" t="s">
        <v>4337</v>
      </c>
    </row>
    <row r="285" customFormat="false" ht="43.25" hidden="false" customHeight="false" outlineLevel="0" collapsed="false">
      <c r="A285" s="13" t="s">
        <v>827</v>
      </c>
      <c r="B285" s="13" t="s">
        <v>3832</v>
      </c>
      <c r="C285" s="14" t="s">
        <v>821</v>
      </c>
      <c r="D285" s="14" t="s">
        <v>3833</v>
      </c>
      <c r="E285" s="23" t="n">
        <v>34</v>
      </c>
      <c r="F285" s="13" t="s">
        <v>4333</v>
      </c>
      <c r="G285" s="24" t="str">
        <f aca="false">IF(OR($E285="",Settings!$B$26="",Settings!$B$27=""),"",MIN($E285*Settings!$B$34,82200/Settings!$B$35)*60*Settings!$B$7/(1+0.81+3000/(Settings!$B$26*88)+3000/(Settings!$B$27*88))*0.8)</f>
        <v/>
      </c>
      <c r="H285" s="24" t="str">
        <f aca="false">IF(OR($E285="",Settings!$B$26="",Settings!$B$27=""),"",MIN($E285*Settings!$B$34,82200/Settings!$B$35)*60*Settings!$B$7/(0.85+0.81+3000/(Settings!$B$26*88)+3000/(Settings!$B$27*88))*0.8)</f>
        <v/>
      </c>
      <c r="I285" s="24"/>
      <c r="J285" s="13" t="s">
        <v>3776</v>
      </c>
      <c r="K285" s="13" t="s">
        <v>4136</v>
      </c>
      <c r="L285" s="14" t="s">
        <v>4355</v>
      </c>
      <c r="M285" s="14" t="s">
        <v>4356</v>
      </c>
      <c r="N285" s="13" t="s">
        <v>4336</v>
      </c>
      <c r="O285" s="13" t="str">
        <f aca="false">IF(H285="","D","C")</f>
        <v>D</v>
      </c>
      <c r="P285" s="14" t="s">
        <v>4337</v>
      </c>
    </row>
    <row r="286" customFormat="false" ht="53.7" hidden="false" customHeight="false" outlineLevel="0" collapsed="false">
      <c r="A286" s="13" t="s">
        <v>832</v>
      </c>
      <c r="B286" s="13" t="s">
        <v>3820</v>
      </c>
      <c r="C286" s="14" t="s">
        <v>833</v>
      </c>
      <c r="D286" s="14" t="s">
        <v>3822</v>
      </c>
      <c r="E286" s="23" t="n">
        <v>44</v>
      </c>
      <c r="F286" s="13" t="s">
        <v>4333</v>
      </c>
      <c r="G286" s="24" t="str">
        <f aca="false">IF(OR($E286="",Settings!$B$26="",Settings!$B$27=""),"",$E286*Settings!$B$34*60*Settings!$B$7/(1+0.81+1000/(Settings!$B$26*88)+1000/(Settings!$B$27*88))*0.8)</f>
        <v/>
      </c>
      <c r="H286" s="24" t="str">
        <f aca="false">IF(OR($E286="",Settings!$B$26="",Settings!$B$27=""),"",$E286*Settings!$B$34*60*Settings!$B$7/(0.85+0.81+1000/(Settings!$B$26*88)+1000/(Settings!$B$27*88))*0.8)</f>
        <v/>
      </c>
      <c r="I286" s="24"/>
      <c r="J286" s="13" t="s">
        <v>3776</v>
      </c>
      <c r="K286" s="13" t="s">
        <v>4136</v>
      </c>
      <c r="L286" s="14" t="s">
        <v>4357</v>
      </c>
      <c r="M286" s="14" t="s">
        <v>4358</v>
      </c>
      <c r="N286" s="13" t="s">
        <v>4336</v>
      </c>
      <c r="O286" s="13" t="str">
        <f aca="false">IF(H286="","D","C")</f>
        <v>D</v>
      </c>
      <c r="P286" s="14" t="s">
        <v>4337</v>
      </c>
    </row>
    <row r="287" customFormat="false" ht="53.7" hidden="false" customHeight="false" outlineLevel="0" collapsed="false">
      <c r="A287" s="13" t="s">
        <v>832</v>
      </c>
      <c r="B287" s="13" t="s">
        <v>3827</v>
      </c>
      <c r="C287" s="14" t="s">
        <v>833</v>
      </c>
      <c r="D287" s="14" t="s">
        <v>3828</v>
      </c>
      <c r="E287" s="23" t="n">
        <v>44</v>
      </c>
      <c r="F287" s="13" t="s">
        <v>4333</v>
      </c>
      <c r="G287" s="24" t="str">
        <f aca="false">IF(OR($E287="",Settings!$B$26="",Settings!$B$27=""),"",$E287*Settings!$B$34*60*Settings!$B$7/(1+0.81+2000/(Settings!$B$26*88)+2000/(Settings!$B$27*88))*0.8)</f>
        <v/>
      </c>
      <c r="H287" s="24" t="str">
        <f aca="false">IF(OR($E287="",Settings!$B$26="",Settings!$B$27=""),"",$E287*Settings!$B$34*60*Settings!$B$7/(0.85+0.81+2000/(Settings!$B$26*88)+2000/(Settings!$B$27*88))*0.8)</f>
        <v/>
      </c>
      <c r="I287" s="24"/>
      <c r="J287" s="13" t="s">
        <v>3776</v>
      </c>
      <c r="K287" s="13" t="s">
        <v>4136</v>
      </c>
      <c r="L287" s="14" t="s">
        <v>4359</v>
      </c>
      <c r="M287" s="14" t="s">
        <v>4360</v>
      </c>
      <c r="N287" s="13" t="s">
        <v>4336</v>
      </c>
      <c r="O287" s="13" t="str">
        <f aca="false">IF(H287="","D","C")</f>
        <v>D</v>
      </c>
      <c r="P287" s="14" t="s">
        <v>4337</v>
      </c>
    </row>
    <row r="288" customFormat="false" ht="53.7" hidden="false" customHeight="false" outlineLevel="0" collapsed="false">
      <c r="A288" s="13" t="s">
        <v>832</v>
      </c>
      <c r="B288" s="13" t="s">
        <v>3832</v>
      </c>
      <c r="C288" s="14" t="s">
        <v>833</v>
      </c>
      <c r="D288" s="14" t="s">
        <v>3833</v>
      </c>
      <c r="E288" s="23" t="n">
        <v>44</v>
      </c>
      <c r="F288" s="13" t="s">
        <v>4333</v>
      </c>
      <c r="G288" s="24" t="str">
        <f aca="false">IF(OR($E288="",Settings!$B$26="",Settings!$B$27=""),"",$E288*Settings!$B$34*60*Settings!$B$7/(1+0.81+3000/(Settings!$B$26*88)+3000/(Settings!$B$27*88))*0.8)</f>
        <v/>
      </c>
      <c r="H288" s="24" t="str">
        <f aca="false">IF(OR($E288="",Settings!$B$26="",Settings!$B$27=""),"",$E288*Settings!$B$34*60*Settings!$B$7/(0.85+0.81+3000/(Settings!$B$26*88)+3000/(Settings!$B$27*88))*0.8)</f>
        <v/>
      </c>
      <c r="I288" s="24"/>
      <c r="J288" s="13" t="s">
        <v>3776</v>
      </c>
      <c r="K288" s="13" t="s">
        <v>4136</v>
      </c>
      <c r="L288" s="14" t="s">
        <v>4361</v>
      </c>
      <c r="M288" s="14" t="s">
        <v>4362</v>
      </c>
      <c r="N288" s="13" t="s">
        <v>4336</v>
      </c>
      <c r="O288" s="13" t="str">
        <f aca="false">IF(H288="","D","C")</f>
        <v>D</v>
      </c>
      <c r="P288" s="14" t="s">
        <v>4337</v>
      </c>
    </row>
    <row r="289" customFormat="false" ht="43.25" hidden="false" customHeight="false" outlineLevel="0" collapsed="false">
      <c r="A289" s="13" t="s">
        <v>839</v>
      </c>
      <c r="B289" s="13" t="s">
        <v>3820</v>
      </c>
      <c r="C289" s="14" t="s">
        <v>833</v>
      </c>
      <c r="D289" s="14" t="s">
        <v>3822</v>
      </c>
      <c r="E289" s="23" t="n">
        <v>44</v>
      </c>
      <c r="F289" s="13" t="s">
        <v>4333</v>
      </c>
      <c r="G289" s="24" t="str">
        <f aca="false">IF(OR($E289="",Settings!$B$26="",Settings!$B$27=""),"",MIN($E289*Settings!$B$34,104000/Settings!$B$35)*60*Settings!$B$7/(1+0.81+1000/(Settings!$B$26*88)+1000/(Settings!$B$27*88))*0.8)</f>
        <v/>
      </c>
      <c r="H289" s="24" t="str">
        <f aca="false">IF(OR($E289="",Settings!$B$26="",Settings!$B$27=""),"",MIN($E289*Settings!$B$34,104000/Settings!$B$35)*60*Settings!$B$7/(0.85+0.81+1000/(Settings!$B$26*88)+1000/(Settings!$B$27*88))*0.8)</f>
        <v/>
      </c>
      <c r="I289" s="24"/>
      <c r="J289" s="13" t="s">
        <v>3776</v>
      </c>
      <c r="K289" s="13" t="s">
        <v>4136</v>
      </c>
      <c r="L289" s="14" t="s">
        <v>4357</v>
      </c>
      <c r="M289" s="14" t="s">
        <v>4363</v>
      </c>
      <c r="N289" s="13" t="s">
        <v>4336</v>
      </c>
      <c r="O289" s="13" t="str">
        <f aca="false">IF(H289="","D","C")</f>
        <v>D</v>
      </c>
      <c r="P289" s="14" t="s">
        <v>4337</v>
      </c>
    </row>
    <row r="290" customFormat="false" ht="43.25" hidden="false" customHeight="false" outlineLevel="0" collapsed="false">
      <c r="A290" s="13" t="s">
        <v>839</v>
      </c>
      <c r="B290" s="13" t="s">
        <v>3827</v>
      </c>
      <c r="C290" s="14" t="s">
        <v>833</v>
      </c>
      <c r="D290" s="14" t="s">
        <v>3828</v>
      </c>
      <c r="E290" s="23" t="n">
        <v>44</v>
      </c>
      <c r="F290" s="13" t="s">
        <v>4333</v>
      </c>
      <c r="G290" s="24" t="str">
        <f aca="false">IF(OR($E290="",Settings!$B$26="",Settings!$B$27=""),"",MIN($E290*Settings!$B$34,104000/Settings!$B$35)*60*Settings!$B$7/(1+0.81+2000/(Settings!$B$26*88)+2000/(Settings!$B$27*88))*0.8)</f>
        <v/>
      </c>
      <c r="H290" s="24" t="str">
        <f aca="false">IF(OR($E290="",Settings!$B$26="",Settings!$B$27=""),"",MIN($E290*Settings!$B$34,104000/Settings!$B$35)*60*Settings!$B$7/(0.85+0.81+2000/(Settings!$B$26*88)+2000/(Settings!$B$27*88))*0.8)</f>
        <v/>
      </c>
      <c r="I290" s="24"/>
      <c r="J290" s="13" t="s">
        <v>3776</v>
      </c>
      <c r="K290" s="13" t="s">
        <v>4136</v>
      </c>
      <c r="L290" s="14" t="s">
        <v>4359</v>
      </c>
      <c r="M290" s="14" t="s">
        <v>4364</v>
      </c>
      <c r="N290" s="13" t="s">
        <v>4336</v>
      </c>
      <c r="O290" s="13" t="str">
        <f aca="false">IF(H290="","D","C")</f>
        <v>D</v>
      </c>
      <c r="P290" s="14" t="s">
        <v>4337</v>
      </c>
    </row>
    <row r="291" customFormat="false" ht="43.25" hidden="false" customHeight="false" outlineLevel="0" collapsed="false">
      <c r="A291" s="13" t="s">
        <v>839</v>
      </c>
      <c r="B291" s="13" t="s">
        <v>3832</v>
      </c>
      <c r="C291" s="14" t="s">
        <v>833</v>
      </c>
      <c r="D291" s="14" t="s">
        <v>3833</v>
      </c>
      <c r="E291" s="23" t="n">
        <v>44</v>
      </c>
      <c r="F291" s="13" t="s">
        <v>4333</v>
      </c>
      <c r="G291" s="24" t="str">
        <f aca="false">IF(OR($E291="",Settings!$B$26="",Settings!$B$27=""),"",MIN($E291*Settings!$B$34,104000/Settings!$B$35)*60*Settings!$B$7/(1+0.81+3000/(Settings!$B$26*88)+3000/(Settings!$B$27*88))*0.8)</f>
        <v/>
      </c>
      <c r="H291" s="24" t="str">
        <f aca="false">IF(OR($E291="",Settings!$B$26="",Settings!$B$27=""),"",MIN($E291*Settings!$B$34,104000/Settings!$B$35)*60*Settings!$B$7/(0.85+0.81+3000/(Settings!$B$26*88)+3000/(Settings!$B$27*88))*0.8)</f>
        <v/>
      </c>
      <c r="I291" s="24"/>
      <c r="J291" s="13" t="s">
        <v>3776</v>
      </c>
      <c r="K291" s="13" t="s">
        <v>4136</v>
      </c>
      <c r="L291" s="14" t="s">
        <v>4361</v>
      </c>
      <c r="M291" s="14" t="s">
        <v>4365</v>
      </c>
      <c r="N291" s="13" t="s">
        <v>4336</v>
      </c>
      <c r="O291" s="13" t="str">
        <f aca="false">IF(H291="","D","C")</f>
        <v>D</v>
      </c>
      <c r="P291" s="14" t="s">
        <v>4337</v>
      </c>
    </row>
    <row r="292" customFormat="false" ht="15" hidden="false" customHeight="false" outlineLevel="0" collapsed="false">
      <c r="A292" s="13" t="s">
        <v>854</v>
      </c>
      <c r="B292" s="13" t="s">
        <v>861</v>
      </c>
      <c r="C292" s="14" t="s">
        <v>856</v>
      </c>
      <c r="D292" s="14" t="s">
        <v>3864</v>
      </c>
      <c r="E292" s="13"/>
      <c r="F292" s="13"/>
      <c r="G292" s="24"/>
      <c r="H292" s="24"/>
      <c r="I292" s="24"/>
      <c r="J292" s="13" t="s">
        <v>3770</v>
      </c>
      <c r="K292" s="13" t="s">
        <v>3771</v>
      </c>
      <c r="L292" s="14" t="s">
        <v>4366</v>
      </c>
      <c r="M292" s="14" t="s">
        <v>4367</v>
      </c>
      <c r="N292" s="13" t="s">
        <v>3875</v>
      </c>
      <c r="O292" s="13" t="s">
        <v>188</v>
      </c>
      <c r="P292" s="14" t="s">
        <v>4368</v>
      </c>
    </row>
    <row r="293" customFormat="false" ht="22.35" hidden="false" customHeight="false" outlineLevel="0" collapsed="false">
      <c r="A293" s="13" t="s">
        <v>863</v>
      </c>
      <c r="B293" s="13" t="s">
        <v>861</v>
      </c>
      <c r="C293" s="14" t="s">
        <v>865</v>
      </c>
      <c r="D293" s="14" t="s">
        <v>3864</v>
      </c>
      <c r="E293" s="23" t="n">
        <v>12</v>
      </c>
      <c r="F293" s="13" t="s">
        <v>4369</v>
      </c>
      <c r="G293" s="24" t="n">
        <f aca="false">IF($E293="","",1.5*($E293*COS(RADIANS(30))-2)*5280*Settings!$B$7/9/4)</f>
        <v>1532.43486477246</v>
      </c>
      <c r="H293" s="24" t="n">
        <f aca="false">IF($E293="","",2*($E293*COS(RADIANS(30))-2)*5280*Settings!$B$7/9/3)</f>
        <v>2724.32864848438</v>
      </c>
      <c r="I293" s="24" t="n">
        <f aca="false">IF($E293="","",2.5*($E293*COS(RADIANS(30))-2)*5280*Settings!$B$7/9/3)</f>
        <v>3405.41081060547</v>
      </c>
      <c r="J293" s="13" t="s">
        <v>3770</v>
      </c>
      <c r="K293" s="13" t="s">
        <v>4136</v>
      </c>
      <c r="L293" s="14" t="s">
        <v>4370</v>
      </c>
      <c r="M293" s="14" t="s">
        <v>4371</v>
      </c>
      <c r="N293" s="13" t="s">
        <v>4372</v>
      </c>
      <c r="O293" s="13" t="str">
        <f aca="false">IF(H293="","D","C")</f>
        <v>C</v>
      </c>
      <c r="P293" s="14"/>
    </row>
    <row r="294" customFormat="false" ht="32.8" hidden="false" customHeight="false" outlineLevel="0" collapsed="false">
      <c r="A294" s="13" t="s">
        <v>863</v>
      </c>
      <c r="B294" s="13" t="s">
        <v>3869</v>
      </c>
      <c r="C294" s="14" t="s">
        <v>865</v>
      </c>
      <c r="D294" s="14" t="s">
        <v>3870</v>
      </c>
      <c r="E294" s="23" t="n">
        <v>12</v>
      </c>
      <c r="F294" s="13" t="s">
        <v>4369</v>
      </c>
      <c r="G294" s="24" t="n">
        <f aca="false">IF($E294="","",2*($E294*COS(RADIANS(45))-2)*5280*Settings!$B$7/9)</f>
        <v>6315.79935432514</v>
      </c>
      <c r="H294" s="24" t="n">
        <f aca="false">IF($E294="","",3*($E294*COS(RADIANS(45))-2)*5280*Settings!$B$7/9)</f>
        <v>9473.69903148771</v>
      </c>
      <c r="I294" s="24" t="n">
        <f aca="false">IF($E294="","",4*($E294*COS(RADIANS(45))-2)*5280*Settings!$B$7/9)</f>
        <v>12631.5987086503</v>
      </c>
      <c r="J294" s="13" t="s">
        <v>3871</v>
      </c>
      <c r="K294" s="13" t="s">
        <v>4136</v>
      </c>
      <c r="L294" s="14" t="s">
        <v>4373</v>
      </c>
      <c r="M294" s="14" t="s">
        <v>4374</v>
      </c>
      <c r="N294" s="13" t="s">
        <v>4375</v>
      </c>
      <c r="O294" s="13" t="str">
        <f aca="false">IF(H294="","D","C")</f>
        <v>C</v>
      </c>
      <c r="P294" s="14"/>
    </row>
    <row r="295" customFormat="false" ht="22.35" hidden="false" customHeight="false" outlineLevel="0" collapsed="false">
      <c r="A295" s="13" t="s">
        <v>863</v>
      </c>
      <c r="B295" s="13" t="s">
        <v>3876</v>
      </c>
      <c r="C295" s="14" t="s">
        <v>865</v>
      </c>
      <c r="D295" s="14" t="s">
        <v>3877</v>
      </c>
      <c r="E295" s="13"/>
      <c r="F295" s="13"/>
      <c r="G295" s="24" t="n">
        <v>500</v>
      </c>
      <c r="H295" s="24" t="n">
        <v>750</v>
      </c>
      <c r="I295" s="24" t="n">
        <v>1250</v>
      </c>
      <c r="J295" s="13" t="s">
        <v>3878</v>
      </c>
      <c r="K295" s="13" t="s">
        <v>3879</v>
      </c>
      <c r="L295" s="14" t="s">
        <v>4376</v>
      </c>
      <c r="M295" s="14" t="s">
        <v>4377</v>
      </c>
      <c r="N295" s="13" t="s">
        <v>3964</v>
      </c>
      <c r="O295" s="13" t="s">
        <v>192</v>
      </c>
      <c r="P295" s="14"/>
    </row>
    <row r="296" customFormat="false" ht="22.35" hidden="false" customHeight="false" outlineLevel="0" collapsed="false">
      <c r="A296" s="13" t="s">
        <v>872</v>
      </c>
      <c r="B296" s="13" t="s">
        <v>861</v>
      </c>
      <c r="C296" s="14" t="s">
        <v>873</v>
      </c>
      <c r="D296" s="14" t="s">
        <v>3864</v>
      </c>
      <c r="E296" s="23" t="n">
        <v>12</v>
      </c>
      <c r="F296" s="13" t="s">
        <v>4369</v>
      </c>
      <c r="G296" s="24" t="n">
        <f aca="false">IF($E296="","",1.5*($E296*COS(RADIANS(30))-2)*5280*Settings!$B$7/9/4)</f>
        <v>1532.43486477246</v>
      </c>
      <c r="H296" s="24" t="n">
        <f aca="false">IF($E296="","",2*($E296*COS(RADIANS(30))-2)*5280*Settings!$B$7/9/3)</f>
        <v>2724.32864848438</v>
      </c>
      <c r="I296" s="24" t="n">
        <f aca="false">IF($E296="","",2.5*($E296*COS(RADIANS(30))-2)*5280*Settings!$B$7/9/3)</f>
        <v>3405.41081060547</v>
      </c>
      <c r="J296" s="13" t="s">
        <v>3770</v>
      </c>
      <c r="K296" s="13" t="s">
        <v>4136</v>
      </c>
      <c r="L296" s="14" t="s">
        <v>4370</v>
      </c>
      <c r="M296" s="14" t="s">
        <v>4371</v>
      </c>
      <c r="N296" s="13" t="s">
        <v>4372</v>
      </c>
      <c r="O296" s="13" t="str">
        <f aca="false">IF(H296="","D","C")</f>
        <v>C</v>
      </c>
      <c r="P296" s="14"/>
    </row>
    <row r="297" customFormat="false" ht="32.8" hidden="false" customHeight="false" outlineLevel="0" collapsed="false">
      <c r="A297" s="13" t="s">
        <v>872</v>
      </c>
      <c r="B297" s="13" t="s">
        <v>3869</v>
      </c>
      <c r="C297" s="14" t="s">
        <v>873</v>
      </c>
      <c r="D297" s="14" t="s">
        <v>3870</v>
      </c>
      <c r="E297" s="23" t="n">
        <v>12</v>
      </c>
      <c r="F297" s="13" t="s">
        <v>4369</v>
      </c>
      <c r="G297" s="24" t="n">
        <f aca="false">IF($E297="","",2*($E297*COS(RADIANS(45))-2)*5280*Settings!$B$7/9)</f>
        <v>6315.79935432514</v>
      </c>
      <c r="H297" s="24" t="n">
        <f aca="false">IF($E297="","",3*($E297*COS(RADIANS(45))-2)*5280*Settings!$B$7/9)</f>
        <v>9473.69903148771</v>
      </c>
      <c r="I297" s="24" t="n">
        <f aca="false">IF($E297="","",4*($E297*COS(RADIANS(45))-2)*5280*Settings!$B$7/9)</f>
        <v>12631.5987086503</v>
      </c>
      <c r="J297" s="13" t="s">
        <v>3871</v>
      </c>
      <c r="K297" s="13" t="s">
        <v>4136</v>
      </c>
      <c r="L297" s="14" t="s">
        <v>4373</v>
      </c>
      <c r="M297" s="14" t="s">
        <v>4374</v>
      </c>
      <c r="N297" s="13" t="s">
        <v>4375</v>
      </c>
      <c r="O297" s="13" t="str">
        <f aca="false">IF(H297="","D","C")</f>
        <v>C</v>
      </c>
      <c r="P297" s="14"/>
    </row>
    <row r="298" customFormat="false" ht="22.35" hidden="false" customHeight="false" outlineLevel="0" collapsed="false">
      <c r="A298" s="13" t="s">
        <v>872</v>
      </c>
      <c r="B298" s="13" t="s">
        <v>3876</v>
      </c>
      <c r="C298" s="14" t="s">
        <v>873</v>
      </c>
      <c r="D298" s="14" t="s">
        <v>3877</v>
      </c>
      <c r="E298" s="13"/>
      <c r="F298" s="13"/>
      <c r="G298" s="24" t="n">
        <v>500</v>
      </c>
      <c r="H298" s="24" t="n">
        <v>750</v>
      </c>
      <c r="I298" s="24" t="n">
        <v>1250</v>
      </c>
      <c r="J298" s="13" t="s">
        <v>3878</v>
      </c>
      <c r="K298" s="13" t="s">
        <v>3879</v>
      </c>
      <c r="L298" s="14" t="s">
        <v>4376</v>
      </c>
      <c r="M298" s="14" t="s">
        <v>4377</v>
      </c>
      <c r="N298" s="13" t="s">
        <v>3964</v>
      </c>
      <c r="O298" s="13" t="s">
        <v>192</v>
      </c>
      <c r="P298" s="14"/>
    </row>
    <row r="299" customFormat="false" ht="22.35" hidden="false" customHeight="false" outlineLevel="0" collapsed="false">
      <c r="A299" s="13" t="s">
        <v>878</v>
      </c>
      <c r="B299" s="13" t="s">
        <v>861</v>
      </c>
      <c r="C299" s="14" t="s">
        <v>879</v>
      </c>
      <c r="D299" s="14" t="s">
        <v>3864</v>
      </c>
      <c r="E299" s="23" t="n">
        <v>12</v>
      </c>
      <c r="F299" s="13" t="s">
        <v>4369</v>
      </c>
      <c r="G299" s="24" t="n">
        <f aca="false">IF($E299="","",1.5*($E299*COS(RADIANS(30))-2)*5280*Settings!$B$7/9/4)</f>
        <v>1532.43486477246</v>
      </c>
      <c r="H299" s="24" t="n">
        <f aca="false">IF($E299="","",2*($E299*COS(RADIANS(30))-2)*5280*Settings!$B$7/9/3)</f>
        <v>2724.32864848438</v>
      </c>
      <c r="I299" s="24" t="n">
        <f aca="false">IF($E299="","",2.5*($E299*COS(RADIANS(30))-2)*5280*Settings!$B$7/9/3)</f>
        <v>3405.41081060547</v>
      </c>
      <c r="J299" s="13" t="s">
        <v>3770</v>
      </c>
      <c r="K299" s="13" t="s">
        <v>4136</v>
      </c>
      <c r="L299" s="14" t="s">
        <v>4370</v>
      </c>
      <c r="M299" s="14" t="s">
        <v>4371</v>
      </c>
      <c r="N299" s="13" t="s">
        <v>4372</v>
      </c>
      <c r="O299" s="13" t="str">
        <f aca="false">IF(H299="","D","C")</f>
        <v>C</v>
      </c>
      <c r="P299" s="14"/>
    </row>
    <row r="300" customFormat="false" ht="32.8" hidden="false" customHeight="false" outlineLevel="0" collapsed="false">
      <c r="A300" s="13" t="s">
        <v>878</v>
      </c>
      <c r="B300" s="13" t="s">
        <v>3869</v>
      </c>
      <c r="C300" s="14" t="s">
        <v>879</v>
      </c>
      <c r="D300" s="14" t="s">
        <v>3870</v>
      </c>
      <c r="E300" s="23" t="n">
        <v>12</v>
      </c>
      <c r="F300" s="13" t="s">
        <v>4369</v>
      </c>
      <c r="G300" s="24" t="n">
        <f aca="false">IF($E300="","",2*($E300*COS(RADIANS(45))-2)*5280*Settings!$B$7/9)</f>
        <v>6315.79935432514</v>
      </c>
      <c r="H300" s="24" t="n">
        <f aca="false">IF($E300="","",3*($E300*COS(RADIANS(45))-2)*5280*Settings!$B$7/9)</f>
        <v>9473.69903148771</v>
      </c>
      <c r="I300" s="24" t="n">
        <f aca="false">IF($E300="","",4*($E300*COS(RADIANS(45))-2)*5280*Settings!$B$7/9)</f>
        <v>12631.5987086503</v>
      </c>
      <c r="J300" s="13" t="s">
        <v>3871</v>
      </c>
      <c r="K300" s="13" t="s">
        <v>4136</v>
      </c>
      <c r="L300" s="14" t="s">
        <v>4373</v>
      </c>
      <c r="M300" s="14" t="s">
        <v>4374</v>
      </c>
      <c r="N300" s="13" t="s">
        <v>4375</v>
      </c>
      <c r="O300" s="13" t="str">
        <f aca="false">IF(H300="","D","C")</f>
        <v>C</v>
      </c>
      <c r="P300" s="14"/>
    </row>
    <row r="301" customFormat="false" ht="22.35" hidden="false" customHeight="false" outlineLevel="0" collapsed="false">
      <c r="A301" s="13" t="s">
        <v>878</v>
      </c>
      <c r="B301" s="13" t="s">
        <v>3876</v>
      </c>
      <c r="C301" s="14" t="s">
        <v>879</v>
      </c>
      <c r="D301" s="14" t="s">
        <v>3877</v>
      </c>
      <c r="E301" s="13"/>
      <c r="F301" s="13"/>
      <c r="G301" s="24" t="n">
        <v>500</v>
      </c>
      <c r="H301" s="24" t="n">
        <v>750</v>
      </c>
      <c r="I301" s="24" t="n">
        <v>1250</v>
      </c>
      <c r="J301" s="13" t="s">
        <v>3878</v>
      </c>
      <c r="K301" s="13" t="s">
        <v>3879</v>
      </c>
      <c r="L301" s="14" t="s">
        <v>4376</v>
      </c>
      <c r="M301" s="14" t="s">
        <v>4377</v>
      </c>
      <c r="N301" s="13" t="s">
        <v>3964</v>
      </c>
      <c r="O301" s="13" t="s">
        <v>192</v>
      </c>
      <c r="P301" s="14"/>
    </row>
    <row r="302" customFormat="false" ht="22.35" hidden="false" customHeight="false" outlineLevel="0" collapsed="false">
      <c r="A302" s="13" t="s">
        <v>882</v>
      </c>
      <c r="B302" s="13" t="s">
        <v>861</v>
      </c>
      <c r="C302" s="14" t="s">
        <v>883</v>
      </c>
      <c r="D302" s="14" t="s">
        <v>3864</v>
      </c>
      <c r="E302" s="23" t="n">
        <v>12</v>
      </c>
      <c r="F302" s="13" t="s">
        <v>4369</v>
      </c>
      <c r="G302" s="24" t="n">
        <f aca="false">IF($E302="","",1.5*($E302*COS(RADIANS(30))-2)*5280*Settings!$B$7/9/4)</f>
        <v>1532.43486477246</v>
      </c>
      <c r="H302" s="24" t="n">
        <f aca="false">IF($E302="","",2*($E302*COS(RADIANS(30))-2)*5280*Settings!$B$7/9/3)</f>
        <v>2724.32864848438</v>
      </c>
      <c r="I302" s="24" t="n">
        <f aca="false">IF($E302="","",2.5*($E302*COS(RADIANS(30))-2)*5280*Settings!$B$7/9/3)</f>
        <v>3405.41081060547</v>
      </c>
      <c r="J302" s="13" t="s">
        <v>3770</v>
      </c>
      <c r="K302" s="13" t="s">
        <v>4136</v>
      </c>
      <c r="L302" s="14" t="s">
        <v>4370</v>
      </c>
      <c r="M302" s="14" t="s">
        <v>4371</v>
      </c>
      <c r="N302" s="13" t="s">
        <v>4372</v>
      </c>
      <c r="O302" s="13" t="str">
        <f aca="false">IF(H302="","D","C")</f>
        <v>C</v>
      </c>
      <c r="P302" s="14"/>
    </row>
    <row r="303" customFormat="false" ht="32.8" hidden="false" customHeight="false" outlineLevel="0" collapsed="false">
      <c r="A303" s="13" t="s">
        <v>882</v>
      </c>
      <c r="B303" s="13" t="s">
        <v>3869</v>
      </c>
      <c r="C303" s="14" t="s">
        <v>883</v>
      </c>
      <c r="D303" s="14" t="s">
        <v>3870</v>
      </c>
      <c r="E303" s="23" t="n">
        <v>12</v>
      </c>
      <c r="F303" s="13" t="s">
        <v>4369</v>
      </c>
      <c r="G303" s="24" t="n">
        <f aca="false">IF($E303="","",2*($E303*COS(RADIANS(45))-2)*5280*Settings!$B$7/9)</f>
        <v>6315.79935432514</v>
      </c>
      <c r="H303" s="24" t="n">
        <f aca="false">IF($E303="","",3*($E303*COS(RADIANS(45))-2)*5280*Settings!$B$7/9)</f>
        <v>9473.69903148771</v>
      </c>
      <c r="I303" s="24" t="n">
        <f aca="false">IF($E303="","",4*($E303*COS(RADIANS(45))-2)*5280*Settings!$B$7/9)</f>
        <v>12631.5987086503</v>
      </c>
      <c r="J303" s="13" t="s">
        <v>3871</v>
      </c>
      <c r="K303" s="13" t="s">
        <v>4136</v>
      </c>
      <c r="L303" s="14" t="s">
        <v>4373</v>
      </c>
      <c r="M303" s="14" t="s">
        <v>4374</v>
      </c>
      <c r="N303" s="13" t="s">
        <v>4375</v>
      </c>
      <c r="O303" s="13" t="str">
        <f aca="false">IF(H303="","D","C")</f>
        <v>C</v>
      </c>
      <c r="P303" s="14"/>
    </row>
    <row r="304" customFormat="false" ht="22.35" hidden="false" customHeight="false" outlineLevel="0" collapsed="false">
      <c r="A304" s="13" t="s">
        <v>882</v>
      </c>
      <c r="B304" s="13" t="s">
        <v>3876</v>
      </c>
      <c r="C304" s="14" t="s">
        <v>883</v>
      </c>
      <c r="D304" s="14" t="s">
        <v>3877</v>
      </c>
      <c r="E304" s="13"/>
      <c r="F304" s="13"/>
      <c r="G304" s="24" t="n">
        <v>500</v>
      </c>
      <c r="H304" s="24" t="n">
        <v>750</v>
      </c>
      <c r="I304" s="24" t="n">
        <v>1250</v>
      </c>
      <c r="J304" s="13" t="s">
        <v>3878</v>
      </c>
      <c r="K304" s="13" t="s">
        <v>3879</v>
      </c>
      <c r="L304" s="14" t="s">
        <v>4376</v>
      </c>
      <c r="M304" s="14" t="s">
        <v>4377</v>
      </c>
      <c r="N304" s="13" t="s">
        <v>3964</v>
      </c>
      <c r="O304" s="13" t="s">
        <v>192</v>
      </c>
      <c r="P304" s="14"/>
    </row>
    <row r="305" customFormat="false" ht="22.35" hidden="false" customHeight="false" outlineLevel="0" collapsed="false">
      <c r="A305" s="13" t="s">
        <v>887</v>
      </c>
      <c r="B305" s="13" t="s">
        <v>861</v>
      </c>
      <c r="C305" s="14" t="s">
        <v>888</v>
      </c>
      <c r="D305" s="14" t="s">
        <v>3864</v>
      </c>
      <c r="E305" s="23" t="n">
        <v>12</v>
      </c>
      <c r="F305" s="13" t="s">
        <v>4369</v>
      </c>
      <c r="G305" s="24" t="n">
        <f aca="false">IF($E305="","",1.5*($E305*COS(RADIANS(30))-2)*5280*Settings!$B$7/9/4)</f>
        <v>1532.43486477246</v>
      </c>
      <c r="H305" s="24" t="n">
        <f aca="false">IF($E305="","",2*($E305*COS(RADIANS(30))-2)*5280*Settings!$B$7/9/3)</f>
        <v>2724.32864848438</v>
      </c>
      <c r="I305" s="24" t="n">
        <f aca="false">IF($E305="","",2.5*($E305*COS(RADIANS(30))-2)*5280*Settings!$B$7/9/3)</f>
        <v>3405.41081060547</v>
      </c>
      <c r="J305" s="13" t="s">
        <v>3770</v>
      </c>
      <c r="K305" s="13" t="s">
        <v>4136</v>
      </c>
      <c r="L305" s="14" t="s">
        <v>4370</v>
      </c>
      <c r="M305" s="14" t="s">
        <v>4371</v>
      </c>
      <c r="N305" s="13" t="s">
        <v>4372</v>
      </c>
      <c r="O305" s="13" t="str">
        <f aca="false">IF(H305="","D","C")</f>
        <v>C</v>
      </c>
      <c r="P305" s="14"/>
    </row>
    <row r="306" customFormat="false" ht="32.8" hidden="false" customHeight="false" outlineLevel="0" collapsed="false">
      <c r="A306" s="13" t="s">
        <v>887</v>
      </c>
      <c r="B306" s="13" t="s">
        <v>3869</v>
      </c>
      <c r="C306" s="14" t="s">
        <v>888</v>
      </c>
      <c r="D306" s="14" t="s">
        <v>3870</v>
      </c>
      <c r="E306" s="23" t="n">
        <v>12</v>
      </c>
      <c r="F306" s="13" t="s">
        <v>4369</v>
      </c>
      <c r="G306" s="24" t="n">
        <f aca="false">IF($E306="","",2*($E306*COS(RADIANS(45))-2)*5280*Settings!$B$7/9)</f>
        <v>6315.79935432514</v>
      </c>
      <c r="H306" s="24" t="n">
        <f aca="false">IF($E306="","",3*($E306*COS(RADIANS(45))-2)*5280*Settings!$B$7/9)</f>
        <v>9473.69903148771</v>
      </c>
      <c r="I306" s="24" t="n">
        <f aca="false">IF($E306="","",4*($E306*COS(RADIANS(45))-2)*5280*Settings!$B$7/9)</f>
        <v>12631.5987086503</v>
      </c>
      <c r="J306" s="13" t="s">
        <v>3871</v>
      </c>
      <c r="K306" s="13" t="s">
        <v>4136</v>
      </c>
      <c r="L306" s="14" t="s">
        <v>4373</v>
      </c>
      <c r="M306" s="14" t="s">
        <v>4374</v>
      </c>
      <c r="N306" s="13" t="s">
        <v>4375</v>
      </c>
      <c r="O306" s="13" t="str">
        <f aca="false">IF(H306="","D","C")</f>
        <v>C</v>
      </c>
      <c r="P306" s="14"/>
    </row>
    <row r="307" customFormat="false" ht="22.35" hidden="false" customHeight="false" outlineLevel="0" collapsed="false">
      <c r="A307" s="13" t="s">
        <v>887</v>
      </c>
      <c r="B307" s="13" t="s">
        <v>3876</v>
      </c>
      <c r="C307" s="14" t="s">
        <v>888</v>
      </c>
      <c r="D307" s="14" t="s">
        <v>3877</v>
      </c>
      <c r="E307" s="13"/>
      <c r="F307" s="13"/>
      <c r="G307" s="24" t="n">
        <v>500</v>
      </c>
      <c r="H307" s="24" t="n">
        <v>750</v>
      </c>
      <c r="I307" s="24" t="n">
        <v>1250</v>
      </c>
      <c r="J307" s="13" t="s">
        <v>3878</v>
      </c>
      <c r="K307" s="13" t="s">
        <v>3879</v>
      </c>
      <c r="L307" s="14" t="s">
        <v>4376</v>
      </c>
      <c r="M307" s="14" t="s">
        <v>4377</v>
      </c>
      <c r="N307" s="13" t="s">
        <v>3964</v>
      </c>
      <c r="O307" s="13" t="s">
        <v>192</v>
      </c>
      <c r="P307" s="14"/>
    </row>
    <row r="308" customFormat="false" ht="22.35" hidden="false" customHeight="false" outlineLevel="0" collapsed="false">
      <c r="A308" s="13" t="s">
        <v>892</v>
      </c>
      <c r="B308" s="13" t="s">
        <v>861</v>
      </c>
      <c r="C308" s="14" t="s">
        <v>894</v>
      </c>
      <c r="D308" s="14" t="s">
        <v>3864</v>
      </c>
      <c r="E308" s="23" t="n">
        <v>14</v>
      </c>
      <c r="F308" s="13" t="s">
        <v>4369</v>
      </c>
      <c r="G308" s="24" t="n">
        <f aca="false">IF($E308="","",1.5*($E308*COS(RADIANS(30))-2)*5280*Settings!$B$7/9/4)</f>
        <v>1848.70734223454</v>
      </c>
      <c r="H308" s="24" t="n">
        <f aca="false">IF($E308="","",2*($E308*COS(RADIANS(30))-2)*5280*Settings!$B$7/9/3)</f>
        <v>3286.59083063918</v>
      </c>
      <c r="I308" s="24" t="n">
        <f aca="false">IF($E308="","",2.5*($E308*COS(RADIANS(30))-2)*5280*Settings!$B$7/9/3)</f>
        <v>4108.23853829898</v>
      </c>
      <c r="J308" s="13" t="s">
        <v>3770</v>
      </c>
      <c r="K308" s="13" t="s">
        <v>4136</v>
      </c>
      <c r="L308" s="14" t="s">
        <v>4370</v>
      </c>
      <c r="M308" s="14" t="s">
        <v>4378</v>
      </c>
      <c r="N308" s="13" t="s">
        <v>4372</v>
      </c>
      <c r="O308" s="13" t="str">
        <f aca="false">IF(H308="","D","C")</f>
        <v>C</v>
      </c>
      <c r="P308" s="14"/>
    </row>
    <row r="309" customFormat="false" ht="32.8" hidden="false" customHeight="false" outlineLevel="0" collapsed="false">
      <c r="A309" s="13" t="s">
        <v>892</v>
      </c>
      <c r="B309" s="13" t="s">
        <v>3869</v>
      </c>
      <c r="C309" s="14" t="s">
        <v>894</v>
      </c>
      <c r="D309" s="14" t="s">
        <v>3870</v>
      </c>
      <c r="E309" s="23" t="n">
        <v>14</v>
      </c>
      <c r="F309" s="13" t="s">
        <v>4369</v>
      </c>
      <c r="G309" s="24" t="n">
        <f aca="false">IF($E309="","",2*($E309*COS(RADIANS(45))-2)*5280*Settings!$B$7/9)</f>
        <v>7693.05480226821</v>
      </c>
      <c r="H309" s="24" t="n">
        <f aca="false">IF($E309="","",3*($E309*COS(RADIANS(45))-2)*5280*Settings!$B$7/9)</f>
        <v>11539.5822034023</v>
      </c>
      <c r="I309" s="24" t="n">
        <f aca="false">IF($E309="","",4*($E309*COS(RADIANS(45))-2)*5280*Settings!$B$7/9)</f>
        <v>15386.1096045364</v>
      </c>
      <c r="J309" s="13" t="s">
        <v>3871</v>
      </c>
      <c r="K309" s="13" t="s">
        <v>4136</v>
      </c>
      <c r="L309" s="14" t="s">
        <v>4373</v>
      </c>
      <c r="M309" s="14" t="s">
        <v>4379</v>
      </c>
      <c r="N309" s="13" t="s">
        <v>4375</v>
      </c>
      <c r="O309" s="13" t="str">
        <f aca="false">IF(H309="","D","C")</f>
        <v>C</v>
      </c>
      <c r="P309" s="14"/>
    </row>
    <row r="310" customFormat="false" ht="22.35" hidden="false" customHeight="false" outlineLevel="0" collapsed="false">
      <c r="A310" s="13" t="s">
        <v>892</v>
      </c>
      <c r="B310" s="13" t="s">
        <v>3876</v>
      </c>
      <c r="C310" s="14" t="s">
        <v>894</v>
      </c>
      <c r="D310" s="14" t="s">
        <v>3877</v>
      </c>
      <c r="E310" s="13"/>
      <c r="F310" s="13"/>
      <c r="G310" s="24" t="n">
        <v>500</v>
      </c>
      <c r="H310" s="24" t="n">
        <v>750</v>
      </c>
      <c r="I310" s="24" t="n">
        <v>1250</v>
      </c>
      <c r="J310" s="13" t="s">
        <v>3878</v>
      </c>
      <c r="K310" s="13" t="s">
        <v>3879</v>
      </c>
      <c r="L310" s="14" t="s">
        <v>4376</v>
      </c>
      <c r="M310" s="14" t="s">
        <v>4377</v>
      </c>
      <c r="N310" s="13" t="s">
        <v>3964</v>
      </c>
      <c r="O310" s="13" t="s">
        <v>192</v>
      </c>
      <c r="P310" s="14"/>
    </row>
    <row r="311" customFormat="false" ht="22.35" hidden="false" customHeight="false" outlineLevel="0" collapsed="false">
      <c r="A311" s="13" t="s">
        <v>899</v>
      </c>
      <c r="B311" s="13" t="s">
        <v>861</v>
      </c>
      <c r="C311" s="14" t="s">
        <v>900</v>
      </c>
      <c r="D311" s="14" t="s">
        <v>3864</v>
      </c>
      <c r="E311" s="23" t="n">
        <v>14</v>
      </c>
      <c r="F311" s="13" t="s">
        <v>4369</v>
      </c>
      <c r="G311" s="24" t="n">
        <f aca="false">IF($E311="","",1.5*($E311*COS(RADIANS(30))-2)*5280*Settings!$B$7/9/4)</f>
        <v>1848.70734223454</v>
      </c>
      <c r="H311" s="24" t="n">
        <f aca="false">IF($E311="","",2*($E311*COS(RADIANS(30))-2)*5280*Settings!$B$7/9/3)</f>
        <v>3286.59083063918</v>
      </c>
      <c r="I311" s="24" t="n">
        <f aca="false">IF($E311="","",2.5*($E311*COS(RADIANS(30))-2)*5280*Settings!$B$7/9/3)</f>
        <v>4108.23853829898</v>
      </c>
      <c r="J311" s="13" t="s">
        <v>3770</v>
      </c>
      <c r="K311" s="13" t="s">
        <v>4136</v>
      </c>
      <c r="L311" s="14" t="s">
        <v>4370</v>
      </c>
      <c r="M311" s="14" t="s">
        <v>4378</v>
      </c>
      <c r="N311" s="13" t="s">
        <v>4372</v>
      </c>
      <c r="O311" s="13" t="str">
        <f aca="false">IF(H311="","D","C")</f>
        <v>C</v>
      </c>
      <c r="P311" s="14"/>
    </row>
    <row r="312" customFormat="false" ht="32.8" hidden="false" customHeight="false" outlineLevel="0" collapsed="false">
      <c r="A312" s="13" t="s">
        <v>899</v>
      </c>
      <c r="B312" s="13" t="s">
        <v>3869</v>
      </c>
      <c r="C312" s="14" t="s">
        <v>900</v>
      </c>
      <c r="D312" s="14" t="s">
        <v>3870</v>
      </c>
      <c r="E312" s="23" t="n">
        <v>14</v>
      </c>
      <c r="F312" s="13" t="s">
        <v>4369</v>
      </c>
      <c r="G312" s="24" t="n">
        <f aca="false">IF($E312="","",2*($E312*COS(RADIANS(45))-2)*5280*Settings!$B$7/9)</f>
        <v>7693.05480226821</v>
      </c>
      <c r="H312" s="24" t="n">
        <f aca="false">IF($E312="","",3*($E312*COS(RADIANS(45))-2)*5280*Settings!$B$7/9)</f>
        <v>11539.5822034023</v>
      </c>
      <c r="I312" s="24" t="n">
        <f aca="false">IF($E312="","",4*($E312*COS(RADIANS(45))-2)*5280*Settings!$B$7/9)</f>
        <v>15386.1096045364</v>
      </c>
      <c r="J312" s="13" t="s">
        <v>3871</v>
      </c>
      <c r="K312" s="13" t="s">
        <v>4136</v>
      </c>
      <c r="L312" s="14" t="s">
        <v>4373</v>
      </c>
      <c r="M312" s="14" t="s">
        <v>4379</v>
      </c>
      <c r="N312" s="13" t="s">
        <v>4375</v>
      </c>
      <c r="O312" s="13" t="str">
        <f aca="false">IF(H312="","D","C")</f>
        <v>C</v>
      </c>
      <c r="P312" s="14"/>
    </row>
    <row r="313" customFormat="false" ht="22.35" hidden="false" customHeight="false" outlineLevel="0" collapsed="false">
      <c r="A313" s="13" t="s">
        <v>899</v>
      </c>
      <c r="B313" s="13" t="s">
        <v>3876</v>
      </c>
      <c r="C313" s="14" t="s">
        <v>900</v>
      </c>
      <c r="D313" s="14" t="s">
        <v>3877</v>
      </c>
      <c r="E313" s="13"/>
      <c r="F313" s="13"/>
      <c r="G313" s="24" t="n">
        <v>500</v>
      </c>
      <c r="H313" s="24" t="n">
        <v>750</v>
      </c>
      <c r="I313" s="24" t="n">
        <v>1250</v>
      </c>
      <c r="J313" s="13" t="s">
        <v>3878</v>
      </c>
      <c r="K313" s="13" t="s">
        <v>3879</v>
      </c>
      <c r="L313" s="14" t="s">
        <v>4376</v>
      </c>
      <c r="M313" s="14" t="s">
        <v>4377</v>
      </c>
      <c r="N313" s="13" t="s">
        <v>3964</v>
      </c>
      <c r="O313" s="13" t="s">
        <v>192</v>
      </c>
      <c r="P313" s="14"/>
    </row>
    <row r="314" customFormat="false" ht="22.35" hidden="false" customHeight="false" outlineLevel="0" collapsed="false">
      <c r="A314" s="13" t="s">
        <v>904</v>
      </c>
      <c r="B314" s="13" t="s">
        <v>861</v>
      </c>
      <c r="C314" s="14" t="s">
        <v>906</v>
      </c>
      <c r="D314" s="14" t="s">
        <v>3864</v>
      </c>
      <c r="E314" s="23" t="n">
        <v>16</v>
      </c>
      <c r="F314" s="13" t="s">
        <v>4369</v>
      </c>
      <c r="G314" s="24" t="n">
        <f aca="false">IF($E314="","",1.5*($E314*COS(RADIANS(30))-2)*5280*Settings!$B$7/9/4)</f>
        <v>2164.97981969662</v>
      </c>
      <c r="H314" s="24" t="n">
        <f aca="false">IF($E314="","",2*($E314*COS(RADIANS(30))-2)*5280*Settings!$B$7/9/3)</f>
        <v>3848.85301279398</v>
      </c>
      <c r="I314" s="24" t="n">
        <f aca="false">IF($E314="","",2.5*($E314*COS(RADIANS(30))-2)*5280*Settings!$B$7/9/3)</f>
        <v>4811.06626599248</v>
      </c>
      <c r="J314" s="13" t="s">
        <v>3770</v>
      </c>
      <c r="K314" s="13" t="s">
        <v>4136</v>
      </c>
      <c r="L314" s="14" t="s">
        <v>4370</v>
      </c>
      <c r="M314" s="14" t="s">
        <v>4380</v>
      </c>
      <c r="N314" s="13" t="s">
        <v>4372</v>
      </c>
      <c r="O314" s="13" t="str">
        <f aca="false">IF(H314="","D","C")</f>
        <v>C</v>
      </c>
      <c r="P314" s="14"/>
    </row>
    <row r="315" customFormat="false" ht="32.8" hidden="false" customHeight="false" outlineLevel="0" collapsed="false">
      <c r="A315" s="13" t="s">
        <v>904</v>
      </c>
      <c r="B315" s="13" t="s">
        <v>3869</v>
      </c>
      <c r="C315" s="14" t="s">
        <v>906</v>
      </c>
      <c r="D315" s="14" t="s">
        <v>3870</v>
      </c>
      <c r="E315" s="23" t="n">
        <v>16</v>
      </c>
      <c r="F315" s="13" t="s">
        <v>4369</v>
      </c>
      <c r="G315" s="24" t="n">
        <f aca="false">IF($E315="","",2*($E315*COS(RADIANS(45))-2)*5280*Settings!$B$7/9)</f>
        <v>9070.31025021129</v>
      </c>
      <c r="H315" s="24" t="n">
        <f aca="false">IF($E315="","",3*($E315*COS(RADIANS(45))-2)*5280*Settings!$B$7/9)</f>
        <v>13605.4653753169</v>
      </c>
      <c r="I315" s="24" t="n">
        <f aca="false">IF($E315="","",4*($E315*COS(RADIANS(45))-2)*5280*Settings!$B$7/9)</f>
        <v>18140.6205004226</v>
      </c>
      <c r="J315" s="13" t="s">
        <v>3871</v>
      </c>
      <c r="K315" s="13" t="s">
        <v>4136</v>
      </c>
      <c r="L315" s="14" t="s">
        <v>4373</v>
      </c>
      <c r="M315" s="14" t="s">
        <v>4381</v>
      </c>
      <c r="N315" s="13" t="s">
        <v>4375</v>
      </c>
      <c r="O315" s="13" t="str">
        <f aca="false">IF(H315="","D","C")</f>
        <v>C</v>
      </c>
      <c r="P315" s="14"/>
    </row>
    <row r="316" customFormat="false" ht="22.35" hidden="false" customHeight="false" outlineLevel="0" collapsed="false">
      <c r="A316" s="13" t="s">
        <v>904</v>
      </c>
      <c r="B316" s="13" t="s">
        <v>3876</v>
      </c>
      <c r="C316" s="14" t="s">
        <v>906</v>
      </c>
      <c r="D316" s="14" t="s">
        <v>3877</v>
      </c>
      <c r="E316" s="13"/>
      <c r="F316" s="13"/>
      <c r="G316" s="24" t="n">
        <v>500</v>
      </c>
      <c r="H316" s="24" t="n">
        <v>750</v>
      </c>
      <c r="I316" s="24" t="n">
        <v>1250</v>
      </c>
      <c r="J316" s="13" t="s">
        <v>3878</v>
      </c>
      <c r="K316" s="13" t="s">
        <v>3879</v>
      </c>
      <c r="L316" s="14" t="s">
        <v>4376</v>
      </c>
      <c r="M316" s="14" t="s">
        <v>4377</v>
      </c>
      <c r="N316" s="13" t="s">
        <v>3964</v>
      </c>
      <c r="O316" s="13" t="s">
        <v>192</v>
      </c>
      <c r="P316" s="14"/>
    </row>
    <row r="317" customFormat="false" ht="22.35" hidden="false" customHeight="false" outlineLevel="0" collapsed="false">
      <c r="A317" s="13" t="s">
        <v>909</v>
      </c>
      <c r="B317" s="13" t="s">
        <v>861</v>
      </c>
      <c r="C317" s="14" t="s">
        <v>911</v>
      </c>
      <c r="D317" s="14" t="s">
        <v>3864</v>
      </c>
      <c r="E317" s="23" t="n">
        <v>18</v>
      </c>
      <c r="F317" s="13" t="s">
        <v>4369</v>
      </c>
      <c r="G317" s="24" t="n">
        <f aca="false">IF($E317="","",1.5*($E317*COS(RADIANS(30))-2)*5280*Settings!$B$7/9/4)</f>
        <v>2481.25229715869</v>
      </c>
      <c r="H317" s="24" t="n">
        <f aca="false">IF($E317="","",2*($E317*COS(RADIANS(30))-2)*5280*Settings!$B$7/9/3)</f>
        <v>4411.11519494879</v>
      </c>
      <c r="I317" s="24" t="n">
        <f aca="false">IF($E317="","",2.5*($E317*COS(RADIANS(30))-2)*5280*Settings!$B$7/9/3)</f>
        <v>5513.89399368599</v>
      </c>
      <c r="J317" s="13" t="s">
        <v>3770</v>
      </c>
      <c r="K317" s="13" t="s">
        <v>4136</v>
      </c>
      <c r="L317" s="14" t="s">
        <v>4370</v>
      </c>
      <c r="M317" s="14" t="s">
        <v>4382</v>
      </c>
      <c r="N317" s="13" t="s">
        <v>4372</v>
      </c>
      <c r="O317" s="13" t="str">
        <f aca="false">IF(H317="","D","C")</f>
        <v>C</v>
      </c>
      <c r="P317" s="14"/>
    </row>
    <row r="318" customFormat="false" ht="32.8" hidden="false" customHeight="false" outlineLevel="0" collapsed="false">
      <c r="A318" s="13" t="s">
        <v>909</v>
      </c>
      <c r="B318" s="13" t="s">
        <v>3869</v>
      </c>
      <c r="C318" s="14" t="s">
        <v>911</v>
      </c>
      <c r="D318" s="14" t="s">
        <v>3870</v>
      </c>
      <c r="E318" s="23" t="n">
        <v>18</v>
      </c>
      <c r="F318" s="13" t="s">
        <v>4369</v>
      </c>
      <c r="G318" s="24" t="n">
        <f aca="false">IF($E318="","",2*($E318*COS(RADIANS(45))-2)*5280*Settings!$B$7/9)</f>
        <v>10447.5656981544</v>
      </c>
      <c r="H318" s="24" t="n">
        <f aca="false">IF($E318="","",3*($E318*COS(RADIANS(45))-2)*5280*Settings!$B$7/9)</f>
        <v>15671.3485472316</v>
      </c>
      <c r="I318" s="24" t="n">
        <f aca="false">IF($E318="","",4*($E318*COS(RADIANS(45))-2)*5280*Settings!$B$7/9)</f>
        <v>20895.1313963087</v>
      </c>
      <c r="J318" s="13" t="s">
        <v>3871</v>
      </c>
      <c r="K318" s="13" t="s">
        <v>4136</v>
      </c>
      <c r="L318" s="14" t="s">
        <v>4373</v>
      </c>
      <c r="M318" s="14" t="s">
        <v>4383</v>
      </c>
      <c r="N318" s="13" t="s">
        <v>4375</v>
      </c>
      <c r="O318" s="13" t="str">
        <f aca="false">IF(H318="","D","C")</f>
        <v>C</v>
      </c>
      <c r="P318" s="14"/>
    </row>
    <row r="319" customFormat="false" ht="22.35" hidden="false" customHeight="false" outlineLevel="0" collapsed="false">
      <c r="A319" s="13" t="s">
        <v>909</v>
      </c>
      <c r="B319" s="13" t="s">
        <v>3876</v>
      </c>
      <c r="C319" s="14" t="s">
        <v>911</v>
      </c>
      <c r="D319" s="14" t="s">
        <v>3877</v>
      </c>
      <c r="E319" s="13"/>
      <c r="F319" s="13"/>
      <c r="G319" s="24" t="n">
        <v>500</v>
      </c>
      <c r="H319" s="24" t="n">
        <v>750</v>
      </c>
      <c r="I319" s="24" t="n">
        <v>1250</v>
      </c>
      <c r="J319" s="13" t="s">
        <v>3878</v>
      </c>
      <c r="K319" s="13" t="s">
        <v>3879</v>
      </c>
      <c r="L319" s="14" t="s">
        <v>4376</v>
      </c>
      <c r="M319" s="14" t="s">
        <v>4377</v>
      </c>
      <c r="N319" s="13" t="s">
        <v>3964</v>
      </c>
      <c r="O319" s="13" t="s">
        <v>192</v>
      </c>
      <c r="P319" s="14"/>
    </row>
    <row r="320" customFormat="false" ht="22.35" hidden="false" customHeight="false" outlineLevel="0" collapsed="false">
      <c r="A320" s="13" t="s">
        <v>916</v>
      </c>
      <c r="B320" s="13" t="s">
        <v>861</v>
      </c>
      <c r="C320" s="14" t="s">
        <v>918</v>
      </c>
      <c r="D320" s="14" t="s">
        <v>3864</v>
      </c>
      <c r="E320" s="23" t="n">
        <v>24</v>
      </c>
      <c r="F320" s="13" t="s">
        <v>4369</v>
      </c>
      <c r="G320" s="24" t="n">
        <f aca="false">IF($E320="","",1.5*($E320*COS(RADIANS(30))-2)*5280*Settings!$B$7/9/4)</f>
        <v>3430.06972954492</v>
      </c>
      <c r="H320" s="24" t="n">
        <f aca="false">IF($E320="","",2*($E320*COS(RADIANS(30))-2)*5280*Settings!$B$7/9/3)</f>
        <v>6097.9017414132</v>
      </c>
      <c r="I320" s="24" t="n">
        <f aca="false">IF($E320="","",2.5*($E320*COS(RADIANS(30))-2)*5280*Settings!$B$7/9/3)</f>
        <v>7622.3771767665</v>
      </c>
      <c r="J320" s="13" t="s">
        <v>3770</v>
      </c>
      <c r="K320" s="13" t="s">
        <v>4136</v>
      </c>
      <c r="L320" s="14" t="s">
        <v>4370</v>
      </c>
      <c r="M320" s="14" t="s">
        <v>4384</v>
      </c>
      <c r="N320" s="13" t="s">
        <v>4372</v>
      </c>
      <c r="O320" s="13" t="str">
        <f aca="false">IF(H320="","D","C")</f>
        <v>C</v>
      </c>
      <c r="P320" s="14"/>
    </row>
    <row r="321" customFormat="false" ht="32.8" hidden="false" customHeight="false" outlineLevel="0" collapsed="false">
      <c r="A321" s="13" t="s">
        <v>916</v>
      </c>
      <c r="B321" s="13" t="s">
        <v>3869</v>
      </c>
      <c r="C321" s="14" t="s">
        <v>918</v>
      </c>
      <c r="D321" s="14" t="s">
        <v>3870</v>
      </c>
      <c r="E321" s="23" t="n">
        <v>24</v>
      </c>
      <c r="F321" s="13" t="s">
        <v>4369</v>
      </c>
      <c r="G321" s="24" t="n">
        <f aca="false">IF($E321="","",2*($E321*COS(RADIANS(45))-2)*5280*Settings!$B$7/9)</f>
        <v>14579.3320419836</v>
      </c>
      <c r="H321" s="24" t="n">
        <f aca="false">IF($E321="","",3*($E321*COS(RADIANS(45))-2)*5280*Settings!$B$7/9)</f>
        <v>21868.9980629754</v>
      </c>
      <c r="I321" s="24" t="n">
        <f aca="false">IF($E321="","",4*($E321*COS(RADIANS(45))-2)*5280*Settings!$B$7/9)</f>
        <v>29158.6640839672</v>
      </c>
      <c r="J321" s="13" t="s">
        <v>3871</v>
      </c>
      <c r="K321" s="13" t="s">
        <v>4136</v>
      </c>
      <c r="L321" s="14" t="s">
        <v>4373</v>
      </c>
      <c r="M321" s="14" t="s">
        <v>4385</v>
      </c>
      <c r="N321" s="13" t="s">
        <v>4375</v>
      </c>
      <c r="O321" s="13" t="str">
        <f aca="false">IF(H321="","D","C")</f>
        <v>C</v>
      </c>
      <c r="P321" s="14"/>
    </row>
    <row r="322" customFormat="false" ht="22.35" hidden="false" customHeight="false" outlineLevel="0" collapsed="false">
      <c r="A322" s="13" t="s">
        <v>916</v>
      </c>
      <c r="B322" s="13" t="s">
        <v>3876</v>
      </c>
      <c r="C322" s="14" t="s">
        <v>918</v>
      </c>
      <c r="D322" s="14" t="s">
        <v>3877</v>
      </c>
      <c r="E322" s="13"/>
      <c r="F322" s="13"/>
      <c r="G322" s="24" t="n">
        <v>500</v>
      </c>
      <c r="H322" s="24" t="n">
        <v>750</v>
      </c>
      <c r="I322" s="24" t="n">
        <v>1250</v>
      </c>
      <c r="J322" s="13" t="s">
        <v>3878</v>
      </c>
      <c r="K322" s="13" t="s">
        <v>3879</v>
      </c>
      <c r="L322" s="14" t="s">
        <v>4376</v>
      </c>
      <c r="M322" s="14" t="s">
        <v>4377</v>
      </c>
      <c r="N322" s="13" t="s">
        <v>3964</v>
      </c>
      <c r="O322" s="13" t="s">
        <v>192</v>
      </c>
      <c r="P322" s="14"/>
    </row>
    <row r="323" customFormat="false" ht="43.25" hidden="false" customHeight="false" outlineLevel="0" collapsed="false">
      <c r="A323" s="13" t="s">
        <v>920</v>
      </c>
      <c r="B323" s="13" t="s">
        <v>3849</v>
      </c>
      <c r="C323" s="14" t="s">
        <v>924</v>
      </c>
      <c r="D323" s="14" t="s">
        <v>3850</v>
      </c>
      <c r="E323" s="23" t="n">
        <v>19.6</v>
      </c>
      <c r="F323" s="13" t="s">
        <v>4386</v>
      </c>
      <c r="G323" s="24"/>
      <c r="H323" s="24" t="str">
        <f aca="false">IF(OR($E323="",Settings!$B$24="",Settings!$B$25=""),"",$E323*60*Settings!$B$7/($E323/Settings!$B$36*Settings!$B$37+1.5+0.5*60/Settings!$B$24+0.5*60/Settings!$B$25)*0.8)</f>
        <v/>
      </c>
      <c r="I323" s="24"/>
      <c r="J323" s="13" t="s">
        <v>3838</v>
      </c>
      <c r="K323" s="13" t="s">
        <v>4136</v>
      </c>
      <c r="L323" s="14" t="s">
        <v>4387</v>
      </c>
      <c r="M323" s="14" t="s">
        <v>4388</v>
      </c>
      <c r="N323" s="13" t="s">
        <v>4389</v>
      </c>
      <c r="O323" s="13" t="str">
        <f aca="false">IF(H323="","D","C")</f>
        <v>D</v>
      </c>
      <c r="P323" s="14" t="s">
        <v>4390</v>
      </c>
    </row>
    <row r="324" customFormat="false" ht="43.25" hidden="false" customHeight="false" outlineLevel="0" collapsed="false">
      <c r="A324" s="13" t="s">
        <v>920</v>
      </c>
      <c r="B324" s="13" t="s">
        <v>3854</v>
      </c>
      <c r="C324" s="14" t="s">
        <v>924</v>
      </c>
      <c r="D324" s="14" t="s">
        <v>3855</v>
      </c>
      <c r="E324" s="23" t="n">
        <v>19.6</v>
      </c>
      <c r="F324" s="13" t="s">
        <v>4386</v>
      </c>
      <c r="G324" s="24"/>
      <c r="H324" s="24" t="str">
        <f aca="false">IF(OR($E324="",Settings!$B$24="",Settings!$B$25=""),"",$E324*60*Settings!$B$7/($E324/Settings!$B$36*Settings!$B$37+1.5+1*60/Settings!$B$24+1*60/Settings!$B$25)*0.8)</f>
        <v/>
      </c>
      <c r="I324" s="24"/>
      <c r="J324" s="13" t="s">
        <v>3838</v>
      </c>
      <c r="K324" s="13" t="s">
        <v>4136</v>
      </c>
      <c r="L324" s="14" t="s">
        <v>4391</v>
      </c>
      <c r="M324" s="14" t="s">
        <v>4392</v>
      </c>
      <c r="N324" s="13" t="s">
        <v>4389</v>
      </c>
      <c r="O324" s="13" t="str">
        <f aca="false">IF(H324="","D","C")</f>
        <v>D</v>
      </c>
      <c r="P324" s="14" t="s">
        <v>4390</v>
      </c>
    </row>
    <row r="325" customFormat="false" ht="43.25" hidden="false" customHeight="false" outlineLevel="0" collapsed="false">
      <c r="A325" s="13" t="s">
        <v>920</v>
      </c>
      <c r="B325" s="13" t="s">
        <v>3858</v>
      </c>
      <c r="C325" s="14" t="s">
        <v>924</v>
      </c>
      <c r="D325" s="14" t="s">
        <v>3859</v>
      </c>
      <c r="E325" s="23" t="n">
        <v>19.6</v>
      </c>
      <c r="F325" s="13" t="s">
        <v>4386</v>
      </c>
      <c r="G325" s="24"/>
      <c r="H325" s="24" t="str">
        <f aca="false">IF(OR($E325="",Settings!$B$24="",Settings!$B$25=""),"",$E325*60*Settings!$B$7/($E325/Settings!$B$36*Settings!$B$37+1.5+2*60/Settings!$B$24+2*60/Settings!$B$25)*0.8)</f>
        <v/>
      </c>
      <c r="I325" s="24"/>
      <c r="J325" s="13" t="s">
        <v>3838</v>
      </c>
      <c r="K325" s="13" t="s">
        <v>4136</v>
      </c>
      <c r="L325" s="14" t="s">
        <v>4393</v>
      </c>
      <c r="M325" s="14" t="s">
        <v>4394</v>
      </c>
      <c r="N325" s="13" t="s">
        <v>4389</v>
      </c>
      <c r="O325" s="13" t="str">
        <f aca="false">IF(H325="","D","C")</f>
        <v>D</v>
      </c>
      <c r="P325" s="14" t="s">
        <v>4390</v>
      </c>
    </row>
    <row r="326" customFormat="false" ht="43.25" hidden="false" customHeight="false" outlineLevel="0" collapsed="false">
      <c r="A326" s="13" t="s">
        <v>933</v>
      </c>
      <c r="B326" s="13" t="s">
        <v>3849</v>
      </c>
      <c r="C326" s="14" t="s">
        <v>934</v>
      </c>
      <c r="D326" s="14" t="s">
        <v>3850</v>
      </c>
      <c r="E326" s="23" t="n">
        <v>23.3</v>
      </c>
      <c r="F326" s="13" t="s">
        <v>4386</v>
      </c>
      <c r="G326" s="24"/>
      <c r="H326" s="24" t="str">
        <f aca="false">IF(OR($E326="",Settings!$B$24="",Settings!$B$25=""),"",$E326*60*Settings!$B$7/($E326/Settings!$B$36*Settings!$B$37+1.5+0.5*60/Settings!$B$24+0.5*60/Settings!$B$25)*0.8)</f>
        <v/>
      </c>
      <c r="I326" s="24"/>
      <c r="J326" s="13" t="s">
        <v>3838</v>
      </c>
      <c r="K326" s="13" t="s">
        <v>4136</v>
      </c>
      <c r="L326" s="14" t="s">
        <v>4387</v>
      </c>
      <c r="M326" s="14" t="s">
        <v>4395</v>
      </c>
      <c r="N326" s="13" t="s">
        <v>4389</v>
      </c>
      <c r="O326" s="13" t="str">
        <f aca="false">IF(H326="","D","C")</f>
        <v>D</v>
      </c>
      <c r="P326" s="14" t="s">
        <v>4390</v>
      </c>
    </row>
    <row r="327" customFormat="false" ht="43.25" hidden="false" customHeight="false" outlineLevel="0" collapsed="false">
      <c r="A327" s="13" t="s">
        <v>933</v>
      </c>
      <c r="B327" s="13" t="s">
        <v>3854</v>
      </c>
      <c r="C327" s="14" t="s">
        <v>934</v>
      </c>
      <c r="D327" s="14" t="s">
        <v>3855</v>
      </c>
      <c r="E327" s="23" t="n">
        <v>23.3</v>
      </c>
      <c r="F327" s="13" t="s">
        <v>4386</v>
      </c>
      <c r="G327" s="24"/>
      <c r="H327" s="24" t="str">
        <f aca="false">IF(OR($E327="",Settings!$B$24="",Settings!$B$25=""),"",$E327*60*Settings!$B$7/($E327/Settings!$B$36*Settings!$B$37+1.5+1*60/Settings!$B$24+1*60/Settings!$B$25)*0.8)</f>
        <v/>
      </c>
      <c r="I327" s="24"/>
      <c r="J327" s="13" t="s">
        <v>3838</v>
      </c>
      <c r="K327" s="13" t="s">
        <v>4136</v>
      </c>
      <c r="L327" s="14" t="s">
        <v>4391</v>
      </c>
      <c r="M327" s="14" t="s">
        <v>4396</v>
      </c>
      <c r="N327" s="13" t="s">
        <v>4389</v>
      </c>
      <c r="O327" s="13" t="str">
        <f aca="false">IF(H327="","D","C")</f>
        <v>D</v>
      </c>
      <c r="P327" s="14" t="s">
        <v>4390</v>
      </c>
    </row>
    <row r="328" customFormat="false" ht="43.25" hidden="false" customHeight="false" outlineLevel="0" collapsed="false">
      <c r="A328" s="13" t="s">
        <v>933</v>
      </c>
      <c r="B328" s="13" t="s">
        <v>3858</v>
      </c>
      <c r="C328" s="14" t="s">
        <v>934</v>
      </c>
      <c r="D328" s="14" t="s">
        <v>3859</v>
      </c>
      <c r="E328" s="23" t="n">
        <v>23.3</v>
      </c>
      <c r="F328" s="13" t="s">
        <v>4386</v>
      </c>
      <c r="G328" s="24"/>
      <c r="H328" s="24" t="str">
        <f aca="false">IF(OR($E328="",Settings!$B$24="",Settings!$B$25=""),"",$E328*60*Settings!$B$7/($E328/Settings!$B$36*Settings!$B$37+1.5+2*60/Settings!$B$24+2*60/Settings!$B$25)*0.8)</f>
        <v/>
      </c>
      <c r="I328" s="24"/>
      <c r="J328" s="13" t="s">
        <v>3838</v>
      </c>
      <c r="K328" s="13" t="s">
        <v>4136</v>
      </c>
      <c r="L328" s="14" t="s">
        <v>4393</v>
      </c>
      <c r="M328" s="14" t="s">
        <v>4397</v>
      </c>
      <c r="N328" s="13" t="s">
        <v>4389</v>
      </c>
      <c r="O328" s="13" t="str">
        <f aca="false">IF(H328="","D","C")</f>
        <v>D</v>
      </c>
      <c r="P328" s="14" t="s">
        <v>4390</v>
      </c>
    </row>
    <row r="329" customFormat="false" ht="43.25" hidden="false" customHeight="false" outlineLevel="0" collapsed="false">
      <c r="A329" s="13" t="s">
        <v>939</v>
      </c>
      <c r="B329" s="13" t="s">
        <v>3849</v>
      </c>
      <c r="C329" s="14" t="s">
        <v>940</v>
      </c>
      <c r="D329" s="14" t="s">
        <v>3850</v>
      </c>
      <c r="E329" s="23" t="n">
        <v>28.4</v>
      </c>
      <c r="F329" s="13" t="s">
        <v>4386</v>
      </c>
      <c r="G329" s="24"/>
      <c r="H329" s="24" t="str">
        <f aca="false">IF(OR($E329="",Settings!$B$24="",Settings!$B$25=""),"",$E329*60*Settings!$B$7/($E329/Settings!$B$36*Settings!$B$37+1.5+0.5*60/Settings!$B$24+0.5*60/Settings!$B$25)*0.8)</f>
        <v/>
      </c>
      <c r="I329" s="24"/>
      <c r="J329" s="13" t="s">
        <v>3838</v>
      </c>
      <c r="K329" s="13" t="s">
        <v>4136</v>
      </c>
      <c r="L329" s="14" t="s">
        <v>4387</v>
      </c>
      <c r="M329" s="14" t="s">
        <v>4398</v>
      </c>
      <c r="N329" s="13" t="s">
        <v>4389</v>
      </c>
      <c r="O329" s="13" t="str">
        <f aca="false">IF(H329="","D","C")</f>
        <v>D</v>
      </c>
      <c r="P329" s="14" t="s">
        <v>4390</v>
      </c>
    </row>
    <row r="330" customFormat="false" ht="43.25" hidden="false" customHeight="false" outlineLevel="0" collapsed="false">
      <c r="A330" s="13" t="s">
        <v>939</v>
      </c>
      <c r="B330" s="13" t="s">
        <v>3854</v>
      </c>
      <c r="C330" s="14" t="s">
        <v>940</v>
      </c>
      <c r="D330" s="14" t="s">
        <v>3855</v>
      </c>
      <c r="E330" s="23" t="n">
        <v>28.4</v>
      </c>
      <c r="F330" s="13" t="s">
        <v>4386</v>
      </c>
      <c r="G330" s="24"/>
      <c r="H330" s="24" t="str">
        <f aca="false">IF(OR($E330="",Settings!$B$24="",Settings!$B$25=""),"",$E330*60*Settings!$B$7/($E330/Settings!$B$36*Settings!$B$37+1.5+1*60/Settings!$B$24+1*60/Settings!$B$25)*0.8)</f>
        <v/>
      </c>
      <c r="I330" s="24"/>
      <c r="J330" s="13" t="s">
        <v>3838</v>
      </c>
      <c r="K330" s="13" t="s">
        <v>4136</v>
      </c>
      <c r="L330" s="14" t="s">
        <v>4391</v>
      </c>
      <c r="M330" s="14" t="s">
        <v>4399</v>
      </c>
      <c r="N330" s="13" t="s">
        <v>4389</v>
      </c>
      <c r="O330" s="13" t="str">
        <f aca="false">IF(H330="","D","C")</f>
        <v>D</v>
      </c>
      <c r="P330" s="14" t="s">
        <v>4390</v>
      </c>
    </row>
    <row r="331" customFormat="false" ht="43.25" hidden="false" customHeight="false" outlineLevel="0" collapsed="false">
      <c r="A331" s="13" t="s">
        <v>939</v>
      </c>
      <c r="B331" s="13" t="s">
        <v>3858</v>
      </c>
      <c r="C331" s="14" t="s">
        <v>940</v>
      </c>
      <c r="D331" s="14" t="s">
        <v>3859</v>
      </c>
      <c r="E331" s="23" t="n">
        <v>28.4</v>
      </c>
      <c r="F331" s="13" t="s">
        <v>4386</v>
      </c>
      <c r="G331" s="24"/>
      <c r="H331" s="24" t="str">
        <f aca="false">IF(OR($E331="",Settings!$B$24="",Settings!$B$25=""),"",$E331*60*Settings!$B$7/($E331/Settings!$B$36*Settings!$B$37+1.5+2*60/Settings!$B$24+2*60/Settings!$B$25)*0.8)</f>
        <v/>
      </c>
      <c r="I331" s="24"/>
      <c r="J331" s="13" t="s">
        <v>3838</v>
      </c>
      <c r="K331" s="13" t="s">
        <v>4136</v>
      </c>
      <c r="L331" s="14" t="s">
        <v>4393</v>
      </c>
      <c r="M331" s="14" t="s">
        <v>4400</v>
      </c>
      <c r="N331" s="13" t="s">
        <v>4389</v>
      </c>
      <c r="O331" s="13" t="str">
        <f aca="false">IF(H331="","D","C")</f>
        <v>D</v>
      </c>
      <c r="P331" s="14" t="s">
        <v>4390</v>
      </c>
    </row>
    <row r="332" customFormat="false" ht="43.25" hidden="false" customHeight="false" outlineLevel="0" collapsed="false">
      <c r="A332" s="13" t="s">
        <v>944</v>
      </c>
      <c r="B332" s="13" t="s">
        <v>3849</v>
      </c>
      <c r="C332" s="14" t="s">
        <v>945</v>
      </c>
      <c r="D332" s="14" t="s">
        <v>3850</v>
      </c>
      <c r="E332" s="23" t="n">
        <v>31.4</v>
      </c>
      <c r="F332" s="13" t="s">
        <v>4386</v>
      </c>
      <c r="G332" s="24"/>
      <c r="H332" s="24" t="str">
        <f aca="false">IF(OR($E332="",Settings!$B$24="",Settings!$B$25=""),"",$E332*60*Settings!$B$7/($E332/Settings!$B$36*Settings!$B$37+1.5+0.5*60/Settings!$B$24+0.5*60/Settings!$B$25)*0.8)</f>
        <v/>
      </c>
      <c r="I332" s="24"/>
      <c r="J332" s="13" t="s">
        <v>3838</v>
      </c>
      <c r="K332" s="13" t="s">
        <v>4136</v>
      </c>
      <c r="L332" s="14" t="s">
        <v>4387</v>
      </c>
      <c r="M332" s="14" t="s">
        <v>4401</v>
      </c>
      <c r="N332" s="13" t="s">
        <v>4389</v>
      </c>
      <c r="O332" s="13" t="str">
        <f aca="false">IF(H332="","D","C")</f>
        <v>D</v>
      </c>
      <c r="P332" s="14" t="s">
        <v>4390</v>
      </c>
    </row>
    <row r="333" customFormat="false" ht="43.25" hidden="false" customHeight="false" outlineLevel="0" collapsed="false">
      <c r="A333" s="13" t="s">
        <v>944</v>
      </c>
      <c r="B333" s="13" t="s">
        <v>3854</v>
      </c>
      <c r="C333" s="14" t="s">
        <v>945</v>
      </c>
      <c r="D333" s="14" t="s">
        <v>3855</v>
      </c>
      <c r="E333" s="23" t="n">
        <v>31.4</v>
      </c>
      <c r="F333" s="13" t="s">
        <v>4386</v>
      </c>
      <c r="G333" s="24"/>
      <c r="H333" s="24" t="str">
        <f aca="false">IF(OR($E333="",Settings!$B$24="",Settings!$B$25=""),"",$E333*60*Settings!$B$7/($E333/Settings!$B$36*Settings!$B$37+1.5+1*60/Settings!$B$24+1*60/Settings!$B$25)*0.8)</f>
        <v/>
      </c>
      <c r="I333" s="24"/>
      <c r="J333" s="13" t="s">
        <v>3838</v>
      </c>
      <c r="K333" s="13" t="s">
        <v>4136</v>
      </c>
      <c r="L333" s="14" t="s">
        <v>4391</v>
      </c>
      <c r="M333" s="14" t="s">
        <v>4402</v>
      </c>
      <c r="N333" s="13" t="s">
        <v>4389</v>
      </c>
      <c r="O333" s="13" t="str">
        <f aca="false">IF(H333="","D","C")</f>
        <v>D</v>
      </c>
      <c r="P333" s="14" t="s">
        <v>4390</v>
      </c>
    </row>
    <row r="334" customFormat="false" ht="43.25" hidden="false" customHeight="false" outlineLevel="0" collapsed="false">
      <c r="A334" s="13" t="s">
        <v>944</v>
      </c>
      <c r="B334" s="13" t="s">
        <v>3858</v>
      </c>
      <c r="C334" s="14" t="s">
        <v>945</v>
      </c>
      <c r="D334" s="14" t="s">
        <v>3859</v>
      </c>
      <c r="E334" s="23" t="n">
        <v>31.4</v>
      </c>
      <c r="F334" s="13" t="s">
        <v>4386</v>
      </c>
      <c r="G334" s="24"/>
      <c r="H334" s="24" t="str">
        <f aca="false">IF(OR($E334="",Settings!$B$24="",Settings!$B$25=""),"",$E334*60*Settings!$B$7/($E334/Settings!$B$36*Settings!$B$37+1.5+2*60/Settings!$B$24+2*60/Settings!$B$25)*0.8)</f>
        <v/>
      </c>
      <c r="I334" s="24"/>
      <c r="J334" s="13" t="s">
        <v>3838</v>
      </c>
      <c r="K334" s="13" t="s">
        <v>4136</v>
      </c>
      <c r="L334" s="14" t="s">
        <v>4393</v>
      </c>
      <c r="M334" s="14" t="s">
        <v>4403</v>
      </c>
      <c r="N334" s="13" t="s">
        <v>4389</v>
      </c>
      <c r="O334" s="13" t="str">
        <f aca="false">IF(H334="","D","C")</f>
        <v>D</v>
      </c>
      <c r="P334" s="14" t="s">
        <v>4390</v>
      </c>
    </row>
    <row r="335" customFormat="false" ht="43.25" hidden="false" customHeight="false" outlineLevel="0" collapsed="false">
      <c r="A335" s="13" t="s">
        <v>949</v>
      </c>
      <c r="B335" s="13" t="s">
        <v>3849</v>
      </c>
      <c r="C335" s="14" t="s">
        <v>950</v>
      </c>
      <c r="D335" s="14" t="s">
        <v>3850</v>
      </c>
      <c r="E335" s="23" t="n">
        <v>33.4</v>
      </c>
      <c r="F335" s="13" t="s">
        <v>4386</v>
      </c>
      <c r="G335" s="24"/>
      <c r="H335" s="24" t="str">
        <f aca="false">IF(OR($E335="",Settings!$B$24="",Settings!$B$25=""),"",$E335*60*Settings!$B$7/($E335/Settings!$B$36*Settings!$B$37+1.5+0.5*60/Settings!$B$24+0.5*60/Settings!$B$25)*0.8)</f>
        <v/>
      </c>
      <c r="I335" s="24"/>
      <c r="J335" s="13" t="s">
        <v>3838</v>
      </c>
      <c r="K335" s="13" t="s">
        <v>4136</v>
      </c>
      <c r="L335" s="14" t="s">
        <v>4387</v>
      </c>
      <c r="M335" s="14" t="s">
        <v>4404</v>
      </c>
      <c r="N335" s="13" t="s">
        <v>4389</v>
      </c>
      <c r="O335" s="13" t="str">
        <f aca="false">IF(H335="","D","C")</f>
        <v>D</v>
      </c>
      <c r="P335" s="14" t="s">
        <v>4390</v>
      </c>
    </row>
    <row r="336" customFormat="false" ht="43.25" hidden="false" customHeight="false" outlineLevel="0" collapsed="false">
      <c r="A336" s="13" t="s">
        <v>949</v>
      </c>
      <c r="B336" s="13" t="s">
        <v>3854</v>
      </c>
      <c r="C336" s="14" t="s">
        <v>950</v>
      </c>
      <c r="D336" s="14" t="s">
        <v>3855</v>
      </c>
      <c r="E336" s="23" t="n">
        <v>33.4</v>
      </c>
      <c r="F336" s="13" t="s">
        <v>4386</v>
      </c>
      <c r="G336" s="24"/>
      <c r="H336" s="24" t="str">
        <f aca="false">IF(OR($E336="",Settings!$B$24="",Settings!$B$25=""),"",$E336*60*Settings!$B$7/($E336/Settings!$B$36*Settings!$B$37+1.5+1*60/Settings!$B$24+1*60/Settings!$B$25)*0.8)</f>
        <v/>
      </c>
      <c r="I336" s="24"/>
      <c r="J336" s="13" t="s">
        <v>3838</v>
      </c>
      <c r="K336" s="13" t="s">
        <v>4136</v>
      </c>
      <c r="L336" s="14" t="s">
        <v>4391</v>
      </c>
      <c r="M336" s="14" t="s">
        <v>4405</v>
      </c>
      <c r="N336" s="13" t="s">
        <v>4389</v>
      </c>
      <c r="O336" s="13" t="str">
        <f aca="false">IF(H336="","D","C")</f>
        <v>D</v>
      </c>
      <c r="P336" s="14" t="s">
        <v>4390</v>
      </c>
    </row>
    <row r="337" customFormat="false" ht="43.25" hidden="false" customHeight="false" outlineLevel="0" collapsed="false">
      <c r="A337" s="13" t="s">
        <v>949</v>
      </c>
      <c r="B337" s="13" t="s">
        <v>3858</v>
      </c>
      <c r="C337" s="14" t="s">
        <v>950</v>
      </c>
      <c r="D337" s="14" t="s">
        <v>3859</v>
      </c>
      <c r="E337" s="23" t="n">
        <v>33.4</v>
      </c>
      <c r="F337" s="13" t="s">
        <v>4386</v>
      </c>
      <c r="G337" s="24"/>
      <c r="H337" s="24" t="str">
        <f aca="false">IF(OR($E337="",Settings!$B$24="",Settings!$B$25=""),"",$E337*60*Settings!$B$7/($E337/Settings!$B$36*Settings!$B$37+1.5+2*60/Settings!$B$24+2*60/Settings!$B$25)*0.8)</f>
        <v/>
      </c>
      <c r="I337" s="24"/>
      <c r="J337" s="13" t="s">
        <v>3838</v>
      </c>
      <c r="K337" s="13" t="s">
        <v>4136</v>
      </c>
      <c r="L337" s="14" t="s">
        <v>4393</v>
      </c>
      <c r="M337" s="14" t="s">
        <v>4406</v>
      </c>
      <c r="N337" s="13" t="s">
        <v>4389</v>
      </c>
      <c r="O337" s="13" t="str">
        <f aca="false">IF(H337="","D","C")</f>
        <v>D</v>
      </c>
      <c r="P337" s="14" t="s">
        <v>4390</v>
      </c>
    </row>
    <row r="338" customFormat="false" ht="32.8" hidden="false" customHeight="false" outlineLevel="0" collapsed="false">
      <c r="A338" s="13" t="s">
        <v>955</v>
      </c>
      <c r="B338" s="13" t="s">
        <v>3849</v>
      </c>
      <c r="C338" s="14" t="s">
        <v>957</v>
      </c>
      <c r="D338" s="14" t="s">
        <v>3850</v>
      </c>
      <c r="E338" s="23" t="n">
        <v>26.1</v>
      </c>
      <c r="F338" s="13" t="s">
        <v>4386</v>
      </c>
      <c r="G338" s="24"/>
      <c r="H338" s="24" t="str">
        <f aca="false">IF(OR($E338="",Settings!$B$24="",Settings!$B$25=""),"",$E338*60*Settings!$B$7/($E338/Settings!$B$36*Settings!$B$37+1.5+0.5*60/Settings!$B$24+0.5*60/Settings!$B$25)*0.8)</f>
        <v/>
      </c>
      <c r="I338" s="24"/>
      <c r="J338" s="13" t="s">
        <v>3838</v>
      </c>
      <c r="K338" s="13" t="s">
        <v>4136</v>
      </c>
      <c r="L338" s="14" t="s">
        <v>4387</v>
      </c>
      <c r="M338" s="14" t="s">
        <v>4407</v>
      </c>
      <c r="N338" s="13" t="s">
        <v>4408</v>
      </c>
      <c r="O338" s="13" t="str">
        <f aca="false">IF(H338="","D","C")</f>
        <v>D</v>
      </c>
      <c r="P338" s="14" t="s">
        <v>4390</v>
      </c>
    </row>
    <row r="339" customFormat="false" ht="32.8" hidden="false" customHeight="false" outlineLevel="0" collapsed="false">
      <c r="A339" s="13" t="s">
        <v>955</v>
      </c>
      <c r="B339" s="13" t="s">
        <v>3854</v>
      </c>
      <c r="C339" s="14" t="s">
        <v>957</v>
      </c>
      <c r="D339" s="14" t="s">
        <v>3855</v>
      </c>
      <c r="E339" s="23" t="n">
        <v>26.1</v>
      </c>
      <c r="F339" s="13" t="s">
        <v>4386</v>
      </c>
      <c r="G339" s="24"/>
      <c r="H339" s="24" t="str">
        <f aca="false">IF(OR($E339="",Settings!$B$24="",Settings!$B$25=""),"",$E339*60*Settings!$B$7/($E339/Settings!$B$36*Settings!$B$37+1.5+1*60/Settings!$B$24+1*60/Settings!$B$25)*0.8)</f>
        <v/>
      </c>
      <c r="I339" s="24"/>
      <c r="J339" s="13" t="s">
        <v>3838</v>
      </c>
      <c r="K339" s="13" t="s">
        <v>4136</v>
      </c>
      <c r="L339" s="14" t="s">
        <v>4391</v>
      </c>
      <c r="M339" s="14" t="s">
        <v>4409</v>
      </c>
      <c r="N339" s="13" t="s">
        <v>4408</v>
      </c>
      <c r="O339" s="13" t="str">
        <f aca="false">IF(H339="","D","C")</f>
        <v>D</v>
      </c>
      <c r="P339" s="14" t="s">
        <v>4390</v>
      </c>
    </row>
    <row r="340" customFormat="false" ht="32.8" hidden="false" customHeight="false" outlineLevel="0" collapsed="false">
      <c r="A340" s="13" t="s">
        <v>961</v>
      </c>
      <c r="B340" s="13" t="s">
        <v>3849</v>
      </c>
      <c r="C340" s="14" t="s">
        <v>962</v>
      </c>
      <c r="D340" s="14" t="s">
        <v>3850</v>
      </c>
      <c r="E340" s="23" t="n">
        <v>36.5</v>
      </c>
      <c r="F340" s="13" t="s">
        <v>4386</v>
      </c>
      <c r="G340" s="24"/>
      <c r="H340" s="24" t="str">
        <f aca="false">IF(OR($E340="",Settings!$B$24="",Settings!$B$25=""),"",$E340*60*Settings!$B$7/($E340/Settings!$B$36*Settings!$B$37+1.5+0.5*60/Settings!$B$24+0.5*60/Settings!$B$25)*0.8)</f>
        <v/>
      </c>
      <c r="I340" s="24"/>
      <c r="J340" s="13" t="s">
        <v>3838</v>
      </c>
      <c r="K340" s="13" t="s">
        <v>4136</v>
      </c>
      <c r="L340" s="14" t="s">
        <v>4387</v>
      </c>
      <c r="M340" s="14" t="s">
        <v>4410</v>
      </c>
      <c r="N340" s="13" t="s">
        <v>4408</v>
      </c>
      <c r="O340" s="13" t="str">
        <f aca="false">IF(H340="","D","C")</f>
        <v>D</v>
      </c>
      <c r="P340" s="14" t="s">
        <v>4390</v>
      </c>
    </row>
    <row r="341" customFormat="false" ht="32.8" hidden="false" customHeight="false" outlineLevel="0" collapsed="false">
      <c r="A341" s="13" t="s">
        <v>961</v>
      </c>
      <c r="B341" s="13" t="s">
        <v>3854</v>
      </c>
      <c r="C341" s="14" t="s">
        <v>962</v>
      </c>
      <c r="D341" s="14" t="s">
        <v>3855</v>
      </c>
      <c r="E341" s="23" t="n">
        <v>36.5</v>
      </c>
      <c r="F341" s="13" t="s">
        <v>4386</v>
      </c>
      <c r="G341" s="24"/>
      <c r="H341" s="24" t="str">
        <f aca="false">IF(OR($E341="",Settings!$B$24="",Settings!$B$25=""),"",$E341*60*Settings!$B$7/($E341/Settings!$B$36*Settings!$B$37+1.5+1*60/Settings!$B$24+1*60/Settings!$B$25)*0.8)</f>
        <v/>
      </c>
      <c r="I341" s="24"/>
      <c r="J341" s="13" t="s">
        <v>3838</v>
      </c>
      <c r="K341" s="13" t="s">
        <v>4136</v>
      </c>
      <c r="L341" s="14" t="s">
        <v>4391</v>
      </c>
      <c r="M341" s="14" t="s">
        <v>4411</v>
      </c>
      <c r="N341" s="13" t="s">
        <v>4408</v>
      </c>
      <c r="O341" s="13" t="str">
        <f aca="false">IF(H341="","D","C")</f>
        <v>D</v>
      </c>
      <c r="P341" s="14" t="s">
        <v>4390</v>
      </c>
    </row>
    <row r="342" customFormat="false" ht="32.8" hidden="false" customHeight="false" outlineLevel="0" collapsed="false">
      <c r="A342" s="13" t="s">
        <v>965</v>
      </c>
      <c r="B342" s="13" t="s">
        <v>972</v>
      </c>
      <c r="C342" s="14" t="s">
        <v>968</v>
      </c>
      <c r="D342" s="14" t="s">
        <v>3861</v>
      </c>
      <c r="E342" s="23" t="n">
        <v>36.6</v>
      </c>
      <c r="F342" s="13" t="s">
        <v>4386</v>
      </c>
      <c r="G342" s="24"/>
      <c r="H342" s="24" t="str">
        <f aca="false">IF(OR($E342="",Settings!$B$24="",Settings!$B$25=""),"",$E342*60*Settings!$B$7/($E342/Settings!$B$36*Settings!$B$37+1.5+1*60/Settings!$B$24+1*60/Settings!$B$25)*0.8)</f>
        <v/>
      </c>
      <c r="I342" s="24"/>
      <c r="J342" s="13" t="s">
        <v>3838</v>
      </c>
      <c r="K342" s="13" t="s">
        <v>4136</v>
      </c>
      <c r="L342" s="14" t="s">
        <v>4391</v>
      </c>
      <c r="M342" s="14" t="s">
        <v>4412</v>
      </c>
      <c r="N342" s="13" t="s">
        <v>4408</v>
      </c>
      <c r="O342" s="13" t="str">
        <f aca="false">IF(H342="","D","C")</f>
        <v>D</v>
      </c>
      <c r="P342" s="14" t="s">
        <v>4390</v>
      </c>
    </row>
    <row r="343" customFormat="false" ht="43.25" hidden="false" customHeight="false" outlineLevel="0" collapsed="false">
      <c r="A343" s="13" t="s">
        <v>974</v>
      </c>
      <c r="B343" s="13" t="s">
        <v>972</v>
      </c>
      <c r="C343" s="14" t="s">
        <v>975</v>
      </c>
      <c r="D343" s="14" t="s">
        <v>3861</v>
      </c>
      <c r="E343" s="23" t="n">
        <v>40.8</v>
      </c>
      <c r="F343" s="13" t="s">
        <v>4386</v>
      </c>
      <c r="G343" s="24"/>
      <c r="H343" s="24" t="str">
        <f aca="false">IF(OR($E343="",Settings!$B$24="",Settings!$B$25=""),"",$E343*60*Settings!$B$7/($E343/Settings!$B$36*Settings!$B$37+1.5+1*60/Settings!$B$24+1*60/Settings!$B$25)*0.8)</f>
        <v/>
      </c>
      <c r="I343" s="24"/>
      <c r="J343" s="13" t="s">
        <v>3838</v>
      </c>
      <c r="K343" s="13" t="s">
        <v>4136</v>
      </c>
      <c r="L343" s="14" t="s">
        <v>4391</v>
      </c>
      <c r="M343" s="14" t="s">
        <v>4413</v>
      </c>
      <c r="N343" s="13" t="s">
        <v>4389</v>
      </c>
      <c r="O343" s="13" t="str">
        <f aca="false">IF(H343="","D","C")</f>
        <v>D</v>
      </c>
      <c r="P343" s="14" t="s">
        <v>4390</v>
      </c>
    </row>
    <row r="344" customFormat="false" ht="43.25" hidden="false" customHeight="false" outlineLevel="0" collapsed="false">
      <c r="A344" s="13" t="s">
        <v>979</v>
      </c>
      <c r="B344" s="13" t="s">
        <v>972</v>
      </c>
      <c r="C344" s="14" t="s">
        <v>980</v>
      </c>
      <c r="D344" s="14" t="s">
        <v>3861</v>
      </c>
      <c r="E344" s="23" t="n">
        <v>46.8</v>
      </c>
      <c r="F344" s="13" t="s">
        <v>4386</v>
      </c>
      <c r="G344" s="24"/>
      <c r="H344" s="24" t="str">
        <f aca="false">IF(OR($E344="",Settings!$B$24="",Settings!$B$25=""),"",$E344*60*Settings!$B$7/($E344/Settings!$B$36*Settings!$B$37+1.5+1*60/Settings!$B$24+1*60/Settings!$B$25)*0.8)</f>
        <v/>
      </c>
      <c r="I344" s="24"/>
      <c r="J344" s="13" t="s">
        <v>3838</v>
      </c>
      <c r="K344" s="13" t="s">
        <v>4136</v>
      </c>
      <c r="L344" s="14" t="s">
        <v>4391</v>
      </c>
      <c r="M344" s="14" t="s">
        <v>4414</v>
      </c>
      <c r="N344" s="13" t="s">
        <v>4389</v>
      </c>
      <c r="O344" s="13" t="str">
        <f aca="false">IF(H344="","D","C")</f>
        <v>D</v>
      </c>
      <c r="P344" s="14" t="s">
        <v>4390</v>
      </c>
    </row>
    <row r="345" customFormat="false" ht="32.8" hidden="false" customHeight="false" outlineLevel="0" collapsed="false">
      <c r="A345" s="13" t="s">
        <v>984</v>
      </c>
      <c r="B345" s="13" t="s">
        <v>972</v>
      </c>
      <c r="C345" s="14" t="s">
        <v>985</v>
      </c>
      <c r="D345" s="14" t="s">
        <v>3861</v>
      </c>
      <c r="E345" s="23" t="n">
        <v>61.3</v>
      </c>
      <c r="F345" s="13" t="s">
        <v>4386</v>
      </c>
      <c r="G345" s="24"/>
      <c r="H345" s="24" t="str">
        <f aca="false">IF(OR($E345="",Settings!$B$24="",Settings!$B$25=""),"",$E345*60*Settings!$B$7/($E345/Settings!$B$36*Settings!$B$37+1.5+1*60/Settings!$B$24+1*60/Settings!$B$25)*0.8)</f>
        <v/>
      </c>
      <c r="I345" s="24"/>
      <c r="J345" s="13" t="s">
        <v>3838</v>
      </c>
      <c r="K345" s="13" t="s">
        <v>4136</v>
      </c>
      <c r="L345" s="14" t="s">
        <v>4391</v>
      </c>
      <c r="M345" s="14" t="s">
        <v>4415</v>
      </c>
      <c r="N345" s="13" t="s">
        <v>4408</v>
      </c>
      <c r="O345" s="13" t="str">
        <f aca="false">IF(H345="","D","C")</f>
        <v>D</v>
      </c>
      <c r="P345" s="14" t="s">
        <v>4390</v>
      </c>
    </row>
    <row r="346" customFormat="false" ht="43.25" hidden="false" customHeight="false" outlineLevel="0" collapsed="false">
      <c r="A346" s="13" t="s">
        <v>989</v>
      </c>
      <c r="B346" s="13" t="s">
        <v>972</v>
      </c>
      <c r="C346" s="14" t="s">
        <v>990</v>
      </c>
      <c r="D346" s="14" t="s">
        <v>3861</v>
      </c>
      <c r="E346" s="23" t="n">
        <v>83.1</v>
      </c>
      <c r="F346" s="13" t="s">
        <v>4386</v>
      </c>
      <c r="G346" s="24"/>
      <c r="H346" s="24" t="str">
        <f aca="false">IF(OR($E346="",Settings!$B$24="",Settings!$B$25=""),"",$E346*60*Settings!$B$7/($E346/Settings!$B$36*Settings!$B$37+1.5+1*60/Settings!$B$24+1*60/Settings!$B$25)*0.8)</f>
        <v/>
      </c>
      <c r="I346" s="24"/>
      <c r="J346" s="13" t="s">
        <v>3838</v>
      </c>
      <c r="K346" s="13" t="s">
        <v>4136</v>
      </c>
      <c r="L346" s="14" t="s">
        <v>4391</v>
      </c>
      <c r="M346" s="14" t="s">
        <v>4416</v>
      </c>
      <c r="N346" s="13" t="s">
        <v>4389</v>
      </c>
      <c r="O346" s="13" t="str">
        <f aca="false">IF(H346="","D","C")</f>
        <v>D</v>
      </c>
      <c r="P346" s="14" t="s">
        <v>4390</v>
      </c>
    </row>
    <row r="347" customFormat="false" ht="32.8" hidden="false" customHeight="false" outlineLevel="0" collapsed="false">
      <c r="A347" s="13" t="s">
        <v>1016</v>
      </c>
      <c r="B347" s="13" t="s">
        <v>3835</v>
      </c>
      <c r="C347" s="14" t="s">
        <v>1019</v>
      </c>
      <c r="D347" s="14" t="s">
        <v>3837</v>
      </c>
      <c r="E347" s="23" t="n">
        <v>7</v>
      </c>
      <c r="F347" s="13" t="s">
        <v>4386</v>
      </c>
      <c r="G347" s="24"/>
      <c r="H347" s="24" t="str">
        <f aca="false">IF(OR($E347="",Settings!$B$22="",Settings!$B$23=""),"",$E347*60*Settings!$B$7/($E347/Settings!$B$36*Settings!$B$37+1.5+0.5*60/Settings!$B$22+0.5*60/Settings!$B$23)*0.8)</f>
        <v/>
      </c>
      <c r="I347" s="24"/>
      <c r="J347" s="13" t="s">
        <v>3838</v>
      </c>
      <c r="K347" s="13" t="s">
        <v>4136</v>
      </c>
      <c r="L347" s="14" t="s">
        <v>4417</v>
      </c>
      <c r="M347" s="14" t="s">
        <v>4418</v>
      </c>
      <c r="N347" s="13" t="s">
        <v>4419</v>
      </c>
      <c r="O347" s="13" t="str">
        <f aca="false">IF(H347="","D","C")</f>
        <v>D</v>
      </c>
      <c r="P347" s="14" t="s">
        <v>4390</v>
      </c>
    </row>
    <row r="348" customFormat="false" ht="32.8" hidden="false" customHeight="false" outlineLevel="0" collapsed="false">
      <c r="A348" s="13" t="s">
        <v>1016</v>
      </c>
      <c r="B348" s="13" t="s">
        <v>3481</v>
      </c>
      <c r="C348" s="14" t="s">
        <v>1019</v>
      </c>
      <c r="D348" s="14" t="s">
        <v>3843</v>
      </c>
      <c r="E348" s="23" t="n">
        <v>7</v>
      </c>
      <c r="F348" s="13" t="s">
        <v>4386</v>
      </c>
      <c r="G348" s="24"/>
      <c r="H348" s="24" t="str">
        <f aca="false">IF(OR($E348="",Settings!$B$22="",Settings!$B$23=""),"",$E348*60*Settings!$B$7/($E348/Settings!$B$36*Settings!$B$37+1.5+1*60/Settings!$B$22+1*60/Settings!$B$23)*0.8)</f>
        <v/>
      </c>
      <c r="I348" s="24"/>
      <c r="J348" s="13" t="s">
        <v>3838</v>
      </c>
      <c r="K348" s="13" t="s">
        <v>4136</v>
      </c>
      <c r="L348" s="14" t="s">
        <v>4420</v>
      </c>
      <c r="M348" s="14" t="s">
        <v>4421</v>
      </c>
      <c r="N348" s="13" t="s">
        <v>4419</v>
      </c>
      <c r="O348" s="13" t="str">
        <f aca="false">IF(H348="","D","C")</f>
        <v>D</v>
      </c>
      <c r="P348" s="14" t="s">
        <v>4390</v>
      </c>
    </row>
    <row r="349" customFormat="false" ht="32.8" hidden="false" customHeight="false" outlineLevel="0" collapsed="false">
      <c r="A349" s="13" t="s">
        <v>1016</v>
      </c>
      <c r="B349" s="13" t="s">
        <v>3846</v>
      </c>
      <c r="C349" s="14" t="s">
        <v>1019</v>
      </c>
      <c r="D349" s="14" t="s">
        <v>3847</v>
      </c>
      <c r="E349" s="23" t="n">
        <v>7</v>
      </c>
      <c r="F349" s="13" t="s">
        <v>4386</v>
      </c>
      <c r="G349" s="24"/>
      <c r="H349" s="24" t="str">
        <f aca="false">IF(OR($E349="",Settings!$B$22="",Settings!$B$23=""),"",$E349*60*Settings!$B$7/($E349/Settings!$B$36*Settings!$B$37+1.5+2*60/Settings!$B$22+2*60/Settings!$B$23)*0.8)</f>
        <v/>
      </c>
      <c r="I349" s="24"/>
      <c r="J349" s="13" t="s">
        <v>3838</v>
      </c>
      <c r="K349" s="13" t="s">
        <v>4136</v>
      </c>
      <c r="L349" s="14" t="s">
        <v>4422</v>
      </c>
      <c r="M349" s="14" t="s">
        <v>4423</v>
      </c>
      <c r="N349" s="13" t="s">
        <v>4419</v>
      </c>
      <c r="O349" s="13" t="str">
        <f aca="false">IF(H349="","D","C")</f>
        <v>D</v>
      </c>
      <c r="P349" s="14" t="s">
        <v>4390</v>
      </c>
    </row>
    <row r="350" customFormat="false" ht="32.8" hidden="false" customHeight="false" outlineLevel="0" collapsed="false">
      <c r="A350" s="13" t="s">
        <v>1027</v>
      </c>
      <c r="B350" s="13" t="s">
        <v>3835</v>
      </c>
      <c r="C350" s="14" t="s">
        <v>1028</v>
      </c>
      <c r="D350" s="14" t="s">
        <v>3837</v>
      </c>
      <c r="E350" s="23" t="n">
        <v>9</v>
      </c>
      <c r="F350" s="13" t="s">
        <v>4386</v>
      </c>
      <c r="G350" s="24"/>
      <c r="H350" s="24" t="str">
        <f aca="false">IF(OR($E350="",Settings!$B$22="",Settings!$B$23=""),"",$E350*60*Settings!$B$7/($E350/Settings!$B$36*Settings!$B$37+1.5+0.5*60/Settings!$B$22+0.5*60/Settings!$B$23)*0.8)</f>
        <v/>
      </c>
      <c r="I350" s="24"/>
      <c r="J350" s="13" t="s">
        <v>3838</v>
      </c>
      <c r="K350" s="13" t="s">
        <v>4136</v>
      </c>
      <c r="L350" s="14" t="s">
        <v>4417</v>
      </c>
      <c r="M350" s="14" t="s">
        <v>4424</v>
      </c>
      <c r="N350" s="13" t="s">
        <v>4419</v>
      </c>
      <c r="O350" s="13" t="str">
        <f aca="false">IF(H350="","D","C")</f>
        <v>D</v>
      </c>
      <c r="P350" s="14" t="s">
        <v>4390</v>
      </c>
    </row>
    <row r="351" customFormat="false" ht="32.8" hidden="false" customHeight="false" outlineLevel="0" collapsed="false">
      <c r="A351" s="13" t="s">
        <v>1027</v>
      </c>
      <c r="B351" s="13" t="s">
        <v>3481</v>
      </c>
      <c r="C351" s="14" t="s">
        <v>1028</v>
      </c>
      <c r="D351" s="14" t="s">
        <v>3843</v>
      </c>
      <c r="E351" s="23" t="n">
        <v>9</v>
      </c>
      <c r="F351" s="13" t="s">
        <v>4386</v>
      </c>
      <c r="G351" s="24"/>
      <c r="H351" s="24" t="str">
        <f aca="false">IF(OR($E351="",Settings!$B$22="",Settings!$B$23=""),"",$E351*60*Settings!$B$7/($E351/Settings!$B$36*Settings!$B$37+1.5+1*60/Settings!$B$22+1*60/Settings!$B$23)*0.8)</f>
        <v/>
      </c>
      <c r="I351" s="24"/>
      <c r="J351" s="13" t="s">
        <v>3838</v>
      </c>
      <c r="K351" s="13" t="s">
        <v>4136</v>
      </c>
      <c r="L351" s="14" t="s">
        <v>4420</v>
      </c>
      <c r="M351" s="14" t="s">
        <v>4425</v>
      </c>
      <c r="N351" s="13" t="s">
        <v>4419</v>
      </c>
      <c r="O351" s="13" t="str">
        <f aca="false">IF(H351="","D","C")</f>
        <v>D</v>
      </c>
      <c r="P351" s="14" t="s">
        <v>4390</v>
      </c>
    </row>
    <row r="352" customFormat="false" ht="32.8" hidden="false" customHeight="false" outlineLevel="0" collapsed="false">
      <c r="A352" s="13" t="s">
        <v>1027</v>
      </c>
      <c r="B352" s="13" t="s">
        <v>3846</v>
      </c>
      <c r="C352" s="14" t="s">
        <v>1028</v>
      </c>
      <c r="D352" s="14" t="s">
        <v>3847</v>
      </c>
      <c r="E352" s="23" t="n">
        <v>9</v>
      </c>
      <c r="F352" s="13" t="s">
        <v>4386</v>
      </c>
      <c r="G352" s="24"/>
      <c r="H352" s="24" t="str">
        <f aca="false">IF(OR($E352="",Settings!$B$22="",Settings!$B$23=""),"",$E352*60*Settings!$B$7/($E352/Settings!$B$36*Settings!$B$37+1.5+2*60/Settings!$B$22+2*60/Settings!$B$23)*0.8)</f>
        <v/>
      </c>
      <c r="I352" s="24"/>
      <c r="J352" s="13" t="s">
        <v>3838</v>
      </c>
      <c r="K352" s="13" t="s">
        <v>4136</v>
      </c>
      <c r="L352" s="14" t="s">
        <v>4422</v>
      </c>
      <c r="M352" s="14" t="s">
        <v>4426</v>
      </c>
      <c r="N352" s="13" t="s">
        <v>4419</v>
      </c>
      <c r="O352" s="13" t="str">
        <f aca="false">IF(H352="","D","C")</f>
        <v>D</v>
      </c>
      <c r="P352" s="14" t="s">
        <v>4390</v>
      </c>
    </row>
    <row r="353" customFormat="false" ht="43.25" hidden="false" customHeight="false" outlineLevel="0" collapsed="false">
      <c r="A353" s="13" t="s">
        <v>1031</v>
      </c>
      <c r="B353" s="13" t="s">
        <v>3835</v>
      </c>
      <c r="C353" s="14" t="s">
        <v>1032</v>
      </c>
      <c r="D353" s="14" t="s">
        <v>3837</v>
      </c>
      <c r="E353" s="23" t="n">
        <v>12</v>
      </c>
      <c r="F353" s="13" t="s">
        <v>4386</v>
      </c>
      <c r="G353" s="24"/>
      <c r="H353" s="24" t="str">
        <f aca="false">IF(OR($E353="",Settings!$B$22="",Settings!$B$23=""),"",$E353*60*Settings!$B$7/($E353/Settings!$B$36*Settings!$B$37+1.5+0.5*60/Settings!$B$22+0.5*60/Settings!$B$23)*0.8)</f>
        <v/>
      </c>
      <c r="I353" s="24"/>
      <c r="J353" s="13" t="s">
        <v>3838</v>
      </c>
      <c r="K353" s="13" t="s">
        <v>4136</v>
      </c>
      <c r="L353" s="14" t="s">
        <v>4417</v>
      </c>
      <c r="M353" s="14" t="s">
        <v>4427</v>
      </c>
      <c r="N353" s="13" t="s">
        <v>4419</v>
      </c>
      <c r="O353" s="13" t="str">
        <f aca="false">IF(H353="","D","C")</f>
        <v>D</v>
      </c>
      <c r="P353" s="14" t="s">
        <v>4390</v>
      </c>
    </row>
    <row r="354" customFormat="false" ht="43.25" hidden="false" customHeight="false" outlineLevel="0" collapsed="false">
      <c r="A354" s="13" t="s">
        <v>1031</v>
      </c>
      <c r="B354" s="13" t="s">
        <v>3481</v>
      </c>
      <c r="C354" s="14" t="s">
        <v>1032</v>
      </c>
      <c r="D354" s="14" t="s">
        <v>3843</v>
      </c>
      <c r="E354" s="23" t="n">
        <v>12</v>
      </c>
      <c r="F354" s="13" t="s">
        <v>4386</v>
      </c>
      <c r="G354" s="24"/>
      <c r="H354" s="24" t="str">
        <f aca="false">IF(OR($E354="",Settings!$B$22="",Settings!$B$23=""),"",$E354*60*Settings!$B$7/($E354/Settings!$B$36*Settings!$B$37+1.5+1*60/Settings!$B$22+1*60/Settings!$B$23)*0.8)</f>
        <v/>
      </c>
      <c r="I354" s="24"/>
      <c r="J354" s="13" t="s">
        <v>3838</v>
      </c>
      <c r="K354" s="13" t="s">
        <v>4136</v>
      </c>
      <c r="L354" s="14" t="s">
        <v>4420</v>
      </c>
      <c r="M354" s="14" t="s">
        <v>4428</v>
      </c>
      <c r="N354" s="13" t="s">
        <v>4419</v>
      </c>
      <c r="O354" s="13" t="str">
        <f aca="false">IF(H354="","D","C")</f>
        <v>D</v>
      </c>
      <c r="P354" s="14" t="s">
        <v>4390</v>
      </c>
    </row>
    <row r="355" customFormat="false" ht="43.25" hidden="false" customHeight="false" outlineLevel="0" collapsed="false">
      <c r="A355" s="13" t="s">
        <v>1031</v>
      </c>
      <c r="B355" s="13" t="s">
        <v>3846</v>
      </c>
      <c r="C355" s="14" t="s">
        <v>1032</v>
      </c>
      <c r="D355" s="14" t="s">
        <v>3847</v>
      </c>
      <c r="E355" s="23" t="n">
        <v>12</v>
      </c>
      <c r="F355" s="13" t="s">
        <v>4386</v>
      </c>
      <c r="G355" s="24"/>
      <c r="H355" s="24" t="str">
        <f aca="false">IF(OR($E355="",Settings!$B$22="",Settings!$B$23=""),"",$E355*60*Settings!$B$7/($E355/Settings!$B$36*Settings!$B$37+1.5+2*60/Settings!$B$22+2*60/Settings!$B$23)*0.8)</f>
        <v/>
      </c>
      <c r="I355" s="24"/>
      <c r="J355" s="13" t="s">
        <v>3838</v>
      </c>
      <c r="K355" s="13" t="s">
        <v>4136</v>
      </c>
      <c r="L355" s="14" t="s">
        <v>4422</v>
      </c>
      <c r="M355" s="14" t="s">
        <v>4429</v>
      </c>
      <c r="N355" s="13" t="s">
        <v>4419</v>
      </c>
      <c r="O355" s="13" t="str">
        <f aca="false">IF(H355="","D","C")</f>
        <v>D</v>
      </c>
      <c r="P355" s="14" t="s">
        <v>4390</v>
      </c>
    </row>
    <row r="356" customFormat="false" ht="43.25" hidden="false" customHeight="false" outlineLevel="0" collapsed="false">
      <c r="A356" s="13" t="s">
        <v>1035</v>
      </c>
      <c r="B356" s="13" t="s">
        <v>3835</v>
      </c>
      <c r="C356" s="14" t="s">
        <v>1036</v>
      </c>
      <c r="D356" s="14" t="s">
        <v>3837</v>
      </c>
      <c r="E356" s="23" t="n">
        <v>14</v>
      </c>
      <c r="F356" s="13" t="s">
        <v>4386</v>
      </c>
      <c r="G356" s="24"/>
      <c r="H356" s="24" t="str">
        <f aca="false">IF(OR($E356="",Settings!$B$22="",Settings!$B$23=""),"",$E356*60*Settings!$B$7/($E356/Settings!$B$36*Settings!$B$37+1.5+0.5*60/Settings!$B$22+0.5*60/Settings!$B$23)*0.8)</f>
        <v/>
      </c>
      <c r="I356" s="24"/>
      <c r="J356" s="13" t="s">
        <v>3838</v>
      </c>
      <c r="K356" s="13" t="s">
        <v>4136</v>
      </c>
      <c r="L356" s="14" t="s">
        <v>4417</v>
      </c>
      <c r="M356" s="14" t="s">
        <v>4430</v>
      </c>
      <c r="N356" s="13" t="s">
        <v>4419</v>
      </c>
      <c r="O356" s="13" t="str">
        <f aca="false">IF(H356="","D","C")</f>
        <v>D</v>
      </c>
      <c r="P356" s="14" t="s">
        <v>4390</v>
      </c>
    </row>
    <row r="357" customFormat="false" ht="43.25" hidden="false" customHeight="false" outlineLevel="0" collapsed="false">
      <c r="A357" s="13" t="s">
        <v>1035</v>
      </c>
      <c r="B357" s="13" t="s">
        <v>3481</v>
      </c>
      <c r="C357" s="14" t="s">
        <v>1036</v>
      </c>
      <c r="D357" s="14" t="s">
        <v>3843</v>
      </c>
      <c r="E357" s="23" t="n">
        <v>14</v>
      </c>
      <c r="F357" s="13" t="s">
        <v>4386</v>
      </c>
      <c r="G357" s="24"/>
      <c r="H357" s="24" t="str">
        <f aca="false">IF(OR($E357="",Settings!$B$22="",Settings!$B$23=""),"",$E357*60*Settings!$B$7/($E357/Settings!$B$36*Settings!$B$37+1.5+1*60/Settings!$B$22+1*60/Settings!$B$23)*0.8)</f>
        <v/>
      </c>
      <c r="I357" s="24"/>
      <c r="J357" s="13" t="s">
        <v>3838</v>
      </c>
      <c r="K357" s="13" t="s">
        <v>4136</v>
      </c>
      <c r="L357" s="14" t="s">
        <v>4420</v>
      </c>
      <c r="M357" s="14" t="s">
        <v>4431</v>
      </c>
      <c r="N357" s="13" t="s">
        <v>4419</v>
      </c>
      <c r="O357" s="13" t="str">
        <f aca="false">IF(H357="","D","C")</f>
        <v>D</v>
      </c>
      <c r="P357" s="14" t="s">
        <v>4390</v>
      </c>
    </row>
    <row r="358" customFormat="false" ht="43.25" hidden="false" customHeight="false" outlineLevel="0" collapsed="false">
      <c r="A358" s="13" t="s">
        <v>1035</v>
      </c>
      <c r="B358" s="13" t="s">
        <v>3846</v>
      </c>
      <c r="C358" s="14" t="s">
        <v>1036</v>
      </c>
      <c r="D358" s="14" t="s">
        <v>3847</v>
      </c>
      <c r="E358" s="23" t="n">
        <v>14</v>
      </c>
      <c r="F358" s="13" t="s">
        <v>4386</v>
      </c>
      <c r="G358" s="24"/>
      <c r="H358" s="24" t="str">
        <f aca="false">IF(OR($E358="",Settings!$B$22="",Settings!$B$23=""),"",$E358*60*Settings!$B$7/($E358/Settings!$B$36*Settings!$B$37+1.5+2*60/Settings!$B$22+2*60/Settings!$B$23)*0.8)</f>
        <v/>
      </c>
      <c r="I358" s="24"/>
      <c r="J358" s="13" t="s">
        <v>3838</v>
      </c>
      <c r="K358" s="13" t="s">
        <v>4136</v>
      </c>
      <c r="L358" s="14" t="s">
        <v>4422</v>
      </c>
      <c r="M358" s="14" t="s">
        <v>4432</v>
      </c>
      <c r="N358" s="13" t="s">
        <v>4419</v>
      </c>
      <c r="O358" s="13" t="str">
        <f aca="false">IF(H358="","D","C")</f>
        <v>D</v>
      </c>
      <c r="P358" s="14" t="s">
        <v>4390</v>
      </c>
    </row>
    <row r="359" customFormat="false" ht="43.25" hidden="false" customHeight="false" outlineLevel="0" collapsed="false">
      <c r="A359" s="13" t="s">
        <v>1039</v>
      </c>
      <c r="B359" s="13" t="s">
        <v>3835</v>
      </c>
      <c r="C359" s="14" t="s">
        <v>1040</v>
      </c>
      <c r="D359" s="14" t="s">
        <v>3837</v>
      </c>
      <c r="E359" s="23" t="n">
        <v>18</v>
      </c>
      <c r="F359" s="13" t="s">
        <v>4386</v>
      </c>
      <c r="G359" s="24"/>
      <c r="H359" s="24" t="str">
        <f aca="false">IF(OR($E359="",Settings!$B$22="",Settings!$B$23=""),"",$E359*60*Settings!$B$7/($E359/Settings!$B$36*Settings!$B$37+1.5+0.5*60/Settings!$B$22+0.5*60/Settings!$B$23)*0.8)</f>
        <v/>
      </c>
      <c r="I359" s="24"/>
      <c r="J359" s="13" t="s">
        <v>3838</v>
      </c>
      <c r="K359" s="13" t="s">
        <v>4136</v>
      </c>
      <c r="L359" s="14" t="s">
        <v>4417</v>
      </c>
      <c r="M359" s="14" t="s">
        <v>4433</v>
      </c>
      <c r="N359" s="13" t="s">
        <v>4419</v>
      </c>
      <c r="O359" s="13" t="str">
        <f aca="false">IF(H359="","D","C")</f>
        <v>D</v>
      </c>
      <c r="P359" s="14" t="s">
        <v>4390</v>
      </c>
    </row>
    <row r="360" customFormat="false" ht="43.25" hidden="false" customHeight="false" outlineLevel="0" collapsed="false">
      <c r="A360" s="13" t="s">
        <v>1039</v>
      </c>
      <c r="B360" s="13" t="s">
        <v>3481</v>
      </c>
      <c r="C360" s="14" t="s">
        <v>1040</v>
      </c>
      <c r="D360" s="14" t="s">
        <v>3843</v>
      </c>
      <c r="E360" s="23" t="n">
        <v>18</v>
      </c>
      <c r="F360" s="13" t="s">
        <v>4386</v>
      </c>
      <c r="G360" s="24"/>
      <c r="H360" s="24" t="str">
        <f aca="false">IF(OR($E360="",Settings!$B$22="",Settings!$B$23=""),"",$E360*60*Settings!$B$7/($E360/Settings!$B$36*Settings!$B$37+1.5+1*60/Settings!$B$22+1*60/Settings!$B$23)*0.8)</f>
        <v/>
      </c>
      <c r="I360" s="24"/>
      <c r="J360" s="13" t="s">
        <v>3838</v>
      </c>
      <c r="K360" s="13" t="s">
        <v>4136</v>
      </c>
      <c r="L360" s="14" t="s">
        <v>4420</v>
      </c>
      <c r="M360" s="14" t="s">
        <v>4434</v>
      </c>
      <c r="N360" s="13" t="s">
        <v>4419</v>
      </c>
      <c r="O360" s="13" t="str">
        <f aca="false">IF(H360="","D","C")</f>
        <v>D</v>
      </c>
      <c r="P360" s="14" t="s">
        <v>4390</v>
      </c>
    </row>
    <row r="361" customFormat="false" ht="43.25" hidden="false" customHeight="false" outlineLevel="0" collapsed="false">
      <c r="A361" s="13" t="s">
        <v>1039</v>
      </c>
      <c r="B361" s="13" t="s">
        <v>3846</v>
      </c>
      <c r="C361" s="14" t="s">
        <v>1040</v>
      </c>
      <c r="D361" s="14" t="s">
        <v>3847</v>
      </c>
      <c r="E361" s="23" t="n">
        <v>18</v>
      </c>
      <c r="F361" s="13" t="s">
        <v>4386</v>
      </c>
      <c r="G361" s="24"/>
      <c r="H361" s="24" t="str">
        <f aca="false">IF(OR($E361="",Settings!$B$22="",Settings!$B$23=""),"",$E361*60*Settings!$B$7/($E361/Settings!$B$36*Settings!$B$37+1.5+2*60/Settings!$B$22+2*60/Settings!$B$23)*0.8)</f>
        <v/>
      </c>
      <c r="I361" s="24"/>
      <c r="J361" s="13" t="s">
        <v>3838</v>
      </c>
      <c r="K361" s="13" t="s">
        <v>4136</v>
      </c>
      <c r="L361" s="14" t="s">
        <v>4422</v>
      </c>
      <c r="M361" s="14" t="s">
        <v>4435</v>
      </c>
      <c r="N361" s="13" t="s">
        <v>4419</v>
      </c>
      <c r="O361" s="13" t="str">
        <f aca="false">IF(H361="","D","C")</f>
        <v>D</v>
      </c>
      <c r="P361" s="14" t="s">
        <v>4390</v>
      </c>
    </row>
    <row r="362" customFormat="false" ht="32.8" hidden="false" customHeight="false" outlineLevel="0" collapsed="false">
      <c r="A362" s="13" t="s">
        <v>1043</v>
      </c>
      <c r="B362" s="13" t="s">
        <v>3835</v>
      </c>
      <c r="C362" s="14" t="s">
        <v>1045</v>
      </c>
      <c r="D362" s="14" t="s">
        <v>3837</v>
      </c>
      <c r="E362" s="25"/>
      <c r="F362" s="13" t="s">
        <v>4386</v>
      </c>
      <c r="G362" s="24"/>
      <c r="H362" s="24" t="str">
        <f aca="false">IF(OR($E362="",Settings!$B$22="",Settings!$B$23=""),"",$E362*60*Settings!$B$7/($E362/Settings!$B$36*Settings!$B$37+1.5+0.5*60/Settings!$B$22+0.5*60/Settings!$B$23)*0.8)</f>
        <v/>
      </c>
      <c r="I362" s="24"/>
      <c r="J362" s="13" t="s">
        <v>3838</v>
      </c>
      <c r="K362" s="13" t="s">
        <v>4136</v>
      </c>
      <c r="L362" s="14" t="s">
        <v>4417</v>
      </c>
      <c r="M362" s="14" t="s">
        <v>4436</v>
      </c>
      <c r="N362" s="13" t="s">
        <v>4437</v>
      </c>
      <c r="O362" s="13" t="str">
        <f aca="false">IF(H362="","D","C")</f>
        <v>D</v>
      </c>
      <c r="P362" s="14" t="s">
        <v>4438</v>
      </c>
    </row>
    <row r="363" customFormat="false" ht="32.8" hidden="false" customHeight="false" outlineLevel="0" collapsed="false">
      <c r="A363" s="13" t="s">
        <v>1043</v>
      </c>
      <c r="B363" s="13" t="s">
        <v>3481</v>
      </c>
      <c r="C363" s="14" t="s">
        <v>1045</v>
      </c>
      <c r="D363" s="14" t="s">
        <v>3843</v>
      </c>
      <c r="E363" s="25"/>
      <c r="F363" s="13" t="s">
        <v>4386</v>
      </c>
      <c r="G363" s="24"/>
      <c r="H363" s="24" t="str">
        <f aca="false">IF(OR($E363="",Settings!$B$22="",Settings!$B$23=""),"",$E363*60*Settings!$B$7/($E363/Settings!$B$36*Settings!$B$37+1.5+1*60/Settings!$B$22+1*60/Settings!$B$23)*0.8)</f>
        <v/>
      </c>
      <c r="I363" s="24"/>
      <c r="J363" s="13" t="s">
        <v>3838</v>
      </c>
      <c r="K363" s="13" t="s">
        <v>4136</v>
      </c>
      <c r="L363" s="14" t="s">
        <v>4420</v>
      </c>
      <c r="M363" s="14" t="s">
        <v>4439</v>
      </c>
      <c r="N363" s="13" t="s">
        <v>4437</v>
      </c>
      <c r="O363" s="13" t="str">
        <f aca="false">IF(H363="","D","C")</f>
        <v>D</v>
      </c>
      <c r="P363" s="14" t="s">
        <v>4438</v>
      </c>
    </row>
    <row r="364" customFormat="false" ht="32.8" hidden="false" customHeight="false" outlineLevel="0" collapsed="false">
      <c r="A364" s="13" t="s">
        <v>1043</v>
      </c>
      <c r="B364" s="13" t="s">
        <v>3846</v>
      </c>
      <c r="C364" s="14" t="s">
        <v>1045</v>
      </c>
      <c r="D364" s="14" t="s">
        <v>3847</v>
      </c>
      <c r="E364" s="25"/>
      <c r="F364" s="13" t="s">
        <v>4386</v>
      </c>
      <c r="G364" s="24"/>
      <c r="H364" s="24" t="str">
        <f aca="false">IF(OR($E364="",Settings!$B$22="",Settings!$B$23=""),"",$E364*60*Settings!$B$7/($E364/Settings!$B$36*Settings!$B$37+1.5+2*60/Settings!$B$22+2*60/Settings!$B$23)*0.8)</f>
        <v/>
      </c>
      <c r="I364" s="24"/>
      <c r="J364" s="13" t="s">
        <v>3838</v>
      </c>
      <c r="K364" s="13" t="s">
        <v>4136</v>
      </c>
      <c r="L364" s="14" t="s">
        <v>4422</v>
      </c>
      <c r="M364" s="14" t="s">
        <v>4440</v>
      </c>
      <c r="N364" s="13" t="s">
        <v>4437</v>
      </c>
      <c r="O364" s="13" t="str">
        <f aca="false">IF(H364="","D","C")</f>
        <v>D</v>
      </c>
      <c r="P364" s="14" t="s">
        <v>4438</v>
      </c>
    </row>
    <row r="365" customFormat="false" ht="32.8" hidden="false" customHeight="false" outlineLevel="0" collapsed="false">
      <c r="A365" s="13" t="s">
        <v>1055</v>
      </c>
      <c r="B365" s="13" t="s">
        <v>3835</v>
      </c>
      <c r="C365" s="14" t="s">
        <v>1056</v>
      </c>
      <c r="D365" s="14" t="s">
        <v>3837</v>
      </c>
      <c r="E365" s="25"/>
      <c r="F365" s="13" t="s">
        <v>4386</v>
      </c>
      <c r="G365" s="24"/>
      <c r="H365" s="24" t="str">
        <f aca="false">IF(OR($E365="",Settings!$B$22="",Settings!$B$23=""),"",$E365*60*Settings!$B$7/($E365/Settings!$B$36*Settings!$B$37+1.5+0.5*60/Settings!$B$22+0.5*60/Settings!$B$23)*0.8)</f>
        <v/>
      </c>
      <c r="I365" s="24"/>
      <c r="J365" s="13" t="s">
        <v>3838</v>
      </c>
      <c r="K365" s="13" t="s">
        <v>4136</v>
      </c>
      <c r="L365" s="14" t="s">
        <v>4417</v>
      </c>
      <c r="M365" s="14" t="s">
        <v>4436</v>
      </c>
      <c r="N365" s="13" t="s">
        <v>4437</v>
      </c>
      <c r="O365" s="13" t="str">
        <f aca="false">IF(H365="","D","C")</f>
        <v>D</v>
      </c>
      <c r="P365" s="14" t="s">
        <v>4438</v>
      </c>
    </row>
    <row r="366" customFormat="false" ht="32.8" hidden="false" customHeight="false" outlineLevel="0" collapsed="false">
      <c r="A366" s="13" t="s">
        <v>1055</v>
      </c>
      <c r="B366" s="13" t="s">
        <v>3481</v>
      </c>
      <c r="C366" s="14" t="s">
        <v>1056</v>
      </c>
      <c r="D366" s="14" t="s">
        <v>3843</v>
      </c>
      <c r="E366" s="25"/>
      <c r="F366" s="13" t="s">
        <v>4386</v>
      </c>
      <c r="G366" s="24"/>
      <c r="H366" s="24" t="str">
        <f aca="false">IF(OR($E366="",Settings!$B$22="",Settings!$B$23=""),"",$E366*60*Settings!$B$7/($E366/Settings!$B$36*Settings!$B$37+1.5+1*60/Settings!$B$22+1*60/Settings!$B$23)*0.8)</f>
        <v/>
      </c>
      <c r="I366" s="24"/>
      <c r="J366" s="13" t="s">
        <v>3838</v>
      </c>
      <c r="K366" s="13" t="s">
        <v>4136</v>
      </c>
      <c r="L366" s="14" t="s">
        <v>4420</v>
      </c>
      <c r="M366" s="14" t="s">
        <v>4439</v>
      </c>
      <c r="N366" s="13" t="s">
        <v>4437</v>
      </c>
      <c r="O366" s="13" t="str">
        <f aca="false">IF(H366="","D","C")</f>
        <v>D</v>
      </c>
      <c r="P366" s="14" t="s">
        <v>4438</v>
      </c>
    </row>
    <row r="367" customFormat="false" ht="32.8" hidden="false" customHeight="false" outlineLevel="0" collapsed="false">
      <c r="A367" s="13" t="s">
        <v>1055</v>
      </c>
      <c r="B367" s="13" t="s">
        <v>3846</v>
      </c>
      <c r="C367" s="14" t="s">
        <v>1056</v>
      </c>
      <c r="D367" s="14" t="s">
        <v>3847</v>
      </c>
      <c r="E367" s="25"/>
      <c r="F367" s="13" t="s">
        <v>4386</v>
      </c>
      <c r="G367" s="24"/>
      <c r="H367" s="24" t="str">
        <f aca="false">IF(OR($E367="",Settings!$B$22="",Settings!$B$23=""),"",$E367*60*Settings!$B$7/($E367/Settings!$B$36*Settings!$B$37+1.5+2*60/Settings!$B$22+2*60/Settings!$B$23)*0.8)</f>
        <v/>
      </c>
      <c r="I367" s="24"/>
      <c r="J367" s="13" t="s">
        <v>3838</v>
      </c>
      <c r="K367" s="13" t="s">
        <v>4136</v>
      </c>
      <c r="L367" s="14" t="s">
        <v>4422</v>
      </c>
      <c r="M367" s="14" t="s">
        <v>4440</v>
      </c>
      <c r="N367" s="13" t="s">
        <v>4437</v>
      </c>
      <c r="O367" s="13" t="str">
        <f aca="false">IF(H367="","D","C")</f>
        <v>D</v>
      </c>
      <c r="P367" s="14" t="s">
        <v>4438</v>
      </c>
    </row>
    <row r="368" customFormat="false" ht="32.8" hidden="false" customHeight="false" outlineLevel="0" collapsed="false">
      <c r="A368" s="13" t="s">
        <v>1060</v>
      </c>
      <c r="B368" s="13" t="s">
        <v>3481</v>
      </c>
      <c r="C368" s="14" t="s">
        <v>1061</v>
      </c>
      <c r="D368" s="14" t="s">
        <v>3843</v>
      </c>
      <c r="E368" s="25"/>
      <c r="F368" s="13" t="s">
        <v>4386</v>
      </c>
      <c r="G368" s="24"/>
      <c r="H368" s="24" t="str">
        <f aca="false">IF(OR($E368="",Settings!$B$22="",Settings!$B$23=""),"",$E368*60*Settings!$B$7/($E368/Settings!$B$36*Settings!$B$37+1.5+1*60/Settings!$B$22+1*60/Settings!$B$23)*0.8)</f>
        <v/>
      </c>
      <c r="I368" s="24"/>
      <c r="J368" s="13" t="s">
        <v>3838</v>
      </c>
      <c r="K368" s="13" t="s">
        <v>4136</v>
      </c>
      <c r="L368" s="14" t="s">
        <v>4420</v>
      </c>
      <c r="M368" s="14" t="s">
        <v>4439</v>
      </c>
      <c r="N368" s="13" t="s">
        <v>4437</v>
      </c>
      <c r="O368" s="13" t="str">
        <f aca="false">IF(H368="","D","C")</f>
        <v>D</v>
      </c>
      <c r="P368" s="14" t="s">
        <v>4438</v>
      </c>
    </row>
    <row r="369" customFormat="false" ht="32.8" hidden="false" customHeight="false" outlineLevel="0" collapsed="false">
      <c r="A369" s="13" t="s">
        <v>1060</v>
      </c>
      <c r="B369" s="13" t="s">
        <v>3846</v>
      </c>
      <c r="C369" s="14" t="s">
        <v>1061</v>
      </c>
      <c r="D369" s="14" t="s">
        <v>3847</v>
      </c>
      <c r="E369" s="25"/>
      <c r="F369" s="13" t="s">
        <v>4386</v>
      </c>
      <c r="G369" s="24"/>
      <c r="H369" s="24" t="str">
        <f aca="false">IF(OR($E369="",Settings!$B$22="",Settings!$B$23=""),"",$E369*60*Settings!$B$7/($E369/Settings!$B$36*Settings!$B$37+1.5+2*60/Settings!$B$22+2*60/Settings!$B$23)*0.8)</f>
        <v/>
      </c>
      <c r="I369" s="24"/>
      <c r="J369" s="13" t="s">
        <v>3838</v>
      </c>
      <c r="K369" s="13" t="s">
        <v>4136</v>
      </c>
      <c r="L369" s="14" t="s">
        <v>4422</v>
      </c>
      <c r="M369" s="14" t="s">
        <v>4440</v>
      </c>
      <c r="N369" s="13" t="s">
        <v>4437</v>
      </c>
      <c r="O369" s="13" t="str">
        <f aca="false">IF(H369="","D","C")</f>
        <v>D</v>
      </c>
      <c r="P369" s="14" t="s">
        <v>4438</v>
      </c>
    </row>
    <row r="370" customFormat="false" ht="22.35" hidden="false" customHeight="false" outlineLevel="0" collapsed="false">
      <c r="A370" s="13" t="s">
        <v>1156</v>
      </c>
      <c r="B370" s="13" t="s">
        <v>1165</v>
      </c>
      <c r="C370" s="14" t="s">
        <v>1160</v>
      </c>
      <c r="D370" s="14" t="s">
        <v>3901</v>
      </c>
      <c r="E370" s="13"/>
      <c r="F370" s="13"/>
      <c r="G370" s="24" t="n">
        <f aca="false">9750/6*Settings!$B$7*3/12/27</f>
        <v>12.4884259259259</v>
      </c>
      <c r="H370" s="24" t="n">
        <f aca="false">9750/5*Settings!$B$7*4/12/27</f>
        <v>19.9814814814815</v>
      </c>
      <c r="I370" s="24" t="n">
        <f aca="false">9750/4*Settings!$B$7*5/12/27</f>
        <v>31.2210648148148</v>
      </c>
      <c r="J370" s="13" t="s">
        <v>3884</v>
      </c>
      <c r="K370" s="13" t="s">
        <v>4441</v>
      </c>
      <c r="L370" s="14" t="s">
        <v>4442</v>
      </c>
      <c r="M370" s="14" t="s">
        <v>4443</v>
      </c>
      <c r="N370" s="13" t="s">
        <v>4444</v>
      </c>
      <c r="O370" s="13" t="s">
        <v>193</v>
      </c>
      <c r="P370" s="14"/>
    </row>
    <row r="371" customFormat="false" ht="32.8" hidden="false" customHeight="false" outlineLevel="0" collapsed="false">
      <c r="A371" s="13" t="s">
        <v>1167</v>
      </c>
      <c r="B371" s="13" t="s">
        <v>1165</v>
      </c>
      <c r="C371" s="14" t="s">
        <v>1169</v>
      </c>
      <c r="D371" s="14" t="s">
        <v>3901</v>
      </c>
      <c r="E371" s="13"/>
      <c r="F371" s="13"/>
      <c r="G371" s="24" t="n">
        <f aca="false">8550/6*Settings!$B$7*3/12/27</f>
        <v>10.9513888888889</v>
      </c>
      <c r="H371" s="24" t="n">
        <f aca="false">8550/5*Settings!$B$7*4/12/27</f>
        <v>17.5222222222222</v>
      </c>
      <c r="I371" s="24" t="n">
        <f aca="false">8550/4*Settings!$B$7*5/12/27</f>
        <v>27.3784722222222</v>
      </c>
      <c r="J371" s="13" t="s">
        <v>3884</v>
      </c>
      <c r="K371" s="13" t="s">
        <v>4441</v>
      </c>
      <c r="L371" s="14" t="s">
        <v>4445</v>
      </c>
      <c r="M371" s="14" t="s">
        <v>4446</v>
      </c>
      <c r="N371" s="13" t="s">
        <v>4447</v>
      </c>
      <c r="O371" s="13" t="s">
        <v>193</v>
      </c>
      <c r="P371" s="14" t="s">
        <v>4448</v>
      </c>
    </row>
    <row r="372" customFormat="false" ht="32.8" hidden="false" customHeight="false" outlineLevel="0" collapsed="false">
      <c r="A372" s="13" t="s">
        <v>1167</v>
      </c>
      <c r="B372" s="13" t="s">
        <v>1199</v>
      </c>
      <c r="C372" s="14" t="s">
        <v>1169</v>
      </c>
      <c r="D372" s="14" t="s">
        <v>3898</v>
      </c>
      <c r="E372" s="13"/>
      <c r="F372" s="13"/>
      <c r="G372" s="24" t="n">
        <f aca="false">8550/6*Settings!$B$7*3/12/27</f>
        <v>10.9513888888889</v>
      </c>
      <c r="H372" s="24" t="n">
        <f aca="false">8550/5*Settings!$B$7*4/12/27</f>
        <v>17.5222222222222</v>
      </c>
      <c r="I372" s="24" t="n">
        <f aca="false">8550/4*Settings!$B$7*5/12/27</f>
        <v>27.3784722222222</v>
      </c>
      <c r="J372" s="13" t="s">
        <v>3884</v>
      </c>
      <c r="K372" s="13" t="s">
        <v>4441</v>
      </c>
      <c r="L372" s="14" t="s">
        <v>4445</v>
      </c>
      <c r="M372" s="14" t="s">
        <v>4446</v>
      </c>
      <c r="N372" s="13" t="s">
        <v>4447</v>
      </c>
      <c r="O372" s="13" t="s">
        <v>193</v>
      </c>
      <c r="P372" s="14" t="s">
        <v>4448</v>
      </c>
    </row>
    <row r="373" customFormat="false" ht="22.35" hidden="false" customHeight="false" outlineLevel="0" collapsed="false">
      <c r="A373" s="13" t="s">
        <v>1173</v>
      </c>
      <c r="B373" s="13" t="s">
        <v>1180</v>
      </c>
      <c r="C373" s="14" t="s">
        <v>1176</v>
      </c>
      <c r="D373" s="14" t="s">
        <v>3905</v>
      </c>
      <c r="E373" s="13"/>
      <c r="F373" s="13"/>
      <c r="G373" s="24" t="n">
        <f aca="false">1590/6*Settings!$B$7*2/12/27</f>
        <v>1.35771604938272</v>
      </c>
      <c r="H373" s="24" t="n">
        <f aca="false">1590/5*Settings!$B$7*2.5/12/27</f>
        <v>2.03657407407407</v>
      </c>
      <c r="I373" s="24" t="n">
        <f aca="false">1590/4*Settings!$B$7*3/12/27</f>
        <v>3.05486111111111</v>
      </c>
      <c r="J373" s="13" t="s">
        <v>3884</v>
      </c>
      <c r="K373" s="13" t="s">
        <v>4441</v>
      </c>
      <c r="L373" s="14" t="s">
        <v>4449</v>
      </c>
      <c r="M373" s="14" t="s">
        <v>4450</v>
      </c>
      <c r="N373" s="13" t="s">
        <v>4451</v>
      </c>
      <c r="O373" s="13" t="s">
        <v>193</v>
      </c>
      <c r="P373" s="14"/>
    </row>
    <row r="374" customFormat="false" ht="32.8" hidden="false" customHeight="false" outlineLevel="0" collapsed="false">
      <c r="A374" s="13" t="s">
        <v>1191</v>
      </c>
      <c r="B374" s="13" t="s">
        <v>1199</v>
      </c>
      <c r="C374" s="14" t="s">
        <v>1194</v>
      </c>
      <c r="D374" s="14" t="s">
        <v>3898</v>
      </c>
      <c r="E374" s="23" t="n">
        <v>33</v>
      </c>
      <c r="F374" s="13" t="s">
        <v>4452</v>
      </c>
      <c r="G374" s="24" t="n">
        <f aca="false">IF($E374="","",16.3*($E374/12)*1.14*4*Settings!$B$7/6)</f>
        <v>28.27561</v>
      </c>
      <c r="H374" s="24" t="n">
        <f aca="false">IF($E374="","",16.3*($E374/12)*1.75*4*Settings!$B$7/5)</f>
        <v>52.08665</v>
      </c>
      <c r="I374" s="24" t="n">
        <f aca="false">IF($E374="","",16.3*($E374/12)*2.37*4*Settings!$B$7/4)</f>
        <v>88.1752575</v>
      </c>
      <c r="J374" s="13" t="s">
        <v>3884</v>
      </c>
      <c r="K374" s="13" t="s">
        <v>4136</v>
      </c>
      <c r="L374" s="14" t="s">
        <v>4453</v>
      </c>
      <c r="M374" s="14" t="s">
        <v>4454</v>
      </c>
      <c r="N374" s="13" t="s">
        <v>3887</v>
      </c>
      <c r="O374" s="13" t="str">
        <f aca="false">IF(H374="","D","C")</f>
        <v>C</v>
      </c>
      <c r="P374" s="14" t="s">
        <v>4455</v>
      </c>
    </row>
    <row r="375" customFormat="false" ht="22.35" hidden="false" customHeight="false" outlineLevel="0" collapsed="false">
      <c r="A375" s="13" t="s">
        <v>1201</v>
      </c>
      <c r="B375" s="13" t="s">
        <v>1207</v>
      </c>
      <c r="C375" s="14" t="s">
        <v>1204</v>
      </c>
      <c r="D375" s="14" t="s">
        <v>3895</v>
      </c>
      <c r="E375" s="23" t="n">
        <v>84</v>
      </c>
      <c r="F375" s="13" t="s">
        <v>4452</v>
      </c>
      <c r="G375" s="24" t="n">
        <f aca="false">IF($E375="","",16.3*($E375/12)*1.14*6*Settings!$B$7/6)</f>
        <v>107.96142</v>
      </c>
      <c r="H375" s="24" t="n">
        <f aca="false">IF($E375="","",16.3*($E375/12)*1.75*6*Settings!$B$7/5)</f>
        <v>198.8763</v>
      </c>
      <c r="I375" s="24" t="n">
        <f aca="false">IF($E375="","",16.3*($E375/12)*2.37*6*Settings!$B$7/4)</f>
        <v>336.669165</v>
      </c>
      <c r="J375" s="13" t="s">
        <v>3884</v>
      </c>
      <c r="K375" s="13" t="s">
        <v>4136</v>
      </c>
      <c r="L375" s="14" t="s">
        <v>4456</v>
      </c>
      <c r="M375" s="14" t="s">
        <v>4457</v>
      </c>
      <c r="N375" s="13" t="s">
        <v>3887</v>
      </c>
      <c r="O375" s="13" t="str">
        <f aca="false">IF(H375="","D","C")</f>
        <v>C</v>
      </c>
      <c r="P375" s="14"/>
    </row>
    <row r="376" customFormat="false" ht="22.35" hidden="false" customHeight="false" outlineLevel="0" collapsed="false">
      <c r="A376" s="13" t="s">
        <v>1209</v>
      </c>
      <c r="B376" s="13" t="s">
        <v>1252</v>
      </c>
      <c r="C376" s="14" t="s">
        <v>1212</v>
      </c>
      <c r="D376" s="14" t="s">
        <v>3883</v>
      </c>
      <c r="E376" s="23" t="n">
        <v>50</v>
      </c>
      <c r="F376" s="13" t="s">
        <v>4452</v>
      </c>
      <c r="G376" s="24" t="n">
        <f aca="false">IF($E376="","",16.3*($E376/12)*1.14*6*Settings!$B$7/6)</f>
        <v>64.26275</v>
      </c>
      <c r="H376" s="24" t="n">
        <f aca="false">IF($E376="","",16.3*($E376/12)*1.75*6*Settings!$B$7/5)</f>
        <v>118.37875</v>
      </c>
      <c r="I376" s="24" t="n">
        <f aca="false">IF($E376="","",16.3*($E376/12)*2.37*6*Settings!$B$7/4)</f>
        <v>200.3983125</v>
      </c>
      <c r="J376" s="13" t="s">
        <v>3884</v>
      </c>
      <c r="K376" s="13" t="s">
        <v>4136</v>
      </c>
      <c r="L376" s="14" t="s">
        <v>4456</v>
      </c>
      <c r="M376" s="14" t="s">
        <v>4458</v>
      </c>
      <c r="N376" s="13" t="s">
        <v>3887</v>
      </c>
      <c r="O376" s="13" t="str">
        <f aca="false">IF(H376="","D","C")</f>
        <v>C</v>
      </c>
      <c r="P376" s="14"/>
    </row>
    <row r="377" customFormat="false" ht="22.35" hidden="false" customHeight="false" outlineLevel="0" collapsed="false">
      <c r="A377" s="13" t="s">
        <v>1209</v>
      </c>
      <c r="B377" s="13" t="s">
        <v>3888</v>
      </c>
      <c r="C377" s="14" t="s">
        <v>1212</v>
      </c>
      <c r="D377" s="14" t="s">
        <v>3889</v>
      </c>
      <c r="E377" s="23" t="n">
        <v>50</v>
      </c>
      <c r="F377" s="13" t="s">
        <v>4452</v>
      </c>
      <c r="G377" s="24" t="n">
        <f aca="false">IF($E377="","",16.3*($E377/12)*1.14*8*Settings!$B$7/6)</f>
        <v>85.6836666666667</v>
      </c>
      <c r="H377" s="24" t="n">
        <f aca="false">IF($E377="","",16.3*($E377/12)*1.75*8*Settings!$B$7/5)</f>
        <v>157.838333333333</v>
      </c>
      <c r="I377" s="24" t="n">
        <f aca="false">IF($E377="","",16.3*($E377/12)*2.37*8*Settings!$B$7/4)</f>
        <v>267.19775</v>
      </c>
      <c r="J377" s="13" t="s">
        <v>3884</v>
      </c>
      <c r="K377" s="13" t="s">
        <v>4136</v>
      </c>
      <c r="L377" s="14" t="s">
        <v>4459</v>
      </c>
      <c r="M377" s="14" t="s">
        <v>4460</v>
      </c>
      <c r="N377" s="13" t="s">
        <v>3887</v>
      </c>
      <c r="O377" s="13" t="str">
        <f aca="false">IF(H377="","D","C")</f>
        <v>C</v>
      </c>
      <c r="P377" s="14"/>
    </row>
    <row r="378" customFormat="false" ht="22.35" hidden="false" customHeight="false" outlineLevel="0" collapsed="false">
      <c r="A378" s="13" t="s">
        <v>1217</v>
      </c>
      <c r="B378" s="13" t="s">
        <v>1252</v>
      </c>
      <c r="C378" s="14" t="s">
        <v>1219</v>
      </c>
      <c r="D378" s="14" t="s">
        <v>3883</v>
      </c>
      <c r="E378" s="23" t="n">
        <v>66</v>
      </c>
      <c r="F378" s="13" t="s">
        <v>4452</v>
      </c>
      <c r="G378" s="24" t="n">
        <f aca="false">IF($E378="","",16.3*($E378/12)*1.14*6*Settings!$B$7/6)</f>
        <v>84.82683</v>
      </c>
      <c r="H378" s="24" t="n">
        <f aca="false">IF($E378="","",16.3*($E378/12)*1.75*6*Settings!$B$7/5)</f>
        <v>156.25995</v>
      </c>
      <c r="I378" s="24" t="n">
        <f aca="false">IF($E378="","",16.3*($E378/12)*2.37*6*Settings!$B$7/4)</f>
        <v>264.5257725</v>
      </c>
      <c r="J378" s="13" t="s">
        <v>3884</v>
      </c>
      <c r="K378" s="13" t="s">
        <v>4136</v>
      </c>
      <c r="L378" s="14" t="s">
        <v>4456</v>
      </c>
      <c r="M378" s="14" t="s">
        <v>4461</v>
      </c>
      <c r="N378" s="13" t="s">
        <v>3887</v>
      </c>
      <c r="O378" s="13" t="str">
        <f aca="false">IF(H378="","D","C")</f>
        <v>C</v>
      </c>
      <c r="P378" s="14"/>
    </row>
    <row r="379" customFormat="false" ht="22.35" hidden="false" customHeight="false" outlineLevel="0" collapsed="false">
      <c r="A379" s="13" t="s">
        <v>1217</v>
      </c>
      <c r="B379" s="13" t="s">
        <v>3888</v>
      </c>
      <c r="C379" s="14" t="s">
        <v>1219</v>
      </c>
      <c r="D379" s="14" t="s">
        <v>3889</v>
      </c>
      <c r="E379" s="23" t="n">
        <v>66</v>
      </c>
      <c r="F379" s="13" t="s">
        <v>4452</v>
      </c>
      <c r="G379" s="24" t="n">
        <f aca="false">IF($E379="","",16.3*($E379/12)*1.14*8*Settings!$B$7/6)</f>
        <v>113.10244</v>
      </c>
      <c r="H379" s="24" t="n">
        <f aca="false">IF($E379="","",16.3*($E379/12)*1.75*8*Settings!$B$7/5)</f>
        <v>208.3466</v>
      </c>
      <c r="I379" s="24" t="n">
        <f aca="false">IF($E379="","",16.3*($E379/12)*2.37*8*Settings!$B$7/4)</f>
        <v>352.70103</v>
      </c>
      <c r="J379" s="13" t="s">
        <v>3884</v>
      </c>
      <c r="K379" s="13" t="s">
        <v>4136</v>
      </c>
      <c r="L379" s="14" t="s">
        <v>4459</v>
      </c>
      <c r="M379" s="14" t="s">
        <v>4462</v>
      </c>
      <c r="N379" s="13" t="s">
        <v>3887</v>
      </c>
      <c r="O379" s="13" t="str">
        <f aca="false">IF(H379="","D","C")</f>
        <v>C</v>
      </c>
      <c r="P379" s="14"/>
    </row>
    <row r="380" customFormat="false" ht="22.35" hidden="false" customHeight="false" outlineLevel="0" collapsed="false">
      <c r="A380" s="13" t="s">
        <v>1223</v>
      </c>
      <c r="B380" s="13" t="s">
        <v>1252</v>
      </c>
      <c r="C380" s="14" t="s">
        <v>1225</v>
      </c>
      <c r="D380" s="14" t="s">
        <v>3883</v>
      </c>
      <c r="E380" s="23" t="n">
        <v>66</v>
      </c>
      <c r="F380" s="13" t="s">
        <v>4452</v>
      </c>
      <c r="G380" s="24" t="n">
        <f aca="false">IF($E380="","",16.3*($E380/12)*1.14*6*Settings!$B$7/6)</f>
        <v>84.82683</v>
      </c>
      <c r="H380" s="24" t="n">
        <f aca="false">IF($E380="","",16.3*($E380/12)*1.75*6*Settings!$B$7/5)</f>
        <v>156.25995</v>
      </c>
      <c r="I380" s="24" t="n">
        <f aca="false">IF($E380="","",16.3*($E380/12)*2.37*6*Settings!$B$7/4)</f>
        <v>264.5257725</v>
      </c>
      <c r="J380" s="13" t="s">
        <v>3884</v>
      </c>
      <c r="K380" s="13" t="s">
        <v>4136</v>
      </c>
      <c r="L380" s="14" t="s">
        <v>4456</v>
      </c>
      <c r="M380" s="14" t="s">
        <v>4461</v>
      </c>
      <c r="N380" s="13" t="s">
        <v>3887</v>
      </c>
      <c r="O380" s="13" t="str">
        <f aca="false">IF(H380="","D","C")</f>
        <v>C</v>
      </c>
      <c r="P380" s="14"/>
    </row>
    <row r="381" customFormat="false" ht="22.35" hidden="false" customHeight="false" outlineLevel="0" collapsed="false">
      <c r="A381" s="13" t="s">
        <v>1223</v>
      </c>
      <c r="B381" s="13" t="s">
        <v>3888</v>
      </c>
      <c r="C381" s="14" t="s">
        <v>1225</v>
      </c>
      <c r="D381" s="14" t="s">
        <v>3889</v>
      </c>
      <c r="E381" s="23" t="n">
        <v>66</v>
      </c>
      <c r="F381" s="13" t="s">
        <v>4452</v>
      </c>
      <c r="G381" s="24" t="n">
        <f aca="false">IF($E381="","",16.3*($E381/12)*1.14*8*Settings!$B$7/6)</f>
        <v>113.10244</v>
      </c>
      <c r="H381" s="24" t="n">
        <f aca="false">IF($E381="","",16.3*($E381/12)*1.75*8*Settings!$B$7/5)</f>
        <v>208.3466</v>
      </c>
      <c r="I381" s="24" t="n">
        <f aca="false">IF($E381="","",16.3*($E381/12)*2.37*8*Settings!$B$7/4)</f>
        <v>352.70103</v>
      </c>
      <c r="J381" s="13" t="s">
        <v>3884</v>
      </c>
      <c r="K381" s="13" t="s">
        <v>4136</v>
      </c>
      <c r="L381" s="14" t="s">
        <v>4459</v>
      </c>
      <c r="M381" s="14" t="s">
        <v>4462</v>
      </c>
      <c r="N381" s="13" t="s">
        <v>3887</v>
      </c>
      <c r="O381" s="13" t="str">
        <f aca="false">IF(H381="","D","C")</f>
        <v>C</v>
      </c>
      <c r="P381" s="14"/>
    </row>
    <row r="382" customFormat="false" ht="22.35" hidden="false" customHeight="false" outlineLevel="0" collapsed="false">
      <c r="A382" s="13" t="s">
        <v>1228</v>
      </c>
      <c r="B382" s="13" t="s">
        <v>1252</v>
      </c>
      <c r="C382" s="14" t="s">
        <v>1230</v>
      </c>
      <c r="D382" s="14" t="s">
        <v>3883</v>
      </c>
      <c r="E382" s="23" t="n">
        <v>84</v>
      </c>
      <c r="F382" s="13" t="s">
        <v>4452</v>
      </c>
      <c r="G382" s="24" t="n">
        <f aca="false">IF($E382="","",16.3*($E382/12)*1.14*6*Settings!$B$7/6)</f>
        <v>107.96142</v>
      </c>
      <c r="H382" s="24" t="n">
        <f aca="false">IF($E382="","",16.3*($E382/12)*1.75*6*Settings!$B$7/5)</f>
        <v>198.8763</v>
      </c>
      <c r="I382" s="24" t="n">
        <f aca="false">IF($E382="","",16.3*($E382/12)*2.37*6*Settings!$B$7/4)</f>
        <v>336.669165</v>
      </c>
      <c r="J382" s="13" t="s">
        <v>3884</v>
      </c>
      <c r="K382" s="13" t="s">
        <v>4136</v>
      </c>
      <c r="L382" s="14" t="s">
        <v>4456</v>
      </c>
      <c r="M382" s="14" t="s">
        <v>4457</v>
      </c>
      <c r="N382" s="13" t="s">
        <v>3887</v>
      </c>
      <c r="O382" s="13" t="str">
        <f aca="false">IF(H382="","D","C")</f>
        <v>C</v>
      </c>
      <c r="P382" s="14"/>
    </row>
    <row r="383" customFormat="false" ht="22.35" hidden="false" customHeight="false" outlineLevel="0" collapsed="false">
      <c r="A383" s="13" t="s">
        <v>1228</v>
      </c>
      <c r="B383" s="13" t="s">
        <v>3888</v>
      </c>
      <c r="C383" s="14" t="s">
        <v>1230</v>
      </c>
      <c r="D383" s="14" t="s">
        <v>3889</v>
      </c>
      <c r="E383" s="23" t="n">
        <v>84</v>
      </c>
      <c r="F383" s="13" t="s">
        <v>4452</v>
      </c>
      <c r="G383" s="24" t="n">
        <f aca="false">IF($E383="","",16.3*($E383/12)*1.14*8*Settings!$B$7/6)</f>
        <v>143.94856</v>
      </c>
      <c r="H383" s="24" t="n">
        <f aca="false">IF($E383="","",16.3*($E383/12)*1.75*8*Settings!$B$7/5)</f>
        <v>265.1684</v>
      </c>
      <c r="I383" s="24" t="n">
        <f aca="false">IF($E383="","",16.3*($E383/12)*2.37*8*Settings!$B$7/4)</f>
        <v>448.89222</v>
      </c>
      <c r="J383" s="13" t="s">
        <v>3884</v>
      </c>
      <c r="K383" s="13" t="s">
        <v>4136</v>
      </c>
      <c r="L383" s="14" t="s">
        <v>4459</v>
      </c>
      <c r="M383" s="14" t="s">
        <v>4463</v>
      </c>
      <c r="N383" s="13" t="s">
        <v>3887</v>
      </c>
      <c r="O383" s="13" t="str">
        <f aca="false">IF(H383="","D","C")</f>
        <v>C</v>
      </c>
      <c r="P383" s="14"/>
    </row>
    <row r="384" customFormat="false" ht="32.8" hidden="false" customHeight="false" outlineLevel="0" collapsed="false">
      <c r="A384" s="13" t="s">
        <v>1228</v>
      </c>
      <c r="B384" s="13" t="s">
        <v>3891</v>
      </c>
      <c r="C384" s="14" t="s">
        <v>1230</v>
      </c>
      <c r="D384" s="14" t="s">
        <v>3892</v>
      </c>
      <c r="E384" s="23" t="n">
        <v>84</v>
      </c>
      <c r="F384" s="13" t="s">
        <v>4452</v>
      </c>
      <c r="G384" s="24" t="n">
        <f aca="false">IF($E384="","",16.3*($E384/12)*1.14*12*Settings!$B$7/6)</f>
        <v>215.92284</v>
      </c>
      <c r="H384" s="24" t="n">
        <f aca="false">IF($E384="","",16.3*($E384/12)*1.75*12*Settings!$B$7/5)</f>
        <v>397.7526</v>
      </c>
      <c r="I384" s="24" t="n">
        <f aca="false">IF($E384="","",16.3*($E384/12)*2.37*12*Settings!$B$7/4)</f>
        <v>673.33833</v>
      </c>
      <c r="J384" s="13" t="s">
        <v>3884</v>
      </c>
      <c r="K384" s="13" t="s">
        <v>4136</v>
      </c>
      <c r="L384" s="14" t="s">
        <v>4464</v>
      </c>
      <c r="M384" s="14" t="s">
        <v>4465</v>
      </c>
      <c r="N384" s="13" t="s">
        <v>3887</v>
      </c>
      <c r="O384" s="13" t="str">
        <f aca="false">IF(H384="","D","C")</f>
        <v>C</v>
      </c>
      <c r="P384" s="14"/>
    </row>
    <row r="385" customFormat="false" ht="22.35" hidden="false" customHeight="false" outlineLevel="0" collapsed="false">
      <c r="A385" s="13" t="s">
        <v>1237</v>
      </c>
      <c r="B385" s="13" t="s">
        <v>1252</v>
      </c>
      <c r="C385" s="14" t="s">
        <v>1239</v>
      </c>
      <c r="D385" s="14" t="s">
        <v>3883</v>
      </c>
      <c r="E385" s="23" t="n">
        <v>84</v>
      </c>
      <c r="F385" s="13" t="s">
        <v>4452</v>
      </c>
      <c r="G385" s="24" t="n">
        <f aca="false">IF($E385="","",16.3*($E385/12)*1.14*6*Settings!$B$7/6)</f>
        <v>107.96142</v>
      </c>
      <c r="H385" s="24" t="n">
        <f aca="false">IF($E385="","",16.3*($E385/12)*1.75*6*Settings!$B$7/5)</f>
        <v>198.8763</v>
      </c>
      <c r="I385" s="24" t="n">
        <f aca="false">IF($E385="","",16.3*($E385/12)*2.37*6*Settings!$B$7/4)</f>
        <v>336.669165</v>
      </c>
      <c r="J385" s="13" t="s">
        <v>3884</v>
      </c>
      <c r="K385" s="13" t="s">
        <v>4136</v>
      </c>
      <c r="L385" s="14" t="s">
        <v>4456</v>
      </c>
      <c r="M385" s="14" t="s">
        <v>4457</v>
      </c>
      <c r="N385" s="13" t="s">
        <v>3887</v>
      </c>
      <c r="O385" s="13" t="str">
        <f aca="false">IF(H385="","D","C")</f>
        <v>C</v>
      </c>
      <c r="P385" s="14"/>
    </row>
    <row r="386" customFormat="false" ht="22.35" hidden="false" customHeight="false" outlineLevel="0" collapsed="false">
      <c r="A386" s="13" t="s">
        <v>1237</v>
      </c>
      <c r="B386" s="13" t="s">
        <v>3888</v>
      </c>
      <c r="C386" s="14" t="s">
        <v>1239</v>
      </c>
      <c r="D386" s="14" t="s">
        <v>3889</v>
      </c>
      <c r="E386" s="23" t="n">
        <v>84</v>
      </c>
      <c r="F386" s="13" t="s">
        <v>4452</v>
      </c>
      <c r="G386" s="24" t="n">
        <f aca="false">IF($E386="","",16.3*($E386/12)*1.14*8*Settings!$B$7/6)</f>
        <v>143.94856</v>
      </c>
      <c r="H386" s="24" t="n">
        <f aca="false">IF($E386="","",16.3*($E386/12)*1.75*8*Settings!$B$7/5)</f>
        <v>265.1684</v>
      </c>
      <c r="I386" s="24" t="n">
        <f aca="false">IF($E386="","",16.3*($E386/12)*2.37*8*Settings!$B$7/4)</f>
        <v>448.89222</v>
      </c>
      <c r="J386" s="13" t="s">
        <v>3884</v>
      </c>
      <c r="K386" s="13" t="s">
        <v>4136</v>
      </c>
      <c r="L386" s="14" t="s">
        <v>4459</v>
      </c>
      <c r="M386" s="14" t="s">
        <v>4463</v>
      </c>
      <c r="N386" s="13" t="s">
        <v>3887</v>
      </c>
      <c r="O386" s="13" t="str">
        <f aca="false">IF(H386="","D","C")</f>
        <v>C</v>
      </c>
      <c r="P386" s="14"/>
    </row>
    <row r="387" customFormat="false" ht="32.8" hidden="false" customHeight="false" outlineLevel="0" collapsed="false">
      <c r="A387" s="13" t="s">
        <v>1237</v>
      </c>
      <c r="B387" s="13" t="s">
        <v>3891</v>
      </c>
      <c r="C387" s="14" t="s">
        <v>1239</v>
      </c>
      <c r="D387" s="14" t="s">
        <v>3892</v>
      </c>
      <c r="E387" s="23" t="n">
        <v>84</v>
      </c>
      <c r="F387" s="13" t="s">
        <v>4452</v>
      </c>
      <c r="G387" s="24" t="n">
        <f aca="false">IF($E387="","",16.3*($E387/12)*1.14*12*Settings!$B$7/6)</f>
        <v>215.92284</v>
      </c>
      <c r="H387" s="24" t="n">
        <f aca="false">IF($E387="","",16.3*($E387/12)*1.75*12*Settings!$B$7/5)</f>
        <v>397.7526</v>
      </c>
      <c r="I387" s="24" t="n">
        <f aca="false">IF($E387="","",16.3*($E387/12)*2.37*12*Settings!$B$7/4)</f>
        <v>673.33833</v>
      </c>
      <c r="J387" s="13" t="s">
        <v>3884</v>
      </c>
      <c r="K387" s="13" t="s">
        <v>4136</v>
      </c>
      <c r="L387" s="14" t="s">
        <v>4464</v>
      </c>
      <c r="M387" s="14" t="s">
        <v>4465</v>
      </c>
      <c r="N387" s="13" t="s">
        <v>3887</v>
      </c>
      <c r="O387" s="13" t="str">
        <f aca="false">IF(H387="","D","C")</f>
        <v>C</v>
      </c>
      <c r="P387" s="14"/>
    </row>
    <row r="388" customFormat="false" ht="22.35" hidden="false" customHeight="false" outlineLevel="0" collapsed="false">
      <c r="A388" s="13" t="s">
        <v>1242</v>
      </c>
      <c r="B388" s="13" t="s">
        <v>1252</v>
      </c>
      <c r="C388" s="14" t="s">
        <v>1243</v>
      </c>
      <c r="D388" s="14" t="s">
        <v>3883</v>
      </c>
      <c r="E388" s="23" t="n">
        <v>84</v>
      </c>
      <c r="F388" s="13" t="s">
        <v>4452</v>
      </c>
      <c r="G388" s="24" t="n">
        <f aca="false">IF($E388="","",16.3*($E388/12)*1.14*6*Settings!$B$7/6)</f>
        <v>107.96142</v>
      </c>
      <c r="H388" s="24" t="n">
        <f aca="false">IF($E388="","",16.3*($E388/12)*1.75*6*Settings!$B$7/5)</f>
        <v>198.8763</v>
      </c>
      <c r="I388" s="24" t="n">
        <f aca="false">IF($E388="","",16.3*($E388/12)*2.37*6*Settings!$B$7/4)</f>
        <v>336.669165</v>
      </c>
      <c r="J388" s="13" t="s">
        <v>3884</v>
      </c>
      <c r="K388" s="13" t="s">
        <v>4136</v>
      </c>
      <c r="L388" s="14" t="s">
        <v>4456</v>
      </c>
      <c r="M388" s="14" t="s">
        <v>4457</v>
      </c>
      <c r="N388" s="13" t="s">
        <v>3887</v>
      </c>
      <c r="O388" s="13" t="str">
        <f aca="false">IF(H388="","D","C")</f>
        <v>C</v>
      </c>
      <c r="P388" s="14"/>
    </row>
    <row r="389" customFormat="false" ht="22.35" hidden="false" customHeight="false" outlineLevel="0" collapsed="false">
      <c r="A389" s="13" t="s">
        <v>1242</v>
      </c>
      <c r="B389" s="13" t="s">
        <v>3888</v>
      </c>
      <c r="C389" s="14" t="s">
        <v>1243</v>
      </c>
      <c r="D389" s="14" t="s">
        <v>3889</v>
      </c>
      <c r="E389" s="23" t="n">
        <v>84</v>
      </c>
      <c r="F389" s="13" t="s">
        <v>4452</v>
      </c>
      <c r="G389" s="24" t="n">
        <f aca="false">IF($E389="","",16.3*($E389/12)*1.14*8*Settings!$B$7/6)</f>
        <v>143.94856</v>
      </c>
      <c r="H389" s="24" t="n">
        <f aca="false">IF($E389="","",16.3*($E389/12)*1.75*8*Settings!$B$7/5)</f>
        <v>265.1684</v>
      </c>
      <c r="I389" s="24" t="n">
        <f aca="false">IF($E389="","",16.3*($E389/12)*2.37*8*Settings!$B$7/4)</f>
        <v>448.89222</v>
      </c>
      <c r="J389" s="13" t="s">
        <v>3884</v>
      </c>
      <c r="K389" s="13" t="s">
        <v>4136</v>
      </c>
      <c r="L389" s="14" t="s">
        <v>4459</v>
      </c>
      <c r="M389" s="14" t="s">
        <v>4463</v>
      </c>
      <c r="N389" s="13" t="s">
        <v>3887</v>
      </c>
      <c r="O389" s="13" t="str">
        <f aca="false">IF(H389="","D","C")</f>
        <v>C</v>
      </c>
      <c r="P389" s="14"/>
    </row>
    <row r="390" customFormat="false" ht="32.8" hidden="false" customHeight="false" outlineLevel="0" collapsed="false">
      <c r="A390" s="13" t="s">
        <v>1242</v>
      </c>
      <c r="B390" s="13" t="s">
        <v>3891</v>
      </c>
      <c r="C390" s="14" t="s">
        <v>1243</v>
      </c>
      <c r="D390" s="14" t="s">
        <v>3892</v>
      </c>
      <c r="E390" s="23" t="n">
        <v>84</v>
      </c>
      <c r="F390" s="13" t="s">
        <v>4452</v>
      </c>
      <c r="G390" s="24" t="n">
        <f aca="false">IF($E390="","",16.3*($E390/12)*1.14*12*Settings!$B$7/6)</f>
        <v>215.92284</v>
      </c>
      <c r="H390" s="24" t="n">
        <f aca="false">IF($E390="","",16.3*($E390/12)*1.75*12*Settings!$B$7/5)</f>
        <v>397.7526</v>
      </c>
      <c r="I390" s="24" t="n">
        <f aca="false">IF($E390="","",16.3*($E390/12)*2.37*12*Settings!$B$7/4)</f>
        <v>673.33833</v>
      </c>
      <c r="J390" s="13" t="s">
        <v>3884</v>
      </c>
      <c r="K390" s="13" t="s">
        <v>4136</v>
      </c>
      <c r="L390" s="14" t="s">
        <v>4464</v>
      </c>
      <c r="M390" s="14" t="s">
        <v>4465</v>
      </c>
      <c r="N390" s="13" t="s">
        <v>3887</v>
      </c>
      <c r="O390" s="13" t="str">
        <f aca="false">IF(H390="","D","C")</f>
        <v>C</v>
      </c>
      <c r="P390" s="14"/>
    </row>
    <row r="391" customFormat="false" ht="22.35" hidden="false" customHeight="false" outlineLevel="0" collapsed="false">
      <c r="A391" s="13" t="s">
        <v>1247</v>
      </c>
      <c r="B391" s="13" t="s">
        <v>1252</v>
      </c>
      <c r="C391" s="14" t="s">
        <v>1249</v>
      </c>
      <c r="D391" s="14" t="s">
        <v>3883</v>
      </c>
      <c r="E391" s="25"/>
      <c r="F391" s="13" t="s">
        <v>4452</v>
      </c>
      <c r="G391" s="24" t="str">
        <f aca="false">IF($E391="","",16.3*($E391/12)*1.14*6*Settings!$B$7/6)</f>
        <v/>
      </c>
      <c r="H391" s="24" t="str">
        <f aca="false">IF($E391="","",16.3*($E391/12)*1.75*6*Settings!$B$7/5)</f>
        <v/>
      </c>
      <c r="I391" s="24" t="str">
        <f aca="false">IF($E391="","",16.3*($E391/12)*2.37*6*Settings!$B$7/4)</f>
        <v/>
      </c>
      <c r="J391" s="13" t="s">
        <v>3884</v>
      </c>
      <c r="K391" s="13" t="s">
        <v>4136</v>
      </c>
      <c r="L391" s="14" t="s">
        <v>4456</v>
      </c>
      <c r="M391" s="14" t="s">
        <v>4466</v>
      </c>
      <c r="N391" s="13" t="s">
        <v>3887</v>
      </c>
      <c r="O391" s="13" t="str">
        <f aca="false">IF(H391="","D","C")</f>
        <v>D</v>
      </c>
      <c r="P391" s="14" t="s">
        <v>4467</v>
      </c>
    </row>
    <row r="392" customFormat="false" ht="22.35" hidden="false" customHeight="false" outlineLevel="0" collapsed="false">
      <c r="A392" s="13" t="s">
        <v>1255</v>
      </c>
      <c r="B392" s="13" t="s">
        <v>1252</v>
      </c>
      <c r="C392" s="14" t="s">
        <v>1257</v>
      </c>
      <c r="D392" s="14" t="s">
        <v>3883</v>
      </c>
      <c r="E392" s="23" t="n">
        <v>51</v>
      </c>
      <c r="F392" s="13" t="s">
        <v>4452</v>
      </c>
      <c r="G392" s="24" t="n">
        <f aca="false">IF($E392="","",16.3*($E392/12)*1.14*6*Settings!$B$7/6)</f>
        <v>65.548005</v>
      </c>
      <c r="H392" s="24" t="n">
        <f aca="false">IF($E392="","",16.3*($E392/12)*1.75*6*Settings!$B$7/5)</f>
        <v>120.746325</v>
      </c>
      <c r="I392" s="24" t="n">
        <f aca="false">IF($E392="","",16.3*($E392/12)*2.37*6*Settings!$B$7/4)</f>
        <v>204.40627875</v>
      </c>
      <c r="J392" s="13" t="s">
        <v>3884</v>
      </c>
      <c r="K392" s="13" t="s">
        <v>4136</v>
      </c>
      <c r="L392" s="14" t="s">
        <v>4456</v>
      </c>
      <c r="M392" s="14" t="s">
        <v>4468</v>
      </c>
      <c r="N392" s="13" t="s">
        <v>3887</v>
      </c>
      <c r="O392" s="13" t="str">
        <f aca="false">IF(H392="","D","C")</f>
        <v>C</v>
      </c>
      <c r="P392" s="14"/>
    </row>
    <row r="393" customFormat="false" ht="22.35" hidden="false" customHeight="false" outlineLevel="0" collapsed="false">
      <c r="A393" s="13" t="s">
        <v>1255</v>
      </c>
      <c r="B393" s="13" t="s">
        <v>3888</v>
      </c>
      <c r="C393" s="14" t="s">
        <v>1257</v>
      </c>
      <c r="D393" s="14" t="s">
        <v>3889</v>
      </c>
      <c r="E393" s="23" t="n">
        <v>51</v>
      </c>
      <c r="F393" s="13" t="s">
        <v>4452</v>
      </c>
      <c r="G393" s="24" t="n">
        <f aca="false">IF($E393="","",16.3*($E393/12)*1.14*8*Settings!$B$7/6)</f>
        <v>87.39734</v>
      </c>
      <c r="H393" s="24" t="n">
        <f aca="false">IF($E393="","",16.3*($E393/12)*1.75*8*Settings!$B$7/5)</f>
        <v>160.9951</v>
      </c>
      <c r="I393" s="24" t="n">
        <f aca="false">IF($E393="","",16.3*($E393/12)*2.37*8*Settings!$B$7/4)</f>
        <v>272.541705</v>
      </c>
      <c r="J393" s="13" t="s">
        <v>3884</v>
      </c>
      <c r="K393" s="13" t="s">
        <v>4136</v>
      </c>
      <c r="L393" s="14" t="s">
        <v>4459</v>
      </c>
      <c r="M393" s="14" t="s">
        <v>4469</v>
      </c>
      <c r="N393" s="13" t="s">
        <v>3887</v>
      </c>
      <c r="O393" s="13" t="str">
        <f aca="false">IF(H393="","D","C")</f>
        <v>C</v>
      </c>
      <c r="P393" s="14"/>
    </row>
    <row r="394" customFormat="false" ht="22.35" hidden="false" customHeight="false" outlineLevel="0" collapsed="false">
      <c r="A394" s="13" t="s">
        <v>1261</v>
      </c>
      <c r="B394" s="13" t="s">
        <v>3888</v>
      </c>
      <c r="C394" s="14" t="s">
        <v>1264</v>
      </c>
      <c r="D394" s="14" t="s">
        <v>3889</v>
      </c>
      <c r="E394" s="25"/>
      <c r="F394" s="13" t="s">
        <v>4452</v>
      </c>
      <c r="G394" s="24" t="str">
        <f aca="false">IF($E394="","",16.3*($E394/12)*1.14*8*Settings!$B$7/6)</f>
        <v/>
      </c>
      <c r="H394" s="24" t="str">
        <f aca="false">IF($E394="","",16.3*($E394/12)*1.75*8*Settings!$B$7/5)</f>
        <v/>
      </c>
      <c r="I394" s="24" t="str">
        <f aca="false">IF($E394="","",16.3*($E394/12)*2.37*8*Settings!$B$7/4)</f>
        <v/>
      </c>
      <c r="J394" s="13" t="s">
        <v>3884</v>
      </c>
      <c r="K394" s="13" t="s">
        <v>4136</v>
      </c>
      <c r="L394" s="14" t="s">
        <v>4459</v>
      </c>
      <c r="M394" s="14" t="s">
        <v>4466</v>
      </c>
      <c r="N394" s="13" t="s">
        <v>3887</v>
      </c>
      <c r="O394" s="13" t="str">
        <f aca="false">IF(H394="","D","C")</f>
        <v>D</v>
      </c>
      <c r="P394" s="14" t="s">
        <v>4467</v>
      </c>
    </row>
    <row r="395" customFormat="false" ht="32.8" hidden="false" customHeight="false" outlineLevel="0" collapsed="false">
      <c r="A395" s="13" t="s">
        <v>1261</v>
      </c>
      <c r="B395" s="13" t="s">
        <v>3891</v>
      </c>
      <c r="C395" s="14" t="s">
        <v>1264</v>
      </c>
      <c r="D395" s="14" t="s">
        <v>3892</v>
      </c>
      <c r="E395" s="25"/>
      <c r="F395" s="13" t="s">
        <v>4452</v>
      </c>
      <c r="G395" s="24" t="str">
        <f aca="false">IF($E395="","",16.3*($E395/12)*1.14*12*Settings!$B$7/6)</f>
        <v/>
      </c>
      <c r="H395" s="24" t="str">
        <f aca="false">IF($E395="","",16.3*($E395/12)*1.75*12*Settings!$B$7/5)</f>
        <v/>
      </c>
      <c r="I395" s="24" t="str">
        <f aca="false">IF($E395="","",16.3*($E395/12)*2.37*12*Settings!$B$7/4)</f>
        <v/>
      </c>
      <c r="J395" s="13" t="s">
        <v>3884</v>
      </c>
      <c r="K395" s="13" t="s">
        <v>4136</v>
      </c>
      <c r="L395" s="14" t="s">
        <v>4464</v>
      </c>
      <c r="M395" s="14" t="s">
        <v>4466</v>
      </c>
      <c r="N395" s="13" t="s">
        <v>3887</v>
      </c>
      <c r="O395" s="13" t="str">
        <f aca="false">IF(H395="","D","C")</f>
        <v>D</v>
      </c>
      <c r="P395" s="14" t="s">
        <v>4467</v>
      </c>
    </row>
    <row r="396" customFormat="false" ht="22.35" hidden="false" customHeight="false" outlineLevel="0" collapsed="false">
      <c r="A396" s="13" t="s">
        <v>1269</v>
      </c>
      <c r="B396" s="13" t="s">
        <v>3888</v>
      </c>
      <c r="C396" s="14" t="s">
        <v>1270</v>
      </c>
      <c r="D396" s="14" t="s">
        <v>3889</v>
      </c>
      <c r="E396" s="25"/>
      <c r="F396" s="13" t="s">
        <v>4452</v>
      </c>
      <c r="G396" s="24" t="str">
        <f aca="false">IF($E396="","",16.3*($E396/12)*1.14*8*Settings!$B$7/6)</f>
        <v/>
      </c>
      <c r="H396" s="24" t="str">
        <f aca="false">IF($E396="","",16.3*($E396/12)*1.75*8*Settings!$B$7/5)</f>
        <v/>
      </c>
      <c r="I396" s="24" t="str">
        <f aca="false">IF($E396="","",16.3*($E396/12)*2.37*8*Settings!$B$7/4)</f>
        <v/>
      </c>
      <c r="J396" s="13" t="s">
        <v>3884</v>
      </c>
      <c r="K396" s="13" t="s">
        <v>4136</v>
      </c>
      <c r="L396" s="14" t="s">
        <v>4459</v>
      </c>
      <c r="M396" s="14" t="s">
        <v>4466</v>
      </c>
      <c r="N396" s="13" t="s">
        <v>3887</v>
      </c>
      <c r="O396" s="13" t="str">
        <f aca="false">IF(H396="","D","C")</f>
        <v>D</v>
      </c>
      <c r="P396" s="14" t="s">
        <v>4467</v>
      </c>
    </row>
    <row r="397" customFormat="false" ht="32.8" hidden="false" customHeight="false" outlineLevel="0" collapsed="false">
      <c r="A397" s="13" t="s">
        <v>1269</v>
      </c>
      <c r="B397" s="13" t="s">
        <v>3891</v>
      </c>
      <c r="C397" s="14" t="s">
        <v>1270</v>
      </c>
      <c r="D397" s="14" t="s">
        <v>3892</v>
      </c>
      <c r="E397" s="25"/>
      <c r="F397" s="13" t="s">
        <v>4452</v>
      </c>
      <c r="G397" s="24" t="str">
        <f aca="false">IF($E397="","",16.3*($E397/12)*1.14*12*Settings!$B$7/6)</f>
        <v/>
      </c>
      <c r="H397" s="24" t="str">
        <f aca="false">IF($E397="","",16.3*($E397/12)*1.75*12*Settings!$B$7/5)</f>
        <v/>
      </c>
      <c r="I397" s="24" t="str">
        <f aca="false">IF($E397="","",16.3*($E397/12)*2.37*12*Settings!$B$7/4)</f>
        <v/>
      </c>
      <c r="J397" s="13" t="s">
        <v>3884</v>
      </c>
      <c r="K397" s="13" t="s">
        <v>4136</v>
      </c>
      <c r="L397" s="14" t="s">
        <v>4464</v>
      </c>
      <c r="M397" s="14" t="s">
        <v>4466</v>
      </c>
      <c r="N397" s="13" t="s">
        <v>3887</v>
      </c>
      <c r="O397" s="13" t="str">
        <f aca="false">IF(H397="","D","C")</f>
        <v>D</v>
      </c>
      <c r="P397" s="14" t="s">
        <v>4467</v>
      </c>
    </row>
    <row r="398" customFormat="false" ht="43.25" hidden="false" customHeight="false" outlineLevel="0" collapsed="false">
      <c r="A398" s="13" t="s">
        <v>1288</v>
      </c>
      <c r="B398" s="13" t="s">
        <v>1307</v>
      </c>
      <c r="C398" s="14" t="s">
        <v>1292</v>
      </c>
      <c r="D398" s="14" t="s">
        <v>3940</v>
      </c>
      <c r="E398" s="23" t="n">
        <v>47</v>
      </c>
      <c r="F398" s="13" t="s">
        <v>4470</v>
      </c>
      <c r="G398" s="24" t="n">
        <f aca="false">IF($E398="","",2.5*5280*($E398/12)/9*Settings!$B$7/7)</f>
        <v>681.126984126984</v>
      </c>
      <c r="H398" s="24" t="n">
        <f aca="false">IF($E398="","",3*5280*($E398/12)/9*Settings!$B$7/7)</f>
        <v>817.352380952381</v>
      </c>
      <c r="I398" s="24" t="n">
        <f aca="false">IF($E398="","",4*5280*($E398/12)/9*Settings!$B$7/7)</f>
        <v>1089.80317460317</v>
      </c>
      <c r="J398" s="13" t="s">
        <v>3770</v>
      </c>
      <c r="K398" s="13" t="s">
        <v>4136</v>
      </c>
      <c r="L398" s="14" t="s">
        <v>4471</v>
      </c>
      <c r="M398" s="14" t="s">
        <v>4472</v>
      </c>
      <c r="N398" s="13" t="s">
        <v>3943</v>
      </c>
      <c r="O398" s="13" t="str">
        <f aca="false">IF(H398="","D","C")</f>
        <v>C</v>
      </c>
      <c r="P398" s="14"/>
    </row>
    <row r="399" customFormat="false" ht="22.35" hidden="false" customHeight="false" outlineLevel="0" collapsed="false">
      <c r="A399" s="13" t="s">
        <v>1288</v>
      </c>
      <c r="B399" s="13" t="s">
        <v>1207</v>
      </c>
      <c r="C399" s="14" t="s">
        <v>1292</v>
      </c>
      <c r="D399" s="14" t="s">
        <v>3895</v>
      </c>
      <c r="E399" s="23" t="n">
        <v>47</v>
      </c>
      <c r="F399" s="13" t="s">
        <v>4452</v>
      </c>
      <c r="G399" s="24" t="n">
        <f aca="false">IF($E399="","",16.3*($E399/12)*1.14*6*Settings!$B$7/6)</f>
        <v>60.406985</v>
      </c>
      <c r="H399" s="24" t="n">
        <f aca="false">IF($E399="","",16.3*($E399/12)*1.75*6*Settings!$B$7/5)</f>
        <v>111.276025</v>
      </c>
      <c r="I399" s="24" t="n">
        <f aca="false">IF($E399="","",16.3*($E399/12)*2.37*6*Settings!$B$7/4)</f>
        <v>188.37441375</v>
      </c>
      <c r="J399" s="13" t="s">
        <v>3884</v>
      </c>
      <c r="K399" s="13" t="s">
        <v>4136</v>
      </c>
      <c r="L399" s="14" t="s">
        <v>4456</v>
      </c>
      <c r="M399" s="14" t="s">
        <v>4473</v>
      </c>
      <c r="N399" s="13" t="s">
        <v>3887</v>
      </c>
      <c r="O399" s="13" t="str">
        <f aca="false">IF(H399="","D","C")</f>
        <v>C</v>
      </c>
      <c r="P399" s="14"/>
    </row>
    <row r="400" customFormat="false" ht="43.25" hidden="false" customHeight="false" outlineLevel="0" collapsed="false">
      <c r="A400" s="13" t="s">
        <v>1301</v>
      </c>
      <c r="B400" s="13" t="s">
        <v>1307</v>
      </c>
      <c r="C400" s="14" t="s">
        <v>1303</v>
      </c>
      <c r="D400" s="14" t="s">
        <v>3940</v>
      </c>
      <c r="E400" s="23" t="n">
        <v>47.2</v>
      </c>
      <c r="F400" s="13" t="s">
        <v>4470</v>
      </c>
      <c r="G400" s="24" t="n">
        <f aca="false">IF($E400="","",2.5*5280*($E400/12)/9*Settings!$B$7/7)</f>
        <v>684.025396825397</v>
      </c>
      <c r="H400" s="24" t="n">
        <f aca="false">IF($E400="","",3*5280*($E400/12)/9*Settings!$B$7/7)</f>
        <v>820.830476190476</v>
      </c>
      <c r="I400" s="24" t="n">
        <f aca="false">IF($E400="","",4*5280*($E400/12)/9*Settings!$B$7/7)</f>
        <v>1094.44063492064</v>
      </c>
      <c r="J400" s="13" t="s">
        <v>3770</v>
      </c>
      <c r="K400" s="13" t="s">
        <v>4136</v>
      </c>
      <c r="L400" s="14" t="s">
        <v>4471</v>
      </c>
      <c r="M400" s="14" t="s">
        <v>4474</v>
      </c>
      <c r="N400" s="13" t="s">
        <v>3943</v>
      </c>
      <c r="O400" s="13" t="str">
        <f aca="false">IF(H400="","D","C")</f>
        <v>C</v>
      </c>
      <c r="P400" s="14"/>
    </row>
    <row r="401" customFormat="false" ht="43.25" hidden="false" customHeight="false" outlineLevel="0" collapsed="false">
      <c r="A401" s="13" t="s">
        <v>1310</v>
      </c>
      <c r="B401" s="13" t="s">
        <v>1307</v>
      </c>
      <c r="C401" s="14" t="s">
        <v>1312</v>
      </c>
      <c r="D401" s="14" t="s">
        <v>3940</v>
      </c>
      <c r="E401" s="23" t="n">
        <v>54</v>
      </c>
      <c r="F401" s="13" t="s">
        <v>4470</v>
      </c>
      <c r="G401" s="24" t="n">
        <f aca="false">IF($E401="","",2.5*5280*($E401/12)/9*Settings!$B$7/7)</f>
        <v>782.571428571429</v>
      </c>
      <c r="H401" s="24" t="n">
        <f aca="false">IF($E401="","",3*5280*($E401/12)/9*Settings!$B$7/7)</f>
        <v>939.085714285714</v>
      </c>
      <c r="I401" s="24" t="n">
        <f aca="false">IF($E401="","",4*5280*($E401/12)/9*Settings!$B$7/7)</f>
        <v>1252.11428571429</v>
      </c>
      <c r="J401" s="13" t="s">
        <v>3770</v>
      </c>
      <c r="K401" s="13" t="s">
        <v>4136</v>
      </c>
      <c r="L401" s="14" t="s">
        <v>4471</v>
      </c>
      <c r="M401" s="14" t="s">
        <v>4475</v>
      </c>
      <c r="N401" s="13" t="s">
        <v>3943</v>
      </c>
      <c r="O401" s="13" t="str">
        <f aca="false">IF(H401="","D","C")</f>
        <v>C</v>
      </c>
      <c r="P401" s="14"/>
    </row>
    <row r="402" customFormat="false" ht="43.25" hidden="false" customHeight="false" outlineLevel="0" collapsed="false">
      <c r="A402" s="13" t="s">
        <v>1315</v>
      </c>
      <c r="B402" s="13" t="s">
        <v>1307</v>
      </c>
      <c r="C402" s="14" t="s">
        <v>1317</v>
      </c>
      <c r="D402" s="14" t="s">
        <v>3940</v>
      </c>
      <c r="E402" s="23" t="n">
        <v>67</v>
      </c>
      <c r="F402" s="13" t="s">
        <v>4470</v>
      </c>
      <c r="G402" s="24" t="n">
        <f aca="false">IF($E402="","",2.5*5280*($E402/12)/9*Settings!$B$7/7)</f>
        <v>970.968253968254</v>
      </c>
      <c r="H402" s="24" t="n">
        <f aca="false">IF($E402="","",3*5280*($E402/12)/9*Settings!$B$7/7)</f>
        <v>1165.1619047619</v>
      </c>
      <c r="I402" s="24" t="n">
        <f aca="false">IF($E402="","",4*5280*($E402/12)/9*Settings!$B$7/7)</f>
        <v>1553.54920634921</v>
      </c>
      <c r="J402" s="13" t="s">
        <v>3770</v>
      </c>
      <c r="K402" s="13" t="s">
        <v>4136</v>
      </c>
      <c r="L402" s="14" t="s">
        <v>4471</v>
      </c>
      <c r="M402" s="14" t="s">
        <v>4476</v>
      </c>
      <c r="N402" s="13" t="s">
        <v>3943</v>
      </c>
      <c r="O402" s="13" t="str">
        <f aca="false">IF(H402="","D","C")</f>
        <v>C</v>
      </c>
      <c r="P402" s="14"/>
    </row>
    <row r="403" customFormat="false" ht="43.25" hidden="false" customHeight="false" outlineLevel="0" collapsed="false">
      <c r="A403" s="13" t="s">
        <v>1321</v>
      </c>
      <c r="B403" s="13" t="s">
        <v>1307</v>
      </c>
      <c r="C403" s="14" t="s">
        <v>1322</v>
      </c>
      <c r="D403" s="14" t="s">
        <v>3940</v>
      </c>
      <c r="E403" s="23" t="n">
        <v>79</v>
      </c>
      <c r="F403" s="13" t="s">
        <v>4470</v>
      </c>
      <c r="G403" s="24" t="n">
        <f aca="false">IF($E403="","",2.5*5280*($E403/12)/9*Settings!$B$7/7)</f>
        <v>1144.87301587302</v>
      </c>
      <c r="H403" s="24" t="n">
        <f aca="false">IF($E403="","",3*5280*($E403/12)/9*Settings!$B$7/7)</f>
        <v>1373.84761904762</v>
      </c>
      <c r="I403" s="24" t="n">
        <f aca="false">IF($E403="","",4*5280*($E403/12)/9*Settings!$B$7/7)</f>
        <v>1831.79682539683</v>
      </c>
      <c r="J403" s="13" t="s">
        <v>3770</v>
      </c>
      <c r="K403" s="13" t="s">
        <v>4136</v>
      </c>
      <c r="L403" s="14" t="s">
        <v>4471</v>
      </c>
      <c r="M403" s="14" t="s">
        <v>4477</v>
      </c>
      <c r="N403" s="13" t="s">
        <v>3943</v>
      </c>
      <c r="O403" s="13" t="str">
        <f aca="false">IF(H403="","D","C")</f>
        <v>C</v>
      </c>
      <c r="P403" s="14"/>
    </row>
    <row r="404" customFormat="false" ht="43.25" hidden="false" customHeight="false" outlineLevel="0" collapsed="false">
      <c r="A404" s="13" t="s">
        <v>1325</v>
      </c>
      <c r="B404" s="13" t="s">
        <v>1307</v>
      </c>
      <c r="C404" s="14" t="s">
        <v>1327</v>
      </c>
      <c r="D404" s="14" t="s">
        <v>3940</v>
      </c>
      <c r="E404" s="23" t="n">
        <v>84</v>
      </c>
      <c r="F404" s="13" t="s">
        <v>4470</v>
      </c>
      <c r="G404" s="24" t="n">
        <f aca="false">IF($E404="","",2.5*5280*($E404/12)/9*Settings!$B$7/7)</f>
        <v>1217.33333333333</v>
      </c>
      <c r="H404" s="24" t="n">
        <f aca="false">IF($E404="","",3*5280*($E404/12)/9*Settings!$B$7/7)</f>
        <v>1460.8</v>
      </c>
      <c r="I404" s="24" t="n">
        <f aca="false">IF($E404="","",4*5280*($E404/12)/9*Settings!$B$7/7)</f>
        <v>1947.73333333333</v>
      </c>
      <c r="J404" s="13" t="s">
        <v>3770</v>
      </c>
      <c r="K404" s="13" t="s">
        <v>4136</v>
      </c>
      <c r="L404" s="14" t="s">
        <v>4471</v>
      </c>
      <c r="M404" s="14" t="s">
        <v>4478</v>
      </c>
      <c r="N404" s="13" t="s">
        <v>3943</v>
      </c>
      <c r="O404" s="13" t="str">
        <f aca="false">IF(H404="","D","C")</f>
        <v>C</v>
      </c>
      <c r="P404" s="14"/>
    </row>
    <row r="405" customFormat="false" ht="43.25" hidden="false" customHeight="false" outlineLevel="0" collapsed="false">
      <c r="A405" s="13" t="s">
        <v>1331</v>
      </c>
      <c r="B405" s="13" t="s">
        <v>1307</v>
      </c>
      <c r="C405" s="14" t="s">
        <v>1334</v>
      </c>
      <c r="D405" s="14" t="s">
        <v>3940</v>
      </c>
      <c r="E405" s="25"/>
      <c r="F405" s="13" t="s">
        <v>4470</v>
      </c>
      <c r="G405" s="24" t="str">
        <f aca="false">IF($E405="","",2.5*5280*($E405/12)/9*Settings!$B$7/7)</f>
        <v/>
      </c>
      <c r="H405" s="24" t="str">
        <f aca="false">IF($E405="","",3*5280*($E405/12)/9*Settings!$B$7/7)</f>
        <v/>
      </c>
      <c r="I405" s="24" t="str">
        <f aca="false">IF($E405="","",4*5280*($E405/12)/9*Settings!$B$7/7)</f>
        <v/>
      </c>
      <c r="J405" s="13" t="s">
        <v>3770</v>
      </c>
      <c r="K405" s="13" t="s">
        <v>4136</v>
      </c>
      <c r="L405" s="14" t="s">
        <v>4471</v>
      </c>
      <c r="M405" s="14" t="s">
        <v>4479</v>
      </c>
      <c r="N405" s="13" t="s">
        <v>3943</v>
      </c>
      <c r="O405" s="13" t="str">
        <f aca="false">IF(H405="","D","C")</f>
        <v>D</v>
      </c>
      <c r="P405" s="14" t="s">
        <v>4467</v>
      </c>
    </row>
    <row r="406" customFormat="false" ht="43.25" hidden="false" customHeight="false" outlineLevel="0" collapsed="false">
      <c r="A406" s="13" t="s">
        <v>1337</v>
      </c>
      <c r="B406" s="13" t="s">
        <v>1307</v>
      </c>
      <c r="C406" s="14" t="s">
        <v>1340</v>
      </c>
      <c r="D406" s="14" t="s">
        <v>3940</v>
      </c>
      <c r="E406" s="25"/>
      <c r="F406" s="13" t="s">
        <v>4470</v>
      </c>
      <c r="G406" s="24" t="str">
        <f aca="false">IF($E406="","",2.5*5280*($E406/12)/9*Settings!$B$7/7)</f>
        <v/>
      </c>
      <c r="H406" s="24" t="str">
        <f aca="false">IF($E406="","",3*5280*($E406/12)/9*Settings!$B$7/7)</f>
        <v/>
      </c>
      <c r="I406" s="24" t="str">
        <f aca="false">IF($E406="","",4*5280*($E406/12)/9*Settings!$B$7/7)</f>
        <v/>
      </c>
      <c r="J406" s="13" t="s">
        <v>3770</v>
      </c>
      <c r="K406" s="13" t="s">
        <v>4136</v>
      </c>
      <c r="L406" s="14" t="s">
        <v>4471</v>
      </c>
      <c r="M406" s="14" t="s">
        <v>4479</v>
      </c>
      <c r="N406" s="13" t="s">
        <v>3943</v>
      </c>
      <c r="O406" s="13" t="str">
        <f aca="false">IF(H406="","D","C")</f>
        <v>D</v>
      </c>
      <c r="P406" s="14" t="s">
        <v>4467</v>
      </c>
    </row>
    <row r="407" customFormat="false" ht="43.25" hidden="false" customHeight="false" outlineLevel="0" collapsed="false">
      <c r="A407" s="13" t="s">
        <v>1342</v>
      </c>
      <c r="B407" s="13" t="s">
        <v>1307</v>
      </c>
      <c r="C407" s="14" t="s">
        <v>1344</v>
      </c>
      <c r="D407" s="14" t="s">
        <v>3940</v>
      </c>
      <c r="E407" s="23" t="n">
        <v>68</v>
      </c>
      <c r="F407" s="13" t="s">
        <v>4470</v>
      </c>
      <c r="G407" s="24" t="n">
        <f aca="false">IF($E407="","",2.5*5280*($E407/12)/9*Settings!$B$7/7)</f>
        <v>985.460317460317</v>
      </c>
      <c r="H407" s="24" t="n">
        <f aca="false">IF($E407="","",3*5280*($E407/12)/9*Settings!$B$7/7)</f>
        <v>1182.55238095238</v>
      </c>
      <c r="I407" s="24" t="n">
        <f aca="false">IF($E407="","",4*5280*($E407/12)/9*Settings!$B$7/7)</f>
        <v>1576.73650793651</v>
      </c>
      <c r="J407" s="13" t="s">
        <v>3770</v>
      </c>
      <c r="K407" s="13" t="s">
        <v>4136</v>
      </c>
      <c r="L407" s="14" t="s">
        <v>4471</v>
      </c>
      <c r="M407" s="14" t="s">
        <v>4480</v>
      </c>
      <c r="N407" s="13" t="s">
        <v>3943</v>
      </c>
      <c r="O407" s="13" t="str">
        <f aca="false">IF(H407="","D","C")</f>
        <v>C</v>
      </c>
      <c r="P407" s="14"/>
    </row>
    <row r="408" customFormat="false" ht="32.8" hidden="false" customHeight="false" outlineLevel="0" collapsed="false">
      <c r="A408" s="13" t="s">
        <v>1342</v>
      </c>
      <c r="B408" s="13" t="s">
        <v>3888</v>
      </c>
      <c r="C408" s="14" t="s">
        <v>1344</v>
      </c>
      <c r="D408" s="14" t="s">
        <v>3889</v>
      </c>
      <c r="E408" s="25"/>
      <c r="F408" s="13" t="s">
        <v>4452</v>
      </c>
      <c r="G408" s="24" t="str">
        <f aca="false">IF($E408="","",16.3*($E408/12)*1.14*8*Settings!$B$7/6)</f>
        <v/>
      </c>
      <c r="H408" s="24" t="str">
        <f aca="false">IF($E408="","",16.3*($E408/12)*1.75*8*Settings!$B$7/5)</f>
        <v/>
      </c>
      <c r="I408" s="24" t="str">
        <f aca="false">IF($E408="","",16.3*($E408/12)*2.37*8*Settings!$B$7/4)</f>
        <v/>
      </c>
      <c r="J408" s="13" t="s">
        <v>3884</v>
      </c>
      <c r="K408" s="13" t="s">
        <v>4136</v>
      </c>
      <c r="L408" s="14" t="s">
        <v>4459</v>
      </c>
      <c r="M408" s="14" t="s">
        <v>4466</v>
      </c>
      <c r="N408" s="13" t="s">
        <v>3887</v>
      </c>
      <c r="O408" s="13" t="str">
        <f aca="false">IF(H408="","D","C")</f>
        <v>D</v>
      </c>
      <c r="P408" s="14" t="s">
        <v>4481</v>
      </c>
    </row>
    <row r="409" customFormat="false" ht="43.25" hidden="false" customHeight="false" outlineLevel="0" collapsed="false">
      <c r="A409" s="13" t="s">
        <v>1351</v>
      </c>
      <c r="B409" s="13" t="s">
        <v>1307</v>
      </c>
      <c r="C409" s="14" t="s">
        <v>1353</v>
      </c>
      <c r="D409" s="14" t="s">
        <v>3940</v>
      </c>
      <c r="E409" s="23" t="n">
        <v>82</v>
      </c>
      <c r="F409" s="13" t="s">
        <v>4470</v>
      </c>
      <c r="G409" s="24" t="n">
        <f aca="false">IF($E409="","",2.5*5280*($E409/12)/9*Settings!$B$7/7)</f>
        <v>1188.34920634921</v>
      </c>
      <c r="H409" s="24" t="n">
        <f aca="false">IF($E409="","",3*5280*($E409/12)/9*Settings!$B$7/7)</f>
        <v>1426.01904761905</v>
      </c>
      <c r="I409" s="24" t="n">
        <f aca="false">IF($E409="","",4*5280*($E409/12)/9*Settings!$B$7/7)</f>
        <v>1901.35873015873</v>
      </c>
      <c r="J409" s="13" t="s">
        <v>3770</v>
      </c>
      <c r="K409" s="13" t="s">
        <v>4136</v>
      </c>
      <c r="L409" s="14" t="s">
        <v>4471</v>
      </c>
      <c r="M409" s="14" t="s">
        <v>4482</v>
      </c>
      <c r="N409" s="13" t="s">
        <v>3943</v>
      </c>
      <c r="O409" s="13" t="str">
        <f aca="false">IF(H409="","D","C")</f>
        <v>C</v>
      </c>
      <c r="P409" s="14"/>
    </row>
    <row r="410" customFormat="false" ht="22.35" hidden="false" customHeight="false" outlineLevel="0" collapsed="false">
      <c r="A410" s="13" t="s">
        <v>1351</v>
      </c>
      <c r="B410" s="13" t="s">
        <v>3921</v>
      </c>
      <c r="C410" s="14" t="s">
        <v>1353</v>
      </c>
      <c r="D410" s="14" t="s">
        <v>3922</v>
      </c>
      <c r="E410" s="13"/>
      <c r="F410" s="13"/>
      <c r="G410" s="24"/>
      <c r="H410" s="24"/>
      <c r="I410" s="24"/>
      <c r="J410" s="13" t="s">
        <v>3770</v>
      </c>
      <c r="K410" s="13" t="s">
        <v>3771</v>
      </c>
      <c r="L410" s="14"/>
      <c r="M410" s="14" t="s">
        <v>4483</v>
      </c>
      <c r="N410" s="13"/>
      <c r="O410" s="13" t="s">
        <v>188</v>
      </c>
      <c r="P410" s="14" t="s">
        <v>4145</v>
      </c>
    </row>
    <row r="411" customFormat="false" ht="43.25" hidden="false" customHeight="false" outlineLevel="0" collapsed="false">
      <c r="A411" s="13" t="s">
        <v>1373</v>
      </c>
      <c r="B411" s="13" t="s">
        <v>1307</v>
      </c>
      <c r="C411" s="14" t="s">
        <v>1376</v>
      </c>
      <c r="D411" s="14" t="s">
        <v>3940</v>
      </c>
      <c r="E411" s="25"/>
      <c r="F411" s="13" t="s">
        <v>4470</v>
      </c>
      <c r="G411" s="24" t="str">
        <f aca="false">IF($E411="","",2.5*5280*($E411/12)/9*Settings!$B$7/7)</f>
        <v/>
      </c>
      <c r="H411" s="24" t="str">
        <f aca="false">IF($E411="","",3*5280*($E411/12)/9*Settings!$B$7/7)</f>
        <v/>
      </c>
      <c r="I411" s="24" t="str">
        <f aca="false">IF($E411="","",4*5280*($E411/12)/9*Settings!$B$7/7)</f>
        <v/>
      </c>
      <c r="J411" s="13" t="s">
        <v>3770</v>
      </c>
      <c r="K411" s="13" t="s">
        <v>4136</v>
      </c>
      <c r="L411" s="14" t="s">
        <v>4471</v>
      </c>
      <c r="M411" s="14" t="s">
        <v>4479</v>
      </c>
      <c r="N411" s="13" t="s">
        <v>3943</v>
      </c>
      <c r="O411" s="13" t="str">
        <f aca="false">IF(H411="","D","C")</f>
        <v>D</v>
      </c>
      <c r="P411" s="14" t="s">
        <v>4467</v>
      </c>
    </row>
    <row r="412" customFormat="false" ht="22.35" hidden="false" customHeight="false" outlineLevel="0" collapsed="false">
      <c r="A412" s="13" t="s">
        <v>1382</v>
      </c>
      <c r="B412" s="13" t="s">
        <v>1388</v>
      </c>
      <c r="C412" s="14" t="s">
        <v>1384</v>
      </c>
      <c r="D412" s="14" t="s">
        <v>3936</v>
      </c>
      <c r="E412" s="13"/>
      <c r="F412" s="13"/>
      <c r="G412" s="24" t="n">
        <v>200</v>
      </c>
      <c r="H412" s="24" t="n">
        <v>425</v>
      </c>
      <c r="I412" s="24" t="n">
        <v>750</v>
      </c>
      <c r="J412" s="13" t="s">
        <v>3931</v>
      </c>
      <c r="K412" s="13" t="s">
        <v>3879</v>
      </c>
      <c r="L412" s="14" t="s">
        <v>4484</v>
      </c>
      <c r="M412" s="14" t="s">
        <v>4485</v>
      </c>
      <c r="N412" s="13" t="s">
        <v>3939</v>
      </c>
      <c r="O412" s="13" t="s">
        <v>213</v>
      </c>
      <c r="P412" s="14"/>
    </row>
    <row r="413" customFormat="false" ht="22.35" hidden="false" customHeight="false" outlineLevel="0" collapsed="false">
      <c r="A413" s="13" t="s">
        <v>1390</v>
      </c>
      <c r="B413" s="13" t="s">
        <v>1388</v>
      </c>
      <c r="C413" s="14" t="s">
        <v>1392</v>
      </c>
      <c r="D413" s="14" t="s">
        <v>3936</v>
      </c>
      <c r="E413" s="13"/>
      <c r="F413" s="13"/>
      <c r="G413" s="24" t="n">
        <v>200</v>
      </c>
      <c r="H413" s="24" t="n">
        <v>425</v>
      </c>
      <c r="I413" s="24" t="n">
        <v>750</v>
      </c>
      <c r="J413" s="13" t="s">
        <v>3931</v>
      </c>
      <c r="K413" s="13" t="s">
        <v>3879</v>
      </c>
      <c r="L413" s="14" t="s">
        <v>4484</v>
      </c>
      <c r="M413" s="14" t="s">
        <v>4485</v>
      </c>
      <c r="N413" s="13" t="s">
        <v>3939</v>
      </c>
      <c r="O413" s="13" t="s">
        <v>213</v>
      </c>
      <c r="P413" s="14"/>
    </row>
    <row r="414" customFormat="false" ht="22.35" hidden="false" customHeight="false" outlineLevel="0" collapsed="false">
      <c r="A414" s="13" t="s">
        <v>1396</v>
      </c>
      <c r="B414" s="13" t="s">
        <v>1388</v>
      </c>
      <c r="C414" s="14" t="s">
        <v>1398</v>
      </c>
      <c r="D414" s="14" t="s">
        <v>3936</v>
      </c>
      <c r="E414" s="13"/>
      <c r="F414" s="13"/>
      <c r="G414" s="24" t="n">
        <v>200</v>
      </c>
      <c r="H414" s="24" t="n">
        <v>425</v>
      </c>
      <c r="I414" s="24" t="n">
        <v>750</v>
      </c>
      <c r="J414" s="13" t="s">
        <v>3931</v>
      </c>
      <c r="K414" s="13" t="s">
        <v>3879</v>
      </c>
      <c r="L414" s="14" t="s">
        <v>4484</v>
      </c>
      <c r="M414" s="14" t="s">
        <v>4485</v>
      </c>
      <c r="N414" s="13" t="s">
        <v>3939</v>
      </c>
      <c r="O414" s="13" t="s">
        <v>213</v>
      </c>
      <c r="P414" s="14"/>
    </row>
    <row r="415" customFormat="false" ht="53.7" hidden="false" customHeight="false" outlineLevel="0" collapsed="false">
      <c r="A415" s="13" t="s">
        <v>1396</v>
      </c>
      <c r="B415" s="13" t="s">
        <v>1464</v>
      </c>
      <c r="C415" s="14" t="s">
        <v>1398</v>
      </c>
      <c r="D415" s="14" t="s">
        <v>3930</v>
      </c>
      <c r="E415" s="13"/>
      <c r="F415" s="13"/>
      <c r="G415" s="24" t="n">
        <v>505</v>
      </c>
      <c r="H415" s="24" t="n">
        <v>1400</v>
      </c>
      <c r="I415" s="24" t="n">
        <v>2200</v>
      </c>
      <c r="J415" s="13" t="s">
        <v>3931</v>
      </c>
      <c r="K415" s="13" t="s">
        <v>4239</v>
      </c>
      <c r="L415" s="14" t="s">
        <v>4486</v>
      </c>
      <c r="M415" s="14" t="s">
        <v>4487</v>
      </c>
      <c r="N415" s="13" t="s">
        <v>4488</v>
      </c>
      <c r="O415" s="13" t="s">
        <v>213</v>
      </c>
      <c r="P415" s="14"/>
    </row>
    <row r="416" customFormat="false" ht="22.35" hidden="false" customHeight="false" outlineLevel="0" collapsed="false">
      <c r="A416" s="13" t="s">
        <v>1403</v>
      </c>
      <c r="B416" s="13" t="s">
        <v>1388</v>
      </c>
      <c r="C416" s="14" t="s">
        <v>1405</v>
      </c>
      <c r="D416" s="14" t="s">
        <v>3936</v>
      </c>
      <c r="E416" s="13"/>
      <c r="F416" s="13"/>
      <c r="G416" s="24" t="n">
        <v>200</v>
      </c>
      <c r="H416" s="24" t="n">
        <v>425</v>
      </c>
      <c r="I416" s="24" t="n">
        <v>750</v>
      </c>
      <c r="J416" s="13" t="s">
        <v>3931</v>
      </c>
      <c r="K416" s="13" t="s">
        <v>3879</v>
      </c>
      <c r="L416" s="14" t="s">
        <v>4484</v>
      </c>
      <c r="M416" s="14" t="s">
        <v>4485</v>
      </c>
      <c r="N416" s="13" t="s">
        <v>3939</v>
      </c>
      <c r="O416" s="13" t="s">
        <v>213</v>
      </c>
      <c r="P416" s="14"/>
    </row>
    <row r="417" customFormat="false" ht="53.7" hidden="false" customHeight="false" outlineLevel="0" collapsed="false">
      <c r="A417" s="13" t="s">
        <v>1408</v>
      </c>
      <c r="B417" s="13" t="s">
        <v>1464</v>
      </c>
      <c r="C417" s="14" t="s">
        <v>1410</v>
      </c>
      <c r="D417" s="14" t="s">
        <v>3930</v>
      </c>
      <c r="E417" s="13"/>
      <c r="F417" s="13"/>
      <c r="G417" s="24" t="n">
        <v>505</v>
      </c>
      <c r="H417" s="24" t="n">
        <v>1400</v>
      </c>
      <c r="I417" s="24" t="n">
        <v>2200</v>
      </c>
      <c r="J417" s="13" t="s">
        <v>3931</v>
      </c>
      <c r="K417" s="13" t="s">
        <v>4239</v>
      </c>
      <c r="L417" s="14" t="s">
        <v>4486</v>
      </c>
      <c r="M417" s="14" t="s">
        <v>4487</v>
      </c>
      <c r="N417" s="13" t="s">
        <v>4488</v>
      </c>
      <c r="O417" s="13" t="s">
        <v>213</v>
      </c>
      <c r="P417" s="14"/>
    </row>
    <row r="418" customFormat="false" ht="22.35" hidden="false" customHeight="false" outlineLevel="0" collapsed="false">
      <c r="A418" s="13" t="s">
        <v>1408</v>
      </c>
      <c r="B418" s="13" t="s">
        <v>1388</v>
      </c>
      <c r="C418" s="14" t="s">
        <v>1410</v>
      </c>
      <c r="D418" s="14" t="s">
        <v>3936</v>
      </c>
      <c r="E418" s="13"/>
      <c r="F418" s="13"/>
      <c r="G418" s="24" t="n">
        <v>200</v>
      </c>
      <c r="H418" s="24" t="n">
        <v>425</v>
      </c>
      <c r="I418" s="24" t="n">
        <v>750</v>
      </c>
      <c r="J418" s="13" t="s">
        <v>3931</v>
      </c>
      <c r="K418" s="13" t="s">
        <v>3879</v>
      </c>
      <c r="L418" s="14" t="s">
        <v>4484</v>
      </c>
      <c r="M418" s="14" t="s">
        <v>4485</v>
      </c>
      <c r="N418" s="13" t="s">
        <v>3939</v>
      </c>
      <c r="O418" s="13" t="s">
        <v>213</v>
      </c>
      <c r="P418" s="14"/>
    </row>
    <row r="419" customFormat="false" ht="53.7" hidden="false" customHeight="false" outlineLevel="0" collapsed="false">
      <c r="A419" s="13" t="s">
        <v>1416</v>
      </c>
      <c r="B419" s="13" t="s">
        <v>1464</v>
      </c>
      <c r="C419" s="14" t="s">
        <v>1418</v>
      </c>
      <c r="D419" s="14" t="s">
        <v>3930</v>
      </c>
      <c r="E419" s="13"/>
      <c r="F419" s="13"/>
      <c r="G419" s="24" t="n">
        <v>505</v>
      </c>
      <c r="H419" s="24" t="n">
        <v>1400</v>
      </c>
      <c r="I419" s="24" t="n">
        <v>2200</v>
      </c>
      <c r="J419" s="13" t="s">
        <v>3931</v>
      </c>
      <c r="K419" s="13" t="s">
        <v>4239</v>
      </c>
      <c r="L419" s="14" t="s">
        <v>4486</v>
      </c>
      <c r="M419" s="14" t="s">
        <v>4487</v>
      </c>
      <c r="N419" s="13" t="s">
        <v>4488</v>
      </c>
      <c r="O419" s="13" t="s">
        <v>213</v>
      </c>
      <c r="P419" s="14"/>
    </row>
    <row r="420" customFormat="false" ht="22.35" hidden="false" customHeight="false" outlineLevel="0" collapsed="false">
      <c r="A420" s="13" t="s">
        <v>1416</v>
      </c>
      <c r="B420" s="13" t="s">
        <v>1388</v>
      </c>
      <c r="C420" s="14" t="s">
        <v>1418</v>
      </c>
      <c r="D420" s="14" t="s">
        <v>3936</v>
      </c>
      <c r="E420" s="13"/>
      <c r="F420" s="13"/>
      <c r="G420" s="24" t="n">
        <v>200</v>
      </c>
      <c r="H420" s="24" t="n">
        <v>425</v>
      </c>
      <c r="I420" s="24" t="n">
        <v>750</v>
      </c>
      <c r="J420" s="13" t="s">
        <v>3931</v>
      </c>
      <c r="K420" s="13" t="s">
        <v>3879</v>
      </c>
      <c r="L420" s="14" t="s">
        <v>4484</v>
      </c>
      <c r="M420" s="14" t="s">
        <v>4485</v>
      </c>
      <c r="N420" s="13" t="s">
        <v>3939</v>
      </c>
      <c r="O420" s="13" t="s">
        <v>213</v>
      </c>
      <c r="P420" s="14"/>
    </row>
    <row r="421" customFormat="false" ht="53.7" hidden="false" customHeight="false" outlineLevel="0" collapsed="false">
      <c r="A421" s="13" t="s">
        <v>1423</v>
      </c>
      <c r="B421" s="13" t="s">
        <v>1464</v>
      </c>
      <c r="C421" s="14" t="s">
        <v>1424</v>
      </c>
      <c r="D421" s="14" t="s">
        <v>3930</v>
      </c>
      <c r="E421" s="13"/>
      <c r="F421" s="13"/>
      <c r="G421" s="24" t="n">
        <v>505</v>
      </c>
      <c r="H421" s="24" t="n">
        <v>1400</v>
      </c>
      <c r="I421" s="24" t="n">
        <v>2200</v>
      </c>
      <c r="J421" s="13" t="s">
        <v>3931</v>
      </c>
      <c r="K421" s="13" t="s">
        <v>4239</v>
      </c>
      <c r="L421" s="14" t="s">
        <v>4486</v>
      </c>
      <c r="M421" s="14" t="s">
        <v>4487</v>
      </c>
      <c r="N421" s="13" t="s">
        <v>4488</v>
      </c>
      <c r="O421" s="13" t="s">
        <v>213</v>
      </c>
      <c r="P421" s="14"/>
    </row>
    <row r="422" customFormat="false" ht="22.35" hidden="false" customHeight="false" outlineLevel="0" collapsed="false">
      <c r="A422" s="13" t="s">
        <v>1423</v>
      </c>
      <c r="B422" s="13" t="s">
        <v>1388</v>
      </c>
      <c r="C422" s="14" t="s">
        <v>1424</v>
      </c>
      <c r="D422" s="14" t="s">
        <v>3936</v>
      </c>
      <c r="E422" s="13"/>
      <c r="F422" s="13"/>
      <c r="G422" s="24" t="n">
        <v>200</v>
      </c>
      <c r="H422" s="24" t="n">
        <v>425</v>
      </c>
      <c r="I422" s="24" t="n">
        <v>750</v>
      </c>
      <c r="J422" s="13" t="s">
        <v>3931</v>
      </c>
      <c r="K422" s="13" t="s">
        <v>3879</v>
      </c>
      <c r="L422" s="14" t="s">
        <v>4484</v>
      </c>
      <c r="M422" s="14" t="s">
        <v>4485</v>
      </c>
      <c r="N422" s="13" t="s">
        <v>3939</v>
      </c>
      <c r="O422" s="13" t="s">
        <v>213</v>
      </c>
      <c r="P422" s="14"/>
    </row>
    <row r="423" customFormat="false" ht="53.7" hidden="false" customHeight="false" outlineLevel="0" collapsed="false">
      <c r="A423" s="13" t="s">
        <v>1428</v>
      </c>
      <c r="B423" s="13" t="s">
        <v>1464</v>
      </c>
      <c r="C423" s="14" t="s">
        <v>1429</v>
      </c>
      <c r="D423" s="14" t="s">
        <v>3930</v>
      </c>
      <c r="E423" s="13"/>
      <c r="F423" s="13"/>
      <c r="G423" s="24" t="n">
        <v>505</v>
      </c>
      <c r="H423" s="24" t="n">
        <v>1400</v>
      </c>
      <c r="I423" s="24" t="n">
        <v>2200</v>
      </c>
      <c r="J423" s="13" t="s">
        <v>3931</v>
      </c>
      <c r="K423" s="13" t="s">
        <v>4239</v>
      </c>
      <c r="L423" s="14" t="s">
        <v>4486</v>
      </c>
      <c r="M423" s="14" t="s">
        <v>4487</v>
      </c>
      <c r="N423" s="13" t="s">
        <v>4488</v>
      </c>
      <c r="O423" s="13" t="s">
        <v>213</v>
      </c>
      <c r="P423" s="14"/>
    </row>
    <row r="424" customFormat="false" ht="22.35" hidden="false" customHeight="false" outlineLevel="0" collapsed="false">
      <c r="A424" s="13" t="s">
        <v>1428</v>
      </c>
      <c r="B424" s="13" t="s">
        <v>1388</v>
      </c>
      <c r="C424" s="14" t="s">
        <v>1429</v>
      </c>
      <c r="D424" s="14" t="s">
        <v>3936</v>
      </c>
      <c r="E424" s="13"/>
      <c r="F424" s="13"/>
      <c r="G424" s="24" t="n">
        <v>200</v>
      </c>
      <c r="H424" s="24" t="n">
        <v>425</v>
      </c>
      <c r="I424" s="24" t="n">
        <v>750</v>
      </c>
      <c r="J424" s="13" t="s">
        <v>3931</v>
      </c>
      <c r="K424" s="13" t="s">
        <v>3879</v>
      </c>
      <c r="L424" s="14" t="s">
        <v>4484</v>
      </c>
      <c r="M424" s="14" t="s">
        <v>4485</v>
      </c>
      <c r="N424" s="13" t="s">
        <v>3939</v>
      </c>
      <c r="O424" s="13" t="s">
        <v>213</v>
      </c>
      <c r="P424" s="14"/>
    </row>
    <row r="425" customFormat="false" ht="53.7" hidden="false" customHeight="false" outlineLevel="0" collapsed="false">
      <c r="A425" s="13" t="s">
        <v>1435</v>
      </c>
      <c r="B425" s="13" t="s">
        <v>1464</v>
      </c>
      <c r="C425" s="14" t="s">
        <v>1436</v>
      </c>
      <c r="D425" s="14" t="s">
        <v>3930</v>
      </c>
      <c r="E425" s="13"/>
      <c r="F425" s="13"/>
      <c r="G425" s="24" t="n">
        <v>505</v>
      </c>
      <c r="H425" s="24" t="n">
        <v>1400</v>
      </c>
      <c r="I425" s="24" t="n">
        <v>2200</v>
      </c>
      <c r="J425" s="13" t="s">
        <v>3931</v>
      </c>
      <c r="K425" s="13" t="s">
        <v>4239</v>
      </c>
      <c r="L425" s="14" t="s">
        <v>4486</v>
      </c>
      <c r="M425" s="14" t="s">
        <v>4487</v>
      </c>
      <c r="N425" s="13" t="s">
        <v>4488</v>
      </c>
      <c r="O425" s="13" t="s">
        <v>213</v>
      </c>
      <c r="P425" s="14"/>
    </row>
    <row r="426" customFormat="false" ht="22.35" hidden="false" customHeight="false" outlineLevel="0" collapsed="false">
      <c r="A426" s="13" t="s">
        <v>1435</v>
      </c>
      <c r="B426" s="13" t="s">
        <v>1388</v>
      </c>
      <c r="C426" s="14" t="s">
        <v>1436</v>
      </c>
      <c r="D426" s="14" t="s">
        <v>3936</v>
      </c>
      <c r="E426" s="13"/>
      <c r="F426" s="13"/>
      <c r="G426" s="24" t="n">
        <v>200</v>
      </c>
      <c r="H426" s="24" t="n">
        <v>425</v>
      </c>
      <c r="I426" s="24" t="n">
        <v>750</v>
      </c>
      <c r="J426" s="13" t="s">
        <v>3931</v>
      </c>
      <c r="K426" s="13" t="s">
        <v>3879</v>
      </c>
      <c r="L426" s="14" t="s">
        <v>4484</v>
      </c>
      <c r="M426" s="14" t="s">
        <v>4485</v>
      </c>
      <c r="N426" s="13" t="s">
        <v>3939</v>
      </c>
      <c r="O426" s="13" t="s">
        <v>213</v>
      </c>
      <c r="P426" s="14"/>
    </row>
    <row r="427" customFormat="false" ht="53.7" hidden="false" customHeight="false" outlineLevel="0" collapsed="false">
      <c r="A427" s="13" t="s">
        <v>1440</v>
      </c>
      <c r="B427" s="13" t="s">
        <v>1464</v>
      </c>
      <c r="C427" s="14" t="s">
        <v>1441</v>
      </c>
      <c r="D427" s="14" t="s">
        <v>3930</v>
      </c>
      <c r="E427" s="13"/>
      <c r="F427" s="13"/>
      <c r="G427" s="24" t="n">
        <v>505</v>
      </c>
      <c r="H427" s="24" t="n">
        <v>1400</v>
      </c>
      <c r="I427" s="24" t="n">
        <v>2200</v>
      </c>
      <c r="J427" s="13" t="s">
        <v>3931</v>
      </c>
      <c r="K427" s="13" t="s">
        <v>4239</v>
      </c>
      <c r="L427" s="14" t="s">
        <v>4486</v>
      </c>
      <c r="M427" s="14" t="s">
        <v>4487</v>
      </c>
      <c r="N427" s="13" t="s">
        <v>4488</v>
      </c>
      <c r="O427" s="13" t="s">
        <v>213</v>
      </c>
      <c r="P427" s="14"/>
    </row>
    <row r="428" customFormat="false" ht="22.35" hidden="false" customHeight="false" outlineLevel="0" collapsed="false">
      <c r="A428" s="13" t="s">
        <v>1440</v>
      </c>
      <c r="B428" s="13" t="s">
        <v>1388</v>
      </c>
      <c r="C428" s="14" t="s">
        <v>1441</v>
      </c>
      <c r="D428" s="14" t="s">
        <v>3936</v>
      </c>
      <c r="E428" s="13"/>
      <c r="F428" s="13"/>
      <c r="G428" s="24" t="n">
        <v>200</v>
      </c>
      <c r="H428" s="24" t="n">
        <v>425</v>
      </c>
      <c r="I428" s="24" t="n">
        <v>750</v>
      </c>
      <c r="J428" s="13" t="s">
        <v>3931</v>
      </c>
      <c r="K428" s="13" t="s">
        <v>3879</v>
      </c>
      <c r="L428" s="14" t="s">
        <v>4484</v>
      </c>
      <c r="M428" s="14" t="s">
        <v>4485</v>
      </c>
      <c r="N428" s="13" t="s">
        <v>3939</v>
      </c>
      <c r="O428" s="13" t="s">
        <v>213</v>
      </c>
      <c r="P428" s="14"/>
    </row>
    <row r="429" customFormat="false" ht="53.7" hidden="false" customHeight="false" outlineLevel="0" collapsed="false">
      <c r="A429" s="13" t="s">
        <v>1445</v>
      </c>
      <c r="B429" s="13" t="s">
        <v>1464</v>
      </c>
      <c r="C429" s="14" t="s">
        <v>1446</v>
      </c>
      <c r="D429" s="14" t="s">
        <v>3930</v>
      </c>
      <c r="E429" s="13"/>
      <c r="F429" s="13"/>
      <c r="G429" s="24" t="n">
        <v>505</v>
      </c>
      <c r="H429" s="24" t="n">
        <v>1400</v>
      </c>
      <c r="I429" s="24" t="n">
        <v>2200</v>
      </c>
      <c r="J429" s="13" t="s">
        <v>3931</v>
      </c>
      <c r="K429" s="13" t="s">
        <v>4239</v>
      </c>
      <c r="L429" s="14" t="s">
        <v>4486</v>
      </c>
      <c r="M429" s="14" t="s">
        <v>4487</v>
      </c>
      <c r="N429" s="13" t="s">
        <v>4488</v>
      </c>
      <c r="O429" s="13" t="s">
        <v>213</v>
      </c>
      <c r="P429" s="14"/>
    </row>
    <row r="430" customFormat="false" ht="22.35" hidden="false" customHeight="false" outlineLevel="0" collapsed="false">
      <c r="A430" s="13" t="s">
        <v>1445</v>
      </c>
      <c r="B430" s="13" t="s">
        <v>1388</v>
      </c>
      <c r="C430" s="14" t="s">
        <v>1446</v>
      </c>
      <c r="D430" s="14" t="s">
        <v>3936</v>
      </c>
      <c r="E430" s="13"/>
      <c r="F430" s="13"/>
      <c r="G430" s="24" t="n">
        <v>200</v>
      </c>
      <c r="H430" s="24" t="n">
        <v>425</v>
      </c>
      <c r="I430" s="24" t="n">
        <v>750</v>
      </c>
      <c r="J430" s="13" t="s">
        <v>3931</v>
      </c>
      <c r="K430" s="13" t="s">
        <v>3879</v>
      </c>
      <c r="L430" s="14" t="s">
        <v>4484</v>
      </c>
      <c r="M430" s="14" t="s">
        <v>4485</v>
      </c>
      <c r="N430" s="13" t="s">
        <v>3939</v>
      </c>
      <c r="O430" s="13" t="s">
        <v>213</v>
      </c>
      <c r="P430" s="14"/>
    </row>
    <row r="431" customFormat="false" ht="53.7" hidden="false" customHeight="false" outlineLevel="0" collapsed="false">
      <c r="A431" s="13" t="s">
        <v>1451</v>
      </c>
      <c r="B431" s="13" t="s">
        <v>1464</v>
      </c>
      <c r="C431" s="14" t="s">
        <v>1452</v>
      </c>
      <c r="D431" s="14" t="s">
        <v>3930</v>
      </c>
      <c r="E431" s="13"/>
      <c r="F431" s="13"/>
      <c r="G431" s="24" t="n">
        <v>505</v>
      </c>
      <c r="H431" s="24" t="n">
        <v>1400</v>
      </c>
      <c r="I431" s="24" t="n">
        <v>2200</v>
      </c>
      <c r="J431" s="13" t="s">
        <v>3931</v>
      </c>
      <c r="K431" s="13" t="s">
        <v>4239</v>
      </c>
      <c r="L431" s="14" t="s">
        <v>4486</v>
      </c>
      <c r="M431" s="14" t="s">
        <v>4487</v>
      </c>
      <c r="N431" s="13" t="s">
        <v>4488</v>
      </c>
      <c r="O431" s="13" t="s">
        <v>213</v>
      </c>
      <c r="P431" s="14"/>
    </row>
    <row r="432" customFormat="false" ht="22.35" hidden="false" customHeight="false" outlineLevel="0" collapsed="false">
      <c r="A432" s="13" t="s">
        <v>1451</v>
      </c>
      <c r="B432" s="13" t="s">
        <v>1388</v>
      </c>
      <c r="C432" s="14" t="s">
        <v>1452</v>
      </c>
      <c r="D432" s="14" t="s">
        <v>3936</v>
      </c>
      <c r="E432" s="13"/>
      <c r="F432" s="13"/>
      <c r="G432" s="24" t="n">
        <v>200</v>
      </c>
      <c r="H432" s="24" t="n">
        <v>425</v>
      </c>
      <c r="I432" s="24" t="n">
        <v>750</v>
      </c>
      <c r="J432" s="13" t="s">
        <v>3931</v>
      </c>
      <c r="K432" s="13" t="s">
        <v>3879</v>
      </c>
      <c r="L432" s="14" t="s">
        <v>4484</v>
      </c>
      <c r="M432" s="14" t="s">
        <v>4485</v>
      </c>
      <c r="N432" s="13" t="s">
        <v>3939</v>
      </c>
      <c r="O432" s="13" t="s">
        <v>213</v>
      </c>
      <c r="P432" s="14"/>
    </row>
    <row r="433" customFormat="false" ht="53.7" hidden="false" customHeight="false" outlineLevel="0" collapsed="false">
      <c r="A433" s="13" t="s">
        <v>1457</v>
      </c>
      <c r="B433" s="13" t="s">
        <v>1464</v>
      </c>
      <c r="C433" s="14" t="s">
        <v>1460</v>
      </c>
      <c r="D433" s="14" t="s">
        <v>3930</v>
      </c>
      <c r="E433" s="13"/>
      <c r="F433" s="13"/>
      <c r="G433" s="24" t="n">
        <v>505</v>
      </c>
      <c r="H433" s="24" t="n">
        <v>1400</v>
      </c>
      <c r="I433" s="24" t="n">
        <v>2200</v>
      </c>
      <c r="J433" s="13" t="s">
        <v>3931</v>
      </c>
      <c r="K433" s="13" t="s">
        <v>4239</v>
      </c>
      <c r="L433" s="14" t="s">
        <v>4486</v>
      </c>
      <c r="M433" s="14" t="s">
        <v>4487</v>
      </c>
      <c r="N433" s="13" t="s">
        <v>4488</v>
      </c>
      <c r="O433" s="13" t="s">
        <v>213</v>
      </c>
      <c r="P433" s="14"/>
    </row>
    <row r="434" customFormat="false" ht="53.7" hidden="false" customHeight="false" outlineLevel="0" collapsed="false">
      <c r="A434" s="13" t="s">
        <v>1466</v>
      </c>
      <c r="B434" s="13" t="s">
        <v>1464</v>
      </c>
      <c r="C434" s="14" t="s">
        <v>1467</v>
      </c>
      <c r="D434" s="14" t="s">
        <v>3930</v>
      </c>
      <c r="E434" s="13"/>
      <c r="F434" s="13"/>
      <c r="G434" s="24" t="n">
        <v>505</v>
      </c>
      <c r="H434" s="24" t="n">
        <v>1400</v>
      </c>
      <c r="I434" s="24" t="n">
        <v>2200</v>
      </c>
      <c r="J434" s="13" t="s">
        <v>3931</v>
      </c>
      <c r="K434" s="13" t="s">
        <v>4239</v>
      </c>
      <c r="L434" s="14" t="s">
        <v>4486</v>
      </c>
      <c r="M434" s="14" t="s">
        <v>4487</v>
      </c>
      <c r="N434" s="13" t="s">
        <v>4488</v>
      </c>
      <c r="O434" s="13" t="s">
        <v>213</v>
      </c>
      <c r="P434" s="14"/>
    </row>
    <row r="435" customFormat="false" ht="53.7" hidden="false" customHeight="false" outlineLevel="0" collapsed="false">
      <c r="A435" s="13" t="s">
        <v>1470</v>
      </c>
      <c r="B435" s="13" t="s">
        <v>1464</v>
      </c>
      <c r="C435" s="14" t="s">
        <v>1471</v>
      </c>
      <c r="D435" s="14" t="s">
        <v>3930</v>
      </c>
      <c r="E435" s="13"/>
      <c r="F435" s="13"/>
      <c r="G435" s="24" t="n">
        <v>505</v>
      </c>
      <c r="H435" s="24" t="n">
        <v>1400</v>
      </c>
      <c r="I435" s="24" t="n">
        <v>2200</v>
      </c>
      <c r="J435" s="13" t="s">
        <v>3931</v>
      </c>
      <c r="K435" s="13" t="s">
        <v>4239</v>
      </c>
      <c r="L435" s="14" t="s">
        <v>4486</v>
      </c>
      <c r="M435" s="14" t="s">
        <v>4487</v>
      </c>
      <c r="N435" s="13" t="s">
        <v>4488</v>
      </c>
      <c r="O435" s="13" t="s">
        <v>213</v>
      </c>
      <c r="P435" s="14"/>
    </row>
    <row r="436" customFormat="false" ht="53.7" hidden="false" customHeight="false" outlineLevel="0" collapsed="false">
      <c r="A436" s="13" t="s">
        <v>1474</v>
      </c>
      <c r="B436" s="13" t="s">
        <v>1464</v>
      </c>
      <c r="C436" s="14" t="s">
        <v>1475</v>
      </c>
      <c r="D436" s="14" t="s">
        <v>3930</v>
      </c>
      <c r="E436" s="13"/>
      <c r="F436" s="13"/>
      <c r="G436" s="24" t="n">
        <v>505</v>
      </c>
      <c r="H436" s="24" t="n">
        <v>1400</v>
      </c>
      <c r="I436" s="24" t="n">
        <v>2200</v>
      </c>
      <c r="J436" s="13" t="s">
        <v>3931</v>
      </c>
      <c r="K436" s="13" t="s">
        <v>4239</v>
      </c>
      <c r="L436" s="14" t="s">
        <v>4486</v>
      </c>
      <c r="M436" s="14" t="s">
        <v>4487</v>
      </c>
      <c r="N436" s="13" t="s">
        <v>4488</v>
      </c>
      <c r="O436" s="13" t="s">
        <v>213</v>
      </c>
      <c r="P436" s="14"/>
    </row>
    <row r="437" customFormat="false" ht="22.35" hidden="false" customHeight="false" outlineLevel="0" collapsed="false">
      <c r="A437" s="13" t="s">
        <v>1494</v>
      </c>
      <c r="B437" s="13" t="s">
        <v>1498</v>
      </c>
      <c r="C437" s="14" t="s">
        <v>1496</v>
      </c>
      <c r="D437" s="14" t="s">
        <v>3944</v>
      </c>
      <c r="E437" s="25"/>
      <c r="F437" s="13" t="s">
        <v>4452</v>
      </c>
      <c r="G437" s="24"/>
      <c r="H437" s="24" t="str">
        <f aca="false">IF($E437="","",$E437/12*30*60*0.5/9)</f>
        <v/>
      </c>
      <c r="I437" s="24"/>
      <c r="J437" s="13" t="s">
        <v>3770</v>
      </c>
      <c r="K437" s="13" t="s">
        <v>4489</v>
      </c>
      <c r="L437" s="14" t="s">
        <v>4490</v>
      </c>
      <c r="M437" s="14" t="s">
        <v>4491</v>
      </c>
      <c r="N437" s="13" t="s">
        <v>3948</v>
      </c>
      <c r="O437" s="13" t="str">
        <f aca="false">IF(H437="","D","C")</f>
        <v>D</v>
      </c>
      <c r="P437" s="14" t="s">
        <v>4492</v>
      </c>
    </row>
    <row r="438" customFormat="false" ht="22.35" hidden="false" customHeight="false" outlineLevel="0" collapsed="false">
      <c r="A438" s="13" t="s">
        <v>1498</v>
      </c>
      <c r="B438" s="13" t="s">
        <v>1498</v>
      </c>
      <c r="C438" s="14" t="s">
        <v>1501</v>
      </c>
      <c r="D438" s="14" t="s">
        <v>3944</v>
      </c>
      <c r="E438" s="23" t="n">
        <v>24</v>
      </c>
      <c r="F438" s="13" t="s">
        <v>4452</v>
      </c>
      <c r="G438" s="24"/>
      <c r="H438" s="24" t="n">
        <f aca="false">IF($E438="","",$E438/12*30*60*0.5/9)</f>
        <v>200</v>
      </c>
      <c r="I438" s="24"/>
      <c r="J438" s="13" t="s">
        <v>3770</v>
      </c>
      <c r="K438" s="13" t="s">
        <v>4489</v>
      </c>
      <c r="L438" s="14" t="s">
        <v>4490</v>
      </c>
      <c r="M438" s="14" t="s">
        <v>4493</v>
      </c>
      <c r="N438" s="13" t="s">
        <v>3948</v>
      </c>
      <c r="O438" s="13" t="str">
        <f aca="false">IF(H438="","D","C")</f>
        <v>C</v>
      </c>
      <c r="P438" s="14" t="s">
        <v>4494</v>
      </c>
    </row>
    <row r="439" customFormat="false" ht="22.35" hidden="false" customHeight="false" outlineLevel="0" collapsed="false">
      <c r="A439" s="13" t="s">
        <v>1505</v>
      </c>
      <c r="B439" s="13" t="s">
        <v>1510</v>
      </c>
      <c r="C439" s="14" t="s">
        <v>1507</v>
      </c>
      <c r="D439" s="14" t="s">
        <v>3949</v>
      </c>
      <c r="E439" s="23" t="n">
        <v>39.4</v>
      </c>
      <c r="F439" s="13" t="s">
        <v>4452</v>
      </c>
      <c r="G439" s="24"/>
      <c r="H439" s="24" t="n">
        <f aca="false">IF($E439="","",$E439/12*30*60*0.5/9)</f>
        <v>328.333333333333</v>
      </c>
      <c r="I439" s="24"/>
      <c r="J439" s="13" t="s">
        <v>3770</v>
      </c>
      <c r="K439" s="13" t="s">
        <v>4489</v>
      </c>
      <c r="L439" s="14" t="s">
        <v>4490</v>
      </c>
      <c r="M439" s="14" t="s">
        <v>4495</v>
      </c>
      <c r="N439" s="13" t="s">
        <v>3948</v>
      </c>
      <c r="O439" s="13" t="str">
        <f aca="false">IF(H439="","D","C")</f>
        <v>C</v>
      </c>
      <c r="P439" s="14" t="s">
        <v>4494</v>
      </c>
    </row>
    <row r="440" customFormat="false" ht="22.35" hidden="false" customHeight="false" outlineLevel="0" collapsed="false">
      <c r="A440" s="13" t="s">
        <v>1511</v>
      </c>
      <c r="B440" s="13" t="s">
        <v>1510</v>
      </c>
      <c r="C440" s="14" t="s">
        <v>1512</v>
      </c>
      <c r="D440" s="14" t="s">
        <v>3949</v>
      </c>
      <c r="E440" s="23" t="n">
        <v>49</v>
      </c>
      <c r="F440" s="13" t="s">
        <v>4452</v>
      </c>
      <c r="G440" s="24"/>
      <c r="H440" s="24" t="n">
        <f aca="false">IF($E440="","",$E440/12*30*60*0.5/9)</f>
        <v>408.333333333333</v>
      </c>
      <c r="I440" s="24"/>
      <c r="J440" s="13" t="s">
        <v>3770</v>
      </c>
      <c r="K440" s="13" t="s">
        <v>4489</v>
      </c>
      <c r="L440" s="14" t="s">
        <v>4490</v>
      </c>
      <c r="M440" s="14" t="s">
        <v>4496</v>
      </c>
      <c r="N440" s="13" t="s">
        <v>3948</v>
      </c>
      <c r="O440" s="13" t="str">
        <f aca="false">IF(H440="","D","C")</f>
        <v>C</v>
      </c>
      <c r="P440" s="14" t="s">
        <v>4494</v>
      </c>
    </row>
    <row r="441" customFormat="false" ht="32.8" hidden="false" customHeight="false" outlineLevel="0" collapsed="false">
      <c r="A441" s="13" t="s">
        <v>1516</v>
      </c>
      <c r="B441" s="13" t="s">
        <v>1520</v>
      </c>
      <c r="C441" s="14" t="s">
        <v>1518</v>
      </c>
      <c r="D441" s="14" t="s">
        <v>3952</v>
      </c>
      <c r="E441" s="13"/>
      <c r="F441" s="13"/>
      <c r="G441" s="24" t="n">
        <v>2450</v>
      </c>
      <c r="H441" s="24" t="n">
        <v>11500</v>
      </c>
      <c r="I441" s="24" t="n">
        <v>25000</v>
      </c>
      <c r="J441" s="13" t="s">
        <v>3953</v>
      </c>
      <c r="K441" s="13" t="s">
        <v>4239</v>
      </c>
      <c r="L441" s="14" t="s">
        <v>4497</v>
      </c>
      <c r="M441" s="14" t="s">
        <v>4498</v>
      </c>
      <c r="N441" s="13" t="s">
        <v>3955</v>
      </c>
      <c r="O441" s="13" t="s">
        <v>213</v>
      </c>
      <c r="P441" s="14"/>
    </row>
    <row r="442" customFormat="false" ht="32.8" hidden="false" customHeight="false" outlineLevel="0" collapsed="false">
      <c r="A442" s="13" t="s">
        <v>1522</v>
      </c>
      <c r="B442" s="13" t="s">
        <v>1520</v>
      </c>
      <c r="C442" s="14" t="s">
        <v>1524</v>
      </c>
      <c r="D442" s="14" t="s">
        <v>3952</v>
      </c>
      <c r="E442" s="13"/>
      <c r="F442" s="13"/>
      <c r="G442" s="24" t="n">
        <v>2450</v>
      </c>
      <c r="H442" s="24" t="n">
        <v>11500</v>
      </c>
      <c r="I442" s="24" t="n">
        <v>25000</v>
      </c>
      <c r="J442" s="13" t="s">
        <v>3953</v>
      </c>
      <c r="K442" s="13" t="s">
        <v>4239</v>
      </c>
      <c r="L442" s="14" t="s">
        <v>4497</v>
      </c>
      <c r="M442" s="14" t="s">
        <v>4498</v>
      </c>
      <c r="N442" s="13" t="s">
        <v>3955</v>
      </c>
      <c r="O442" s="13" t="s">
        <v>213</v>
      </c>
      <c r="P442" s="14"/>
    </row>
    <row r="443" customFormat="false" ht="22.35" hidden="false" customHeight="false" outlineLevel="0" collapsed="false">
      <c r="A443" s="13" t="s">
        <v>1528</v>
      </c>
      <c r="B443" s="13" t="s">
        <v>3960</v>
      </c>
      <c r="C443" s="14" t="s">
        <v>1531</v>
      </c>
      <c r="D443" s="14" t="s">
        <v>3961</v>
      </c>
      <c r="E443" s="13"/>
      <c r="F443" s="13"/>
      <c r="G443" s="24" t="n">
        <v>1000</v>
      </c>
      <c r="H443" s="24" t="n">
        <v>4500</v>
      </c>
      <c r="I443" s="24" t="n">
        <v>8000</v>
      </c>
      <c r="J443" s="13" t="s">
        <v>3962</v>
      </c>
      <c r="K443" s="13" t="s">
        <v>3879</v>
      </c>
      <c r="L443" s="14" t="s">
        <v>4499</v>
      </c>
      <c r="M443" s="14" t="s">
        <v>4377</v>
      </c>
      <c r="N443" s="13" t="s">
        <v>3964</v>
      </c>
      <c r="O443" s="13" t="s">
        <v>192</v>
      </c>
      <c r="P443" s="14"/>
    </row>
    <row r="444" customFormat="false" ht="22.35" hidden="false" customHeight="false" outlineLevel="0" collapsed="false">
      <c r="A444" s="13" t="s">
        <v>1536</v>
      </c>
      <c r="B444" s="13" t="s">
        <v>3960</v>
      </c>
      <c r="C444" s="14" t="s">
        <v>1537</v>
      </c>
      <c r="D444" s="14" t="s">
        <v>3961</v>
      </c>
      <c r="E444" s="13"/>
      <c r="F444" s="13"/>
      <c r="G444" s="24" t="n">
        <v>1000</v>
      </c>
      <c r="H444" s="24" t="n">
        <v>4500</v>
      </c>
      <c r="I444" s="24" t="n">
        <v>8000</v>
      </c>
      <c r="J444" s="13" t="s">
        <v>3962</v>
      </c>
      <c r="K444" s="13" t="s">
        <v>3879</v>
      </c>
      <c r="L444" s="14" t="s">
        <v>4499</v>
      </c>
      <c r="M444" s="14" t="s">
        <v>4377</v>
      </c>
      <c r="N444" s="13" t="s">
        <v>3964</v>
      </c>
      <c r="O444" s="13" t="s">
        <v>192</v>
      </c>
      <c r="P444" s="14"/>
    </row>
    <row r="445" customFormat="false" ht="22.35" hidden="false" customHeight="false" outlineLevel="0" collapsed="false">
      <c r="A445" s="13" t="s">
        <v>1540</v>
      </c>
      <c r="B445" s="13" t="s">
        <v>3960</v>
      </c>
      <c r="C445" s="14" t="s">
        <v>1093</v>
      </c>
      <c r="D445" s="14" t="s">
        <v>3961</v>
      </c>
      <c r="E445" s="13"/>
      <c r="F445" s="13"/>
      <c r="G445" s="24" t="n">
        <v>1000</v>
      </c>
      <c r="H445" s="24" t="n">
        <v>4500</v>
      </c>
      <c r="I445" s="24" t="n">
        <v>8000</v>
      </c>
      <c r="J445" s="13" t="s">
        <v>3962</v>
      </c>
      <c r="K445" s="13" t="s">
        <v>3879</v>
      </c>
      <c r="L445" s="14" t="s">
        <v>4499</v>
      </c>
      <c r="M445" s="14" t="s">
        <v>4377</v>
      </c>
      <c r="N445" s="13" t="s">
        <v>3964</v>
      </c>
      <c r="O445" s="13" t="s">
        <v>192</v>
      </c>
      <c r="P445" s="14"/>
    </row>
    <row r="446" customFormat="false" ht="22.35" hidden="false" customHeight="false" outlineLevel="0" collapsed="false">
      <c r="A446" s="13" t="s">
        <v>1543</v>
      </c>
      <c r="B446" s="13" t="s">
        <v>3960</v>
      </c>
      <c r="C446" s="14" t="s">
        <v>1103</v>
      </c>
      <c r="D446" s="14" t="s">
        <v>3961</v>
      </c>
      <c r="E446" s="13"/>
      <c r="F446" s="13"/>
      <c r="G446" s="24" t="n">
        <v>1000</v>
      </c>
      <c r="H446" s="24" t="n">
        <v>4500</v>
      </c>
      <c r="I446" s="24" t="n">
        <v>8000</v>
      </c>
      <c r="J446" s="13" t="s">
        <v>3962</v>
      </c>
      <c r="K446" s="13" t="s">
        <v>3879</v>
      </c>
      <c r="L446" s="14" t="s">
        <v>4499</v>
      </c>
      <c r="M446" s="14" t="s">
        <v>4377</v>
      </c>
      <c r="N446" s="13" t="s">
        <v>3964</v>
      </c>
      <c r="O446" s="13" t="s">
        <v>192</v>
      </c>
      <c r="P446" s="14"/>
    </row>
    <row r="447" customFormat="false" ht="32.8" hidden="false" customHeight="false" outlineLevel="0" collapsed="false">
      <c r="A447" s="13" t="s">
        <v>1546</v>
      </c>
      <c r="B447" s="13" t="s">
        <v>1551</v>
      </c>
      <c r="C447" s="14" t="s">
        <v>1548</v>
      </c>
      <c r="D447" s="14" t="s">
        <v>3965</v>
      </c>
      <c r="E447" s="13"/>
      <c r="F447" s="13"/>
      <c r="G447" s="24" t="n">
        <v>2000</v>
      </c>
      <c r="H447" s="24" t="n">
        <v>21750</v>
      </c>
      <c r="I447" s="24" t="n">
        <v>140000</v>
      </c>
      <c r="J447" s="13" t="s">
        <v>3953</v>
      </c>
      <c r="K447" s="13" t="s">
        <v>3879</v>
      </c>
      <c r="L447" s="14" t="s">
        <v>4500</v>
      </c>
      <c r="M447" s="14" t="s">
        <v>4501</v>
      </c>
      <c r="N447" s="13" t="s">
        <v>3967</v>
      </c>
      <c r="O447" s="13" t="s">
        <v>213</v>
      </c>
      <c r="P447" s="14"/>
    </row>
    <row r="448" customFormat="false" ht="32.8" hidden="false" customHeight="false" outlineLevel="0" collapsed="false">
      <c r="A448" s="13" t="s">
        <v>1553</v>
      </c>
      <c r="B448" s="13" t="s">
        <v>1551</v>
      </c>
      <c r="C448" s="14" t="s">
        <v>1554</v>
      </c>
      <c r="D448" s="14" t="s">
        <v>3965</v>
      </c>
      <c r="E448" s="13"/>
      <c r="F448" s="13"/>
      <c r="G448" s="24" t="n">
        <v>2000</v>
      </c>
      <c r="H448" s="24" t="n">
        <v>21750</v>
      </c>
      <c r="I448" s="24" t="n">
        <v>140000</v>
      </c>
      <c r="J448" s="13" t="s">
        <v>3953</v>
      </c>
      <c r="K448" s="13" t="s">
        <v>3879</v>
      </c>
      <c r="L448" s="14" t="s">
        <v>4500</v>
      </c>
      <c r="M448" s="14" t="s">
        <v>4501</v>
      </c>
      <c r="N448" s="13" t="s">
        <v>3967</v>
      </c>
      <c r="O448" s="13" t="s">
        <v>213</v>
      </c>
      <c r="P448" s="14"/>
    </row>
    <row r="449" customFormat="false" ht="32.8" hidden="false" customHeight="false" outlineLevel="0" collapsed="false">
      <c r="A449" s="13" t="s">
        <v>1557</v>
      </c>
      <c r="B449" s="13" t="s">
        <v>1551</v>
      </c>
      <c r="C449" s="14" t="s">
        <v>1558</v>
      </c>
      <c r="D449" s="14" t="s">
        <v>3965</v>
      </c>
      <c r="E449" s="13"/>
      <c r="F449" s="13"/>
      <c r="G449" s="24" t="n">
        <v>2000</v>
      </c>
      <c r="H449" s="24" t="n">
        <v>21750</v>
      </c>
      <c r="I449" s="24" t="n">
        <v>140000</v>
      </c>
      <c r="J449" s="13" t="s">
        <v>3953</v>
      </c>
      <c r="K449" s="13" t="s">
        <v>3879</v>
      </c>
      <c r="L449" s="14" t="s">
        <v>4500</v>
      </c>
      <c r="M449" s="14" t="s">
        <v>4501</v>
      </c>
      <c r="N449" s="13" t="s">
        <v>3967</v>
      </c>
      <c r="O449" s="13" t="s">
        <v>213</v>
      </c>
      <c r="P449" s="14"/>
    </row>
    <row r="450" customFormat="false" ht="32.8" hidden="false" customHeight="false" outlineLevel="0" collapsed="false">
      <c r="A450" s="13" t="s">
        <v>1561</v>
      </c>
      <c r="B450" s="13" t="s">
        <v>1551</v>
      </c>
      <c r="C450" s="14" t="s">
        <v>1562</v>
      </c>
      <c r="D450" s="14" t="s">
        <v>3965</v>
      </c>
      <c r="E450" s="13"/>
      <c r="F450" s="13"/>
      <c r="G450" s="24" t="n">
        <v>2000</v>
      </c>
      <c r="H450" s="24" t="n">
        <v>21750</v>
      </c>
      <c r="I450" s="24" t="n">
        <v>140000</v>
      </c>
      <c r="J450" s="13" t="s">
        <v>3953</v>
      </c>
      <c r="K450" s="13" t="s">
        <v>3879</v>
      </c>
      <c r="L450" s="14" t="s">
        <v>4500</v>
      </c>
      <c r="M450" s="14" t="s">
        <v>4501</v>
      </c>
      <c r="N450" s="13" t="s">
        <v>3967</v>
      </c>
      <c r="O450" s="13" t="s">
        <v>213</v>
      </c>
      <c r="P450" s="14"/>
    </row>
    <row r="451" customFormat="false" ht="15" hidden="false" customHeight="false" outlineLevel="0" collapsed="false">
      <c r="A451" s="13" t="s">
        <v>1565</v>
      </c>
      <c r="B451" s="13" t="s">
        <v>1572</v>
      </c>
      <c r="C451" s="14" t="s">
        <v>1568</v>
      </c>
      <c r="D451" s="14" t="s">
        <v>3968</v>
      </c>
      <c r="E451" s="13"/>
      <c r="F451" s="13"/>
      <c r="G451" s="24"/>
      <c r="H451" s="24"/>
      <c r="I451" s="24"/>
      <c r="J451" s="13" t="s">
        <v>3969</v>
      </c>
      <c r="K451" s="13" t="s">
        <v>3771</v>
      </c>
      <c r="L451" s="14"/>
      <c r="M451" s="14" t="s">
        <v>3970</v>
      </c>
      <c r="N451" s="13"/>
      <c r="O451" s="13" t="s">
        <v>188</v>
      </c>
      <c r="P451" s="14" t="s">
        <v>4145</v>
      </c>
    </row>
    <row r="452" customFormat="false" ht="15" hidden="false" customHeight="false" outlineLevel="0" collapsed="false">
      <c r="A452" s="13" t="s">
        <v>1575</v>
      </c>
      <c r="B452" s="13" t="s">
        <v>1572</v>
      </c>
      <c r="C452" s="14" t="s">
        <v>1576</v>
      </c>
      <c r="D452" s="14" t="s">
        <v>3968</v>
      </c>
      <c r="E452" s="13"/>
      <c r="F452" s="13"/>
      <c r="G452" s="24"/>
      <c r="H452" s="24"/>
      <c r="I452" s="24"/>
      <c r="J452" s="13" t="s">
        <v>3969</v>
      </c>
      <c r="K452" s="13" t="s">
        <v>3771</v>
      </c>
      <c r="L452" s="14"/>
      <c r="M452" s="14" t="s">
        <v>3970</v>
      </c>
      <c r="N452" s="13"/>
      <c r="O452" s="13" t="s">
        <v>188</v>
      </c>
      <c r="P452" s="14" t="s">
        <v>4145</v>
      </c>
    </row>
    <row r="453" customFormat="false" ht="15" hidden="false" customHeight="false" outlineLevel="0" collapsed="false">
      <c r="A453" s="13" t="s">
        <v>1577</v>
      </c>
      <c r="B453" s="13" t="s">
        <v>1572</v>
      </c>
      <c r="C453" s="14" t="s">
        <v>1579</v>
      </c>
      <c r="D453" s="14" t="s">
        <v>3968</v>
      </c>
      <c r="E453" s="13"/>
      <c r="F453" s="13"/>
      <c r="G453" s="24"/>
      <c r="H453" s="24"/>
      <c r="I453" s="24"/>
      <c r="J453" s="13" t="s">
        <v>3969</v>
      </c>
      <c r="K453" s="13" t="s">
        <v>3771</v>
      </c>
      <c r="L453" s="14"/>
      <c r="M453" s="14" t="s">
        <v>3970</v>
      </c>
      <c r="N453" s="13"/>
      <c r="O453" s="13" t="s">
        <v>188</v>
      </c>
      <c r="P453" s="14" t="s">
        <v>4145</v>
      </c>
    </row>
    <row r="454" customFormat="false" ht="15" hidden="false" customHeight="false" outlineLevel="0" collapsed="false">
      <c r="A454" s="13" t="s">
        <v>1589</v>
      </c>
      <c r="B454" s="13" t="s">
        <v>1572</v>
      </c>
      <c r="C454" s="14" t="s">
        <v>1591</v>
      </c>
      <c r="D454" s="14" t="s">
        <v>3968</v>
      </c>
      <c r="E454" s="13"/>
      <c r="F454" s="13"/>
      <c r="G454" s="24"/>
      <c r="H454" s="24"/>
      <c r="I454" s="24"/>
      <c r="J454" s="13" t="s">
        <v>3969</v>
      </c>
      <c r="K454" s="13" t="s">
        <v>3771</v>
      </c>
      <c r="L454" s="14"/>
      <c r="M454" s="14" t="s">
        <v>3970</v>
      </c>
      <c r="N454" s="13"/>
      <c r="O454" s="13" t="s">
        <v>188</v>
      </c>
      <c r="P454" s="14" t="s">
        <v>4145</v>
      </c>
    </row>
    <row r="455" customFormat="false" ht="15" hidden="false" customHeight="false" outlineLevel="0" collapsed="false">
      <c r="A455" s="13" t="s">
        <v>1597</v>
      </c>
      <c r="B455" s="13" t="s">
        <v>1572</v>
      </c>
      <c r="C455" s="14" t="s">
        <v>1598</v>
      </c>
      <c r="D455" s="14" t="s">
        <v>3968</v>
      </c>
      <c r="E455" s="13"/>
      <c r="F455" s="13"/>
      <c r="G455" s="24"/>
      <c r="H455" s="24"/>
      <c r="I455" s="24"/>
      <c r="J455" s="13" t="s">
        <v>3969</v>
      </c>
      <c r="K455" s="13" t="s">
        <v>3771</v>
      </c>
      <c r="L455" s="14"/>
      <c r="M455" s="14" t="s">
        <v>3970</v>
      </c>
      <c r="N455" s="13"/>
      <c r="O455" s="13" t="s">
        <v>188</v>
      </c>
      <c r="P455" s="14" t="s">
        <v>4145</v>
      </c>
    </row>
    <row r="456" customFormat="false" ht="15" hidden="false" customHeight="false" outlineLevel="0" collapsed="false">
      <c r="A456" s="13" t="s">
        <v>1602</v>
      </c>
      <c r="B456" s="13" t="s">
        <v>1572</v>
      </c>
      <c r="C456" s="14" t="s">
        <v>1603</v>
      </c>
      <c r="D456" s="14" t="s">
        <v>3968</v>
      </c>
      <c r="E456" s="13"/>
      <c r="F456" s="13"/>
      <c r="G456" s="24"/>
      <c r="H456" s="24"/>
      <c r="I456" s="24"/>
      <c r="J456" s="13" t="s">
        <v>3969</v>
      </c>
      <c r="K456" s="13" t="s">
        <v>3771</v>
      </c>
      <c r="L456" s="14"/>
      <c r="M456" s="14" t="s">
        <v>3970</v>
      </c>
      <c r="N456" s="13"/>
      <c r="O456" s="13" t="s">
        <v>188</v>
      </c>
      <c r="P456" s="14" t="s">
        <v>4145</v>
      </c>
    </row>
    <row r="457" customFormat="false" ht="15" hidden="false" customHeight="false" outlineLevel="0" collapsed="false">
      <c r="A457" s="13" t="s">
        <v>1607</v>
      </c>
      <c r="B457" s="13" t="s">
        <v>1572</v>
      </c>
      <c r="C457" s="14" t="s">
        <v>1609</v>
      </c>
      <c r="D457" s="14" t="s">
        <v>3968</v>
      </c>
      <c r="E457" s="13"/>
      <c r="F457" s="13"/>
      <c r="G457" s="24"/>
      <c r="H457" s="24"/>
      <c r="I457" s="24"/>
      <c r="J457" s="13" t="s">
        <v>3969</v>
      </c>
      <c r="K457" s="13" t="s">
        <v>3771</v>
      </c>
      <c r="L457" s="14"/>
      <c r="M457" s="14" t="s">
        <v>3970</v>
      </c>
      <c r="N457" s="13"/>
      <c r="O457" s="13" t="s">
        <v>188</v>
      </c>
      <c r="P457" s="14" t="s">
        <v>4145</v>
      </c>
    </row>
    <row r="458" customFormat="false" ht="15" hidden="false" customHeight="false" outlineLevel="0" collapsed="false">
      <c r="A458" s="13" t="s">
        <v>1614</v>
      </c>
      <c r="B458" s="13" t="s">
        <v>1572</v>
      </c>
      <c r="C458" s="14" t="s">
        <v>1615</v>
      </c>
      <c r="D458" s="14" t="s">
        <v>3968</v>
      </c>
      <c r="E458" s="13"/>
      <c r="F458" s="13"/>
      <c r="G458" s="24"/>
      <c r="H458" s="24"/>
      <c r="I458" s="24"/>
      <c r="J458" s="13" t="s">
        <v>3969</v>
      </c>
      <c r="K458" s="13" t="s">
        <v>3771</v>
      </c>
      <c r="L458" s="14"/>
      <c r="M458" s="14" t="s">
        <v>3970</v>
      </c>
      <c r="N458" s="13"/>
      <c r="O458" s="13" t="s">
        <v>188</v>
      </c>
      <c r="P458" s="14" t="s">
        <v>4145</v>
      </c>
    </row>
    <row r="459" customFormat="false" ht="15" hidden="false" customHeight="false" outlineLevel="0" collapsed="false">
      <c r="A459" s="13" t="s">
        <v>1625</v>
      </c>
      <c r="B459" s="13" t="s">
        <v>1632</v>
      </c>
      <c r="C459" s="14" t="s">
        <v>1628</v>
      </c>
      <c r="D459" s="14" t="s">
        <v>3975</v>
      </c>
      <c r="E459" s="13"/>
      <c r="F459" s="13"/>
      <c r="G459" s="24"/>
      <c r="H459" s="24"/>
      <c r="I459" s="24"/>
      <c r="J459" s="13" t="s">
        <v>3972</v>
      </c>
      <c r="K459" s="13" t="s">
        <v>3771</v>
      </c>
      <c r="L459" s="14"/>
      <c r="M459" s="14" t="s">
        <v>4502</v>
      </c>
      <c r="N459" s="13" t="s">
        <v>3977</v>
      </c>
      <c r="O459" s="13" t="s">
        <v>188</v>
      </c>
      <c r="P459" s="14" t="s">
        <v>4145</v>
      </c>
    </row>
    <row r="460" customFormat="false" ht="15" hidden="false" customHeight="false" outlineLevel="0" collapsed="false">
      <c r="A460" s="13" t="s">
        <v>1634</v>
      </c>
      <c r="B460" s="13" t="s">
        <v>1632</v>
      </c>
      <c r="C460" s="14" t="s">
        <v>1635</v>
      </c>
      <c r="D460" s="14" t="s">
        <v>3975</v>
      </c>
      <c r="E460" s="13"/>
      <c r="F460" s="13"/>
      <c r="G460" s="24"/>
      <c r="H460" s="24"/>
      <c r="I460" s="24"/>
      <c r="J460" s="13" t="s">
        <v>3972</v>
      </c>
      <c r="K460" s="13" t="s">
        <v>3771</v>
      </c>
      <c r="L460" s="14"/>
      <c r="M460" s="14" t="s">
        <v>4502</v>
      </c>
      <c r="N460" s="13" t="s">
        <v>3977</v>
      </c>
      <c r="O460" s="13" t="s">
        <v>188</v>
      </c>
      <c r="P460" s="14" t="s">
        <v>4145</v>
      </c>
    </row>
    <row r="461" customFormat="false" ht="15" hidden="false" customHeight="false" outlineLevel="0" collapsed="false">
      <c r="A461" s="13" t="s">
        <v>1638</v>
      </c>
      <c r="B461" s="13" t="s">
        <v>1632</v>
      </c>
      <c r="C461" s="14" t="s">
        <v>1639</v>
      </c>
      <c r="D461" s="14" t="s">
        <v>3975</v>
      </c>
      <c r="E461" s="13"/>
      <c r="F461" s="13"/>
      <c r="G461" s="24"/>
      <c r="H461" s="24"/>
      <c r="I461" s="24"/>
      <c r="J461" s="13" t="s">
        <v>3972</v>
      </c>
      <c r="K461" s="13" t="s">
        <v>3771</v>
      </c>
      <c r="L461" s="14"/>
      <c r="M461" s="14" t="s">
        <v>4502</v>
      </c>
      <c r="N461" s="13" t="s">
        <v>3977</v>
      </c>
      <c r="O461" s="13" t="s">
        <v>188</v>
      </c>
      <c r="P461" s="14" t="s">
        <v>4145</v>
      </c>
    </row>
    <row r="462" customFormat="false" ht="22.35" hidden="false" customHeight="false" outlineLevel="0" collapsed="false">
      <c r="A462" s="13" t="s">
        <v>1642</v>
      </c>
      <c r="B462" s="13" t="s">
        <v>1642</v>
      </c>
      <c r="C462" s="14" t="s">
        <v>1644</v>
      </c>
      <c r="D462" s="14" t="s">
        <v>3971</v>
      </c>
      <c r="E462" s="13"/>
      <c r="F462" s="13"/>
      <c r="G462" s="24" t="n">
        <v>12500</v>
      </c>
      <c r="H462" s="24" t="n">
        <v>50000</v>
      </c>
      <c r="I462" s="24" t="n">
        <v>100000</v>
      </c>
      <c r="J462" s="13" t="s">
        <v>3972</v>
      </c>
      <c r="K462" s="13" t="s">
        <v>3879</v>
      </c>
      <c r="L462" s="14" t="s">
        <v>4503</v>
      </c>
      <c r="M462" s="14" t="s">
        <v>4504</v>
      </c>
      <c r="N462" s="13" t="s">
        <v>3974</v>
      </c>
      <c r="O462" s="13" t="s">
        <v>213</v>
      </c>
      <c r="P462" s="14"/>
    </row>
    <row r="463" customFormat="false" ht="22.35" hidden="false" customHeight="false" outlineLevel="0" collapsed="false">
      <c r="A463" s="13" t="s">
        <v>1649</v>
      </c>
      <c r="B463" s="13" t="s">
        <v>1656</v>
      </c>
      <c r="C463" s="14" t="s">
        <v>1652</v>
      </c>
      <c r="D463" s="14" t="s">
        <v>3978</v>
      </c>
      <c r="E463" s="13"/>
      <c r="F463" s="13"/>
      <c r="G463" s="24" t="n">
        <v>688</v>
      </c>
      <c r="H463" s="24" t="n">
        <v>2495</v>
      </c>
      <c r="I463" s="24" t="n">
        <v>4108</v>
      </c>
      <c r="J463" s="13" t="s">
        <v>3953</v>
      </c>
      <c r="K463" s="13" t="s">
        <v>3879</v>
      </c>
      <c r="L463" s="14" t="s">
        <v>4505</v>
      </c>
      <c r="M463" s="14" t="s">
        <v>4506</v>
      </c>
      <c r="N463" s="13" t="s">
        <v>3964</v>
      </c>
      <c r="O463" s="13" t="s">
        <v>192</v>
      </c>
      <c r="P463" s="14"/>
    </row>
    <row r="464" customFormat="false" ht="15" hidden="false" customHeight="false" outlineLevel="0" collapsed="false">
      <c r="A464" s="13" t="s">
        <v>1659</v>
      </c>
      <c r="B464" s="13" t="s">
        <v>1667</v>
      </c>
      <c r="C464" s="14" t="s">
        <v>1663</v>
      </c>
      <c r="D464" s="14" t="s">
        <v>4013</v>
      </c>
      <c r="E464" s="13"/>
      <c r="F464" s="13"/>
      <c r="G464" s="24"/>
      <c r="H464" s="24"/>
      <c r="I464" s="24"/>
      <c r="J464" s="13" t="s">
        <v>4014</v>
      </c>
      <c r="K464" s="13" t="s">
        <v>3771</v>
      </c>
      <c r="L464" s="14"/>
      <c r="M464" s="14" t="s">
        <v>4015</v>
      </c>
      <c r="N464" s="13"/>
      <c r="O464" s="13" t="s">
        <v>188</v>
      </c>
      <c r="P464" s="14" t="s">
        <v>4145</v>
      </c>
    </row>
    <row r="465" customFormat="false" ht="15" hidden="false" customHeight="false" outlineLevel="0" collapsed="false">
      <c r="A465" s="13" t="s">
        <v>1669</v>
      </c>
      <c r="B465" s="13" t="s">
        <v>1667</v>
      </c>
      <c r="C465" s="14" t="s">
        <v>1671</v>
      </c>
      <c r="D465" s="14" t="s">
        <v>4013</v>
      </c>
      <c r="E465" s="13"/>
      <c r="F465" s="13"/>
      <c r="G465" s="24"/>
      <c r="H465" s="24"/>
      <c r="I465" s="24"/>
      <c r="J465" s="13" t="s">
        <v>4014</v>
      </c>
      <c r="K465" s="13" t="s">
        <v>3771</v>
      </c>
      <c r="L465" s="14"/>
      <c r="M465" s="14" t="s">
        <v>4015</v>
      </c>
      <c r="N465" s="13"/>
      <c r="O465" s="13" t="s">
        <v>188</v>
      </c>
      <c r="P465" s="14" t="s">
        <v>4145</v>
      </c>
    </row>
    <row r="466" customFormat="false" ht="15" hidden="false" customHeight="false" outlineLevel="0" collapsed="false">
      <c r="A466" s="13" t="s">
        <v>1673</v>
      </c>
      <c r="B466" s="13" t="s">
        <v>1667</v>
      </c>
      <c r="C466" s="14" t="s">
        <v>1674</v>
      </c>
      <c r="D466" s="14" t="s">
        <v>4013</v>
      </c>
      <c r="E466" s="13"/>
      <c r="F466" s="13"/>
      <c r="G466" s="24"/>
      <c r="H466" s="24"/>
      <c r="I466" s="24"/>
      <c r="J466" s="13" t="s">
        <v>4014</v>
      </c>
      <c r="K466" s="13" t="s">
        <v>3771</v>
      </c>
      <c r="L466" s="14"/>
      <c r="M466" s="14" t="s">
        <v>4015</v>
      </c>
      <c r="N466" s="13"/>
      <c r="O466" s="13" t="s">
        <v>188</v>
      </c>
      <c r="P466" s="14" t="s">
        <v>4145</v>
      </c>
    </row>
    <row r="467" customFormat="false" ht="22.35" hidden="false" customHeight="false" outlineLevel="0" collapsed="false">
      <c r="A467" s="13" t="s">
        <v>1687</v>
      </c>
      <c r="B467" s="13" t="s">
        <v>1696</v>
      </c>
      <c r="C467" s="14" t="s">
        <v>1690</v>
      </c>
      <c r="D467" s="14" t="s">
        <v>3980</v>
      </c>
      <c r="E467" s="13"/>
      <c r="F467" s="13"/>
      <c r="G467" s="24" t="n">
        <v>60</v>
      </c>
      <c r="H467" s="24" t="n">
        <v>80</v>
      </c>
      <c r="I467" s="24" t="n">
        <v>100</v>
      </c>
      <c r="J467" s="13" t="s">
        <v>3981</v>
      </c>
      <c r="K467" s="13" t="s">
        <v>3982</v>
      </c>
      <c r="L467" s="14" t="s">
        <v>4507</v>
      </c>
      <c r="M467" s="14" t="s">
        <v>4508</v>
      </c>
      <c r="N467" s="13" t="s">
        <v>3984</v>
      </c>
      <c r="O467" s="13" t="s">
        <v>192</v>
      </c>
      <c r="P467" s="14"/>
    </row>
    <row r="468" customFormat="false" ht="22.35" hidden="false" customHeight="false" outlineLevel="0" collapsed="false">
      <c r="A468" s="13" t="s">
        <v>1698</v>
      </c>
      <c r="B468" s="13" t="s">
        <v>1696</v>
      </c>
      <c r="C468" s="14" t="s">
        <v>1699</v>
      </c>
      <c r="D468" s="14" t="s">
        <v>3980</v>
      </c>
      <c r="E468" s="13"/>
      <c r="F468" s="13"/>
      <c r="G468" s="24" t="n">
        <v>60</v>
      </c>
      <c r="H468" s="24" t="n">
        <v>80</v>
      </c>
      <c r="I468" s="24" t="n">
        <v>100</v>
      </c>
      <c r="J468" s="13" t="s">
        <v>3981</v>
      </c>
      <c r="K468" s="13" t="s">
        <v>3982</v>
      </c>
      <c r="L468" s="14" t="s">
        <v>4507</v>
      </c>
      <c r="M468" s="14" t="s">
        <v>4508</v>
      </c>
      <c r="N468" s="13" t="s">
        <v>3984</v>
      </c>
      <c r="O468" s="13" t="s">
        <v>192</v>
      </c>
      <c r="P468" s="14"/>
    </row>
    <row r="469" customFormat="false" ht="22.35" hidden="false" customHeight="false" outlineLevel="0" collapsed="false">
      <c r="A469" s="13" t="s">
        <v>1702</v>
      </c>
      <c r="B469" s="13" t="s">
        <v>1702</v>
      </c>
      <c r="C469" s="14" t="s">
        <v>1704</v>
      </c>
      <c r="D469" s="14" t="s">
        <v>3985</v>
      </c>
      <c r="E469" s="13"/>
      <c r="F469" s="13"/>
      <c r="G469" s="24" t="n">
        <v>40</v>
      </c>
      <c r="H469" s="24" t="n">
        <v>50</v>
      </c>
      <c r="I469" s="24" t="n">
        <v>60</v>
      </c>
      <c r="J469" s="13" t="s">
        <v>3981</v>
      </c>
      <c r="K469" s="13" t="s">
        <v>3982</v>
      </c>
      <c r="L469" s="14" t="s">
        <v>4509</v>
      </c>
      <c r="M469" s="14" t="s">
        <v>4510</v>
      </c>
      <c r="N469" s="13" t="s">
        <v>3987</v>
      </c>
      <c r="O469" s="13" t="s">
        <v>192</v>
      </c>
      <c r="P469" s="14"/>
    </row>
    <row r="470" customFormat="false" ht="22.35" hidden="false" customHeight="false" outlineLevel="0" collapsed="false">
      <c r="A470" s="13" t="s">
        <v>1708</v>
      </c>
      <c r="B470" s="13" t="s">
        <v>1696</v>
      </c>
      <c r="C470" s="14" t="s">
        <v>1709</v>
      </c>
      <c r="D470" s="14" t="s">
        <v>3980</v>
      </c>
      <c r="E470" s="13"/>
      <c r="F470" s="13"/>
      <c r="G470" s="24" t="n">
        <v>60</v>
      </c>
      <c r="H470" s="24" t="n">
        <v>80</v>
      </c>
      <c r="I470" s="24" t="n">
        <v>100</v>
      </c>
      <c r="J470" s="13" t="s">
        <v>3981</v>
      </c>
      <c r="K470" s="13" t="s">
        <v>3982</v>
      </c>
      <c r="L470" s="14" t="s">
        <v>4507</v>
      </c>
      <c r="M470" s="14" t="s">
        <v>4508</v>
      </c>
      <c r="N470" s="13" t="s">
        <v>3984</v>
      </c>
      <c r="O470" s="13" t="s">
        <v>192</v>
      </c>
      <c r="P470" s="14"/>
    </row>
    <row r="471" customFormat="false" ht="15" hidden="false" customHeight="false" outlineLevel="0" collapsed="false">
      <c r="A471" s="13" t="s">
        <v>1713</v>
      </c>
      <c r="B471" s="13" t="s">
        <v>1720</v>
      </c>
      <c r="C471" s="14" t="s">
        <v>1716</v>
      </c>
      <c r="D471" s="14" t="s">
        <v>4011</v>
      </c>
      <c r="E471" s="13"/>
      <c r="F471" s="13"/>
      <c r="G471" s="24"/>
      <c r="H471" s="24"/>
      <c r="I471" s="24"/>
      <c r="J471" s="13" t="s">
        <v>3981</v>
      </c>
      <c r="K471" s="13" t="s">
        <v>3771</v>
      </c>
      <c r="L471" s="14"/>
      <c r="M471" s="14" t="s">
        <v>4511</v>
      </c>
      <c r="N471" s="13"/>
      <c r="O471" s="13" t="s">
        <v>188</v>
      </c>
      <c r="P471" s="14" t="s">
        <v>4145</v>
      </c>
    </row>
    <row r="472" customFormat="false" ht="22.35" hidden="false" customHeight="false" outlineLevel="0" collapsed="false">
      <c r="A472" s="13" t="s">
        <v>1722</v>
      </c>
      <c r="B472" s="13" t="s">
        <v>1730</v>
      </c>
      <c r="C472" s="14" t="s">
        <v>1725</v>
      </c>
      <c r="D472" s="14" t="s">
        <v>3990</v>
      </c>
      <c r="E472" s="13"/>
      <c r="F472" s="13"/>
      <c r="G472" s="24" t="n">
        <v>30</v>
      </c>
      <c r="H472" s="24" t="n">
        <v>45</v>
      </c>
      <c r="I472" s="24" t="n">
        <v>60</v>
      </c>
      <c r="J472" s="13" t="s">
        <v>3981</v>
      </c>
      <c r="K472" s="13" t="s">
        <v>3982</v>
      </c>
      <c r="L472" s="14" t="s">
        <v>4512</v>
      </c>
      <c r="M472" s="14" t="s">
        <v>4513</v>
      </c>
      <c r="N472" s="13" t="s">
        <v>3987</v>
      </c>
      <c r="O472" s="13" t="s">
        <v>192</v>
      </c>
      <c r="P472" s="14"/>
    </row>
    <row r="473" customFormat="false" ht="22.35" hidden="false" customHeight="false" outlineLevel="0" collapsed="false">
      <c r="A473" s="13" t="s">
        <v>1732</v>
      </c>
      <c r="B473" s="13" t="s">
        <v>1730</v>
      </c>
      <c r="C473" s="14" t="s">
        <v>1734</v>
      </c>
      <c r="D473" s="14" t="s">
        <v>3990</v>
      </c>
      <c r="E473" s="13"/>
      <c r="F473" s="13"/>
      <c r="G473" s="24" t="n">
        <v>30</v>
      </c>
      <c r="H473" s="24" t="n">
        <v>45</v>
      </c>
      <c r="I473" s="24" t="n">
        <v>60</v>
      </c>
      <c r="J473" s="13" t="s">
        <v>3981</v>
      </c>
      <c r="K473" s="13" t="s">
        <v>3982</v>
      </c>
      <c r="L473" s="14" t="s">
        <v>4512</v>
      </c>
      <c r="M473" s="14" t="s">
        <v>4513</v>
      </c>
      <c r="N473" s="13" t="s">
        <v>3987</v>
      </c>
      <c r="O473" s="13" t="s">
        <v>192</v>
      </c>
      <c r="P473" s="14"/>
    </row>
    <row r="474" customFormat="false" ht="22.35" hidden="false" customHeight="false" outlineLevel="0" collapsed="false">
      <c r="A474" s="13" t="s">
        <v>1741</v>
      </c>
      <c r="B474" s="13" t="s">
        <v>1749</v>
      </c>
      <c r="C474" s="14" t="s">
        <v>1744</v>
      </c>
      <c r="D474" s="14" t="s">
        <v>3992</v>
      </c>
      <c r="E474" s="13"/>
      <c r="F474" s="13"/>
      <c r="G474" s="24" t="n">
        <v>700</v>
      </c>
      <c r="H474" s="24" t="n">
        <v>1100</v>
      </c>
      <c r="I474" s="24" t="n">
        <v>1500</v>
      </c>
      <c r="J474" s="13" t="s">
        <v>3993</v>
      </c>
      <c r="K474" s="13" t="s">
        <v>3994</v>
      </c>
      <c r="L474" s="14" t="s">
        <v>4514</v>
      </c>
      <c r="M474" s="14" t="s">
        <v>4515</v>
      </c>
      <c r="N474" s="13" t="s">
        <v>3996</v>
      </c>
      <c r="O474" s="13" t="s">
        <v>192</v>
      </c>
      <c r="P474" s="14"/>
    </row>
    <row r="475" customFormat="false" ht="22.35" hidden="false" customHeight="false" outlineLevel="0" collapsed="false">
      <c r="A475" s="13" t="s">
        <v>1751</v>
      </c>
      <c r="B475" s="13" t="s">
        <v>1757</v>
      </c>
      <c r="C475" s="14" t="s">
        <v>1753</v>
      </c>
      <c r="D475" s="14" t="s">
        <v>3997</v>
      </c>
      <c r="E475" s="13"/>
      <c r="F475" s="13"/>
      <c r="G475" s="24" t="n">
        <v>2100</v>
      </c>
      <c r="H475" s="24" t="n">
        <v>4400</v>
      </c>
      <c r="I475" s="24" t="n">
        <v>7500</v>
      </c>
      <c r="J475" s="13" t="s">
        <v>3993</v>
      </c>
      <c r="K475" s="13" t="s">
        <v>4516</v>
      </c>
      <c r="L475" s="14" t="s">
        <v>4517</v>
      </c>
      <c r="M475" s="14" t="s">
        <v>4518</v>
      </c>
      <c r="N475" s="13" t="s">
        <v>3996</v>
      </c>
      <c r="O475" s="13" t="s">
        <v>193</v>
      </c>
      <c r="P475" s="14"/>
    </row>
    <row r="476" customFormat="false" ht="22.35" hidden="false" customHeight="false" outlineLevel="0" collapsed="false">
      <c r="A476" s="13" t="s">
        <v>1759</v>
      </c>
      <c r="B476" s="13" t="s">
        <v>1757</v>
      </c>
      <c r="C476" s="14" t="s">
        <v>1760</v>
      </c>
      <c r="D476" s="14" t="s">
        <v>3997</v>
      </c>
      <c r="E476" s="13"/>
      <c r="F476" s="13"/>
      <c r="G476" s="24" t="n">
        <v>2100</v>
      </c>
      <c r="H476" s="24" t="n">
        <v>4400</v>
      </c>
      <c r="I476" s="24" t="n">
        <v>7500</v>
      </c>
      <c r="J476" s="13" t="s">
        <v>3993</v>
      </c>
      <c r="K476" s="13" t="s">
        <v>4516</v>
      </c>
      <c r="L476" s="14" t="s">
        <v>4517</v>
      </c>
      <c r="M476" s="14" t="s">
        <v>4518</v>
      </c>
      <c r="N476" s="13" t="s">
        <v>3996</v>
      </c>
      <c r="O476" s="13" t="s">
        <v>193</v>
      </c>
      <c r="P476" s="14"/>
    </row>
    <row r="477" customFormat="false" ht="22.35" hidden="false" customHeight="false" outlineLevel="0" collapsed="false">
      <c r="A477" s="13" t="s">
        <v>1761</v>
      </c>
      <c r="B477" s="13" t="s">
        <v>1757</v>
      </c>
      <c r="C477" s="14" t="s">
        <v>1762</v>
      </c>
      <c r="D477" s="14" t="s">
        <v>3997</v>
      </c>
      <c r="E477" s="13"/>
      <c r="F477" s="13"/>
      <c r="G477" s="24" t="n">
        <v>2100</v>
      </c>
      <c r="H477" s="24" t="n">
        <v>4400</v>
      </c>
      <c r="I477" s="24" t="n">
        <v>7500</v>
      </c>
      <c r="J477" s="13" t="s">
        <v>3993</v>
      </c>
      <c r="K477" s="13" t="s">
        <v>4516</v>
      </c>
      <c r="L477" s="14" t="s">
        <v>4517</v>
      </c>
      <c r="M477" s="14" t="s">
        <v>4518</v>
      </c>
      <c r="N477" s="13" t="s">
        <v>3996</v>
      </c>
      <c r="O477" s="13" t="s">
        <v>193</v>
      </c>
      <c r="P477" s="14"/>
    </row>
    <row r="478" customFormat="false" ht="22.35" hidden="false" customHeight="false" outlineLevel="0" collapsed="false">
      <c r="A478" s="13" t="s">
        <v>1763</v>
      </c>
      <c r="B478" s="13" t="s">
        <v>1730</v>
      </c>
      <c r="C478" s="14" t="s">
        <v>1765</v>
      </c>
      <c r="D478" s="14" t="s">
        <v>3990</v>
      </c>
      <c r="E478" s="13"/>
      <c r="F478" s="13"/>
      <c r="G478" s="24" t="n">
        <v>30</v>
      </c>
      <c r="H478" s="24" t="n">
        <v>45</v>
      </c>
      <c r="I478" s="24" t="n">
        <v>60</v>
      </c>
      <c r="J478" s="13" t="s">
        <v>3981</v>
      </c>
      <c r="K478" s="13" t="s">
        <v>3982</v>
      </c>
      <c r="L478" s="14" t="s">
        <v>4512</v>
      </c>
      <c r="M478" s="14" t="s">
        <v>4513</v>
      </c>
      <c r="N478" s="13" t="s">
        <v>3987</v>
      </c>
      <c r="O478" s="13" t="s">
        <v>192</v>
      </c>
      <c r="P478" s="14"/>
    </row>
    <row r="479" customFormat="false" ht="22.35" hidden="false" customHeight="false" outlineLevel="0" collapsed="false">
      <c r="A479" s="13" t="s">
        <v>1767</v>
      </c>
      <c r="B479" s="13" t="s">
        <v>1730</v>
      </c>
      <c r="C479" s="14" t="s">
        <v>1768</v>
      </c>
      <c r="D479" s="14" t="s">
        <v>3990</v>
      </c>
      <c r="E479" s="13"/>
      <c r="F479" s="13"/>
      <c r="G479" s="24" t="n">
        <v>30</v>
      </c>
      <c r="H479" s="24" t="n">
        <v>45</v>
      </c>
      <c r="I479" s="24" t="n">
        <v>60</v>
      </c>
      <c r="J479" s="13" t="s">
        <v>3981</v>
      </c>
      <c r="K479" s="13" t="s">
        <v>3982</v>
      </c>
      <c r="L479" s="14" t="s">
        <v>4512</v>
      </c>
      <c r="M479" s="14" t="s">
        <v>4513</v>
      </c>
      <c r="N479" s="13" t="s">
        <v>3987</v>
      </c>
      <c r="O479" s="13" t="s">
        <v>192</v>
      </c>
      <c r="P479" s="14"/>
    </row>
    <row r="480" customFormat="false" ht="22.35" hidden="false" customHeight="false" outlineLevel="0" collapsed="false">
      <c r="A480" s="13" t="s">
        <v>1770</v>
      </c>
      <c r="B480" s="13" t="s">
        <v>1730</v>
      </c>
      <c r="C480" s="14" t="s">
        <v>1772</v>
      </c>
      <c r="D480" s="14" t="s">
        <v>3990</v>
      </c>
      <c r="E480" s="13"/>
      <c r="F480" s="13"/>
      <c r="G480" s="24" t="n">
        <v>30</v>
      </c>
      <c r="H480" s="24" t="n">
        <v>45</v>
      </c>
      <c r="I480" s="24" t="n">
        <v>60</v>
      </c>
      <c r="J480" s="13" t="s">
        <v>3981</v>
      </c>
      <c r="K480" s="13" t="s">
        <v>3982</v>
      </c>
      <c r="L480" s="14" t="s">
        <v>4512</v>
      </c>
      <c r="M480" s="14" t="s">
        <v>4513</v>
      </c>
      <c r="N480" s="13" t="s">
        <v>3987</v>
      </c>
      <c r="O480" s="13" t="s">
        <v>192</v>
      </c>
      <c r="P480" s="14"/>
    </row>
    <row r="481" customFormat="false" ht="22.35" hidden="false" customHeight="false" outlineLevel="0" collapsed="false">
      <c r="A481" s="13" t="s">
        <v>1774</v>
      </c>
      <c r="B481" s="13" t="s">
        <v>1730</v>
      </c>
      <c r="C481" s="14" t="s">
        <v>1776</v>
      </c>
      <c r="D481" s="14" t="s">
        <v>3990</v>
      </c>
      <c r="E481" s="13"/>
      <c r="F481" s="13"/>
      <c r="G481" s="24" t="n">
        <v>30</v>
      </c>
      <c r="H481" s="24" t="n">
        <v>45</v>
      </c>
      <c r="I481" s="24" t="n">
        <v>60</v>
      </c>
      <c r="J481" s="13" t="s">
        <v>3981</v>
      </c>
      <c r="K481" s="13" t="s">
        <v>3982</v>
      </c>
      <c r="L481" s="14" t="s">
        <v>4512</v>
      </c>
      <c r="M481" s="14" t="s">
        <v>4513</v>
      </c>
      <c r="N481" s="13" t="s">
        <v>3987</v>
      </c>
      <c r="O481" s="13" t="s">
        <v>192</v>
      </c>
      <c r="P481" s="14"/>
    </row>
    <row r="482" customFormat="false" ht="22.35" hidden="false" customHeight="false" outlineLevel="0" collapsed="false">
      <c r="A482" s="13" t="s">
        <v>1779</v>
      </c>
      <c r="B482" s="13" t="s">
        <v>1784</v>
      </c>
      <c r="C482" s="14" t="s">
        <v>1780</v>
      </c>
      <c r="D482" s="14" t="s">
        <v>3988</v>
      </c>
      <c r="E482" s="13"/>
      <c r="F482" s="13"/>
      <c r="G482" s="24" t="n">
        <v>80</v>
      </c>
      <c r="H482" s="24" t="n">
        <v>120</v>
      </c>
      <c r="I482" s="24" t="n">
        <v>160</v>
      </c>
      <c r="J482" s="13" t="s">
        <v>3981</v>
      </c>
      <c r="K482" s="13" t="s">
        <v>3982</v>
      </c>
      <c r="L482" s="14" t="s">
        <v>4519</v>
      </c>
      <c r="M482" s="14" t="s">
        <v>4520</v>
      </c>
      <c r="N482" s="13" t="s">
        <v>3987</v>
      </c>
      <c r="O482" s="13" t="s">
        <v>192</v>
      </c>
      <c r="P482" s="14"/>
    </row>
    <row r="483" customFormat="false" ht="15" hidden="false" customHeight="false" outlineLevel="0" collapsed="false">
      <c r="A483" s="13" t="s">
        <v>1786</v>
      </c>
      <c r="B483" s="13" t="s">
        <v>1793</v>
      </c>
      <c r="C483" s="14" t="s">
        <v>1789</v>
      </c>
      <c r="D483" s="14" t="s">
        <v>4006</v>
      </c>
      <c r="E483" s="13"/>
      <c r="F483" s="13"/>
      <c r="G483" s="24"/>
      <c r="H483" s="24"/>
      <c r="I483" s="24"/>
      <c r="J483" s="13" t="s">
        <v>4007</v>
      </c>
      <c r="K483" s="13" t="s">
        <v>3771</v>
      </c>
      <c r="L483" s="14"/>
      <c r="M483" s="14" t="s">
        <v>4521</v>
      </c>
      <c r="N483" s="13"/>
      <c r="O483" s="13" t="s">
        <v>188</v>
      </c>
      <c r="P483" s="14" t="s">
        <v>4145</v>
      </c>
    </row>
    <row r="484" customFormat="false" ht="15" hidden="false" customHeight="false" outlineLevel="0" collapsed="false">
      <c r="A484" s="13" t="s">
        <v>1795</v>
      </c>
      <c r="B484" s="13" t="s">
        <v>1793</v>
      </c>
      <c r="C484" s="14" t="s">
        <v>1797</v>
      </c>
      <c r="D484" s="14" t="s">
        <v>4006</v>
      </c>
      <c r="E484" s="13"/>
      <c r="F484" s="13"/>
      <c r="G484" s="24"/>
      <c r="H484" s="24"/>
      <c r="I484" s="24"/>
      <c r="J484" s="13" t="s">
        <v>4007</v>
      </c>
      <c r="K484" s="13" t="s">
        <v>3771</v>
      </c>
      <c r="L484" s="14"/>
      <c r="M484" s="14" t="s">
        <v>4521</v>
      </c>
      <c r="N484" s="13"/>
      <c r="O484" s="13" t="s">
        <v>188</v>
      </c>
      <c r="P484" s="14" t="s">
        <v>4145</v>
      </c>
    </row>
    <row r="485" customFormat="false" ht="15" hidden="false" customHeight="false" outlineLevel="0" collapsed="false">
      <c r="A485" s="13" t="s">
        <v>1802</v>
      </c>
      <c r="B485" s="13" t="s">
        <v>1793</v>
      </c>
      <c r="C485" s="14" t="s">
        <v>1803</v>
      </c>
      <c r="D485" s="14" t="s">
        <v>4006</v>
      </c>
      <c r="E485" s="13"/>
      <c r="F485" s="13"/>
      <c r="G485" s="24"/>
      <c r="H485" s="24"/>
      <c r="I485" s="24"/>
      <c r="J485" s="13" t="s">
        <v>4007</v>
      </c>
      <c r="K485" s="13" t="s">
        <v>3771</v>
      </c>
      <c r="L485" s="14"/>
      <c r="M485" s="14" t="s">
        <v>4521</v>
      </c>
      <c r="N485" s="13"/>
      <c r="O485" s="13" t="s">
        <v>188</v>
      </c>
      <c r="P485" s="14" t="s">
        <v>4145</v>
      </c>
    </row>
    <row r="486" customFormat="false" ht="15" hidden="false" customHeight="false" outlineLevel="0" collapsed="false">
      <c r="A486" s="13" t="s">
        <v>1805</v>
      </c>
      <c r="B486" s="13" t="s">
        <v>1793</v>
      </c>
      <c r="C486" s="14" t="s">
        <v>1807</v>
      </c>
      <c r="D486" s="14" t="s">
        <v>4006</v>
      </c>
      <c r="E486" s="13"/>
      <c r="F486" s="13"/>
      <c r="G486" s="24"/>
      <c r="H486" s="24"/>
      <c r="I486" s="24"/>
      <c r="J486" s="13" t="s">
        <v>4007</v>
      </c>
      <c r="K486" s="13" t="s">
        <v>3771</v>
      </c>
      <c r="L486" s="14"/>
      <c r="M486" s="14" t="s">
        <v>4521</v>
      </c>
      <c r="N486" s="13"/>
      <c r="O486" s="13" t="s">
        <v>188</v>
      </c>
      <c r="P486" s="14" t="s">
        <v>4145</v>
      </c>
    </row>
    <row r="487" customFormat="false" ht="15" hidden="false" customHeight="false" outlineLevel="0" collapsed="false">
      <c r="A487" s="13" t="s">
        <v>1811</v>
      </c>
      <c r="B487" s="13" t="s">
        <v>1793</v>
      </c>
      <c r="C487" s="14" t="s">
        <v>1813</v>
      </c>
      <c r="D487" s="14" t="s">
        <v>4006</v>
      </c>
      <c r="E487" s="13"/>
      <c r="F487" s="13"/>
      <c r="G487" s="24"/>
      <c r="H487" s="24"/>
      <c r="I487" s="24"/>
      <c r="J487" s="13" t="s">
        <v>4007</v>
      </c>
      <c r="K487" s="13" t="s">
        <v>3771</v>
      </c>
      <c r="L487" s="14"/>
      <c r="M487" s="14" t="s">
        <v>4521</v>
      </c>
      <c r="N487" s="13"/>
      <c r="O487" s="13" t="s">
        <v>188</v>
      </c>
      <c r="P487" s="14" t="s">
        <v>4145</v>
      </c>
    </row>
    <row r="488" customFormat="false" ht="15" hidden="false" customHeight="false" outlineLevel="0" collapsed="false">
      <c r="A488" s="13" t="s">
        <v>1816</v>
      </c>
      <c r="B488" s="13" t="s">
        <v>1820</v>
      </c>
      <c r="C488" s="14" t="s">
        <v>1817</v>
      </c>
      <c r="D488" s="14" t="s">
        <v>4009</v>
      </c>
      <c r="E488" s="13"/>
      <c r="F488" s="13"/>
      <c r="G488" s="24"/>
      <c r="H488" s="24"/>
      <c r="I488" s="24"/>
      <c r="J488" s="13" t="s">
        <v>3981</v>
      </c>
      <c r="K488" s="13" t="s">
        <v>3771</v>
      </c>
      <c r="L488" s="14"/>
      <c r="M488" s="14" t="s">
        <v>4010</v>
      </c>
      <c r="N488" s="13"/>
      <c r="O488" s="13" t="s">
        <v>188</v>
      </c>
      <c r="P488" s="14" t="s">
        <v>4145</v>
      </c>
    </row>
    <row r="489" customFormat="false" ht="15" hidden="false" customHeight="false" outlineLevel="0" collapsed="false">
      <c r="A489" s="13" t="s">
        <v>1822</v>
      </c>
      <c r="B489" s="13" t="s">
        <v>1820</v>
      </c>
      <c r="C489" s="14" t="s">
        <v>1824</v>
      </c>
      <c r="D489" s="14" t="s">
        <v>4009</v>
      </c>
      <c r="E489" s="13"/>
      <c r="F489" s="13"/>
      <c r="G489" s="24"/>
      <c r="H489" s="24"/>
      <c r="I489" s="24"/>
      <c r="J489" s="13" t="s">
        <v>3981</v>
      </c>
      <c r="K489" s="13" t="s">
        <v>3771</v>
      </c>
      <c r="L489" s="14"/>
      <c r="M489" s="14" t="s">
        <v>4010</v>
      </c>
      <c r="N489" s="13"/>
      <c r="O489" s="13" t="s">
        <v>188</v>
      </c>
      <c r="P489" s="14" t="s">
        <v>4145</v>
      </c>
    </row>
    <row r="490" customFormat="false" ht="32.8" hidden="false" customHeight="false" outlineLevel="0" collapsed="false">
      <c r="A490" s="13" t="s">
        <v>1826</v>
      </c>
      <c r="B490" s="13" t="s">
        <v>1830</v>
      </c>
      <c r="C490" s="14" t="s">
        <v>1829</v>
      </c>
      <c r="D490" s="14" t="s">
        <v>4000</v>
      </c>
      <c r="E490" s="13"/>
      <c r="F490" s="13"/>
      <c r="G490" s="24" t="n">
        <v>850</v>
      </c>
      <c r="H490" s="24" t="n">
        <v>2463</v>
      </c>
      <c r="I490" s="24" t="n">
        <v>5000</v>
      </c>
      <c r="J490" s="13" t="s">
        <v>3953</v>
      </c>
      <c r="K490" s="13" t="s">
        <v>4239</v>
      </c>
      <c r="L490" s="14" t="s">
        <v>4522</v>
      </c>
      <c r="M490" s="14" t="s">
        <v>4523</v>
      </c>
      <c r="N490" s="13" t="s">
        <v>4524</v>
      </c>
      <c r="O490" s="13" t="s">
        <v>213</v>
      </c>
      <c r="P490" s="14"/>
    </row>
    <row r="491" customFormat="false" ht="32.8" hidden="false" customHeight="false" outlineLevel="0" collapsed="false">
      <c r="A491" s="13" t="s">
        <v>1832</v>
      </c>
      <c r="B491" s="13" t="s">
        <v>1837</v>
      </c>
      <c r="C491" s="14" t="s">
        <v>1835</v>
      </c>
      <c r="D491" s="14" t="s">
        <v>4003</v>
      </c>
      <c r="E491" s="13"/>
      <c r="F491" s="13"/>
      <c r="G491" s="24" t="n">
        <v>288</v>
      </c>
      <c r="H491" s="24" t="n">
        <v>775</v>
      </c>
      <c r="I491" s="24" t="n">
        <v>1500</v>
      </c>
      <c r="J491" s="13" t="s">
        <v>3972</v>
      </c>
      <c r="K491" s="13" t="s">
        <v>4239</v>
      </c>
      <c r="L491" s="14" t="s">
        <v>4003</v>
      </c>
      <c r="M491" s="14" t="s">
        <v>4525</v>
      </c>
      <c r="N491" s="13" t="s">
        <v>4002</v>
      </c>
      <c r="O491" s="13" t="s">
        <v>213</v>
      </c>
      <c r="P491" s="14"/>
    </row>
    <row r="492" customFormat="false" ht="22.35" hidden="false" customHeight="false" outlineLevel="0" collapsed="false">
      <c r="A492" s="13" t="s">
        <v>2316</v>
      </c>
      <c r="B492" s="13" t="s">
        <v>4071</v>
      </c>
      <c r="C492" s="14" t="s">
        <v>2318</v>
      </c>
      <c r="D492" s="14" t="s">
        <v>4073</v>
      </c>
      <c r="E492" s="13"/>
      <c r="F492" s="13"/>
      <c r="G492" s="24" t="n">
        <v>5</v>
      </c>
      <c r="H492" s="24" t="n">
        <v>6</v>
      </c>
      <c r="I492" s="24" t="n">
        <v>8</v>
      </c>
      <c r="J492" s="13" t="s">
        <v>4074</v>
      </c>
      <c r="K492" s="13" t="s">
        <v>4239</v>
      </c>
      <c r="L492" s="14" t="s">
        <v>4526</v>
      </c>
      <c r="M492" s="14" t="s">
        <v>4527</v>
      </c>
      <c r="N492" s="13" t="s">
        <v>4076</v>
      </c>
      <c r="O492" s="13" t="s">
        <v>192</v>
      </c>
      <c r="P492" s="14"/>
    </row>
    <row r="493" customFormat="false" ht="22.35" hidden="false" customHeight="false" outlineLevel="0" collapsed="false">
      <c r="A493" s="13" t="s">
        <v>2316</v>
      </c>
      <c r="B493" s="13" t="s">
        <v>4077</v>
      </c>
      <c r="C493" s="14" t="s">
        <v>2318</v>
      </c>
      <c r="D493" s="14" t="s">
        <v>4078</v>
      </c>
      <c r="E493" s="13"/>
      <c r="F493" s="13"/>
      <c r="G493" s="24" t="n">
        <v>6</v>
      </c>
      <c r="H493" s="24" t="n">
        <v>9</v>
      </c>
      <c r="I493" s="24" t="n">
        <v>12</v>
      </c>
      <c r="J493" s="13" t="s">
        <v>4074</v>
      </c>
      <c r="K493" s="13" t="s">
        <v>3879</v>
      </c>
      <c r="L493" s="14" t="s">
        <v>4528</v>
      </c>
      <c r="M493" s="14" t="s">
        <v>4529</v>
      </c>
      <c r="N493" s="13" t="s">
        <v>4076</v>
      </c>
      <c r="O493" s="13" t="s">
        <v>192</v>
      </c>
      <c r="P493" s="14"/>
    </row>
    <row r="494" customFormat="false" ht="22.35" hidden="false" customHeight="false" outlineLevel="0" collapsed="false">
      <c r="A494" s="13" t="s">
        <v>2323</v>
      </c>
      <c r="B494" s="13" t="s">
        <v>4071</v>
      </c>
      <c r="C494" s="14" t="s">
        <v>2324</v>
      </c>
      <c r="D494" s="14" t="s">
        <v>4073</v>
      </c>
      <c r="E494" s="13"/>
      <c r="F494" s="13"/>
      <c r="G494" s="24" t="n">
        <v>5</v>
      </c>
      <c r="H494" s="24" t="n">
        <v>6</v>
      </c>
      <c r="I494" s="24" t="n">
        <v>8</v>
      </c>
      <c r="J494" s="13" t="s">
        <v>4074</v>
      </c>
      <c r="K494" s="13" t="s">
        <v>4239</v>
      </c>
      <c r="L494" s="14" t="s">
        <v>4526</v>
      </c>
      <c r="M494" s="14" t="s">
        <v>4527</v>
      </c>
      <c r="N494" s="13" t="s">
        <v>4076</v>
      </c>
      <c r="O494" s="13" t="s">
        <v>192</v>
      </c>
      <c r="P494" s="14"/>
    </row>
    <row r="495" customFormat="false" ht="22.35" hidden="false" customHeight="false" outlineLevel="0" collapsed="false">
      <c r="A495" s="13" t="s">
        <v>2323</v>
      </c>
      <c r="B495" s="13" t="s">
        <v>4077</v>
      </c>
      <c r="C495" s="14" t="s">
        <v>2324</v>
      </c>
      <c r="D495" s="14" t="s">
        <v>4078</v>
      </c>
      <c r="E495" s="13"/>
      <c r="F495" s="13"/>
      <c r="G495" s="24" t="n">
        <v>6</v>
      </c>
      <c r="H495" s="24" t="n">
        <v>9</v>
      </c>
      <c r="I495" s="24" t="n">
        <v>12</v>
      </c>
      <c r="J495" s="13" t="s">
        <v>4074</v>
      </c>
      <c r="K495" s="13" t="s">
        <v>3879</v>
      </c>
      <c r="L495" s="14" t="s">
        <v>4528</v>
      </c>
      <c r="M495" s="14" t="s">
        <v>4529</v>
      </c>
      <c r="N495" s="13" t="s">
        <v>4076</v>
      </c>
      <c r="O495" s="13" t="s">
        <v>192</v>
      </c>
      <c r="P495" s="14"/>
    </row>
    <row r="496" customFormat="false" ht="22.35" hidden="false" customHeight="false" outlineLevel="0" collapsed="false">
      <c r="A496" s="13" t="s">
        <v>2326</v>
      </c>
      <c r="B496" s="13" t="s">
        <v>4071</v>
      </c>
      <c r="C496" s="14" t="s">
        <v>2327</v>
      </c>
      <c r="D496" s="14" t="s">
        <v>4073</v>
      </c>
      <c r="E496" s="13"/>
      <c r="F496" s="13"/>
      <c r="G496" s="24" t="n">
        <v>5</v>
      </c>
      <c r="H496" s="24" t="n">
        <v>6</v>
      </c>
      <c r="I496" s="24" t="n">
        <v>8</v>
      </c>
      <c r="J496" s="13" t="s">
        <v>4074</v>
      </c>
      <c r="K496" s="13" t="s">
        <v>4239</v>
      </c>
      <c r="L496" s="14" t="s">
        <v>4526</v>
      </c>
      <c r="M496" s="14" t="s">
        <v>4527</v>
      </c>
      <c r="N496" s="13" t="s">
        <v>4076</v>
      </c>
      <c r="O496" s="13" t="s">
        <v>192</v>
      </c>
      <c r="P496" s="14"/>
    </row>
    <row r="497" customFormat="false" ht="22.35" hidden="false" customHeight="false" outlineLevel="0" collapsed="false">
      <c r="A497" s="13" t="s">
        <v>2326</v>
      </c>
      <c r="B497" s="13" t="s">
        <v>4077</v>
      </c>
      <c r="C497" s="14" t="s">
        <v>2327</v>
      </c>
      <c r="D497" s="14" t="s">
        <v>4078</v>
      </c>
      <c r="E497" s="13"/>
      <c r="F497" s="13"/>
      <c r="G497" s="24" t="n">
        <v>6</v>
      </c>
      <c r="H497" s="24" t="n">
        <v>9</v>
      </c>
      <c r="I497" s="24" t="n">
        <v>12</v>
      </c>
      <c r="J497" s="13" t="s">
        <v>4074</v>
      </c>
      <c r="K497" s="13" t="s">
        <v>3879</v>
      </c>
      <c r="L497" s="14" t="s">
        <v>4528</v>
      </c>
      <c r="M497" s="14" t="s">
        <v>4529</v>
      </c>
      <c r="N497" s="13" t="s">
        <v>4076</v>
      </c>
      <c r="O497" s="13" t="s">
        <v>192</v>
      </c>
      <c r="P497" s="14"/>
    </row>
    <row r="498" customFormat="false" ht="22.35" hidden="false" customHeight="false" outlineLevel="0" collapsed="false">
      <c r="A498" s="13" t="s">
        <v>2329</v>
      </c>
      <c r="B498" s="13" t="s">
        <v>4071</v>
      </c>
      <c r="C498" s="14" t="s">
        <v>2330</v>
      </c>
      <c r="D498" s="14" t="s">
        <v>4073</v>
      </c>
      <c r="E498" s="13"/>
      <c r="F498" s="13"/>
      <c r="G498" s="24" t="n">
        <v>5</v>
      </c>
      <c r="H498" s="24" t="n">
        <v>6</v>
      </c>
      <c r="I498" s="24" t="n">
        <v>8</v>
      </c>
      <c r="J498" s="13" t="s">
        <v>4074</v>
      </c>
      <c r="K498" s="13" t="s">
        <v>4239</v>
      </c>
      <c r="L498" s="14" t="s">
        <v>4526</v>
      </c>
      <c r="M498" s="14" t="s">
        <v>4527</v>
      </c>
      <c r="N498" s="13" t="s">
        <v>4076</v>
      </c>
      <c r="O498" s="13" t="s">
        <v>192</v>
      </c>
      <c r="P498" s="14"/>
    </row>
    <row r="499" customFormat="false" ht="22.35" hidden="false" customHeight="false" outlineLevel="0" collapsed="false">
      <c r="A499" s="13" t="s">
        <v>2329</v>
      </c>
      <c r="B499" s="13" t="s">
        <v>4077</v>
      </c>
      <c r="C499" s="14" t="s">
        <v>2330</v>
      </c>
      <c r="D499" s="14" t="s">
        <v>4078</v>
      </c>
      <c r="E499" s="13"/>
      <c r="F499" s="13"/>
      <c r="G499" s="24" t="n">
        <v>6</v>
      </c>
      <c r="H499" s="24" t="n">
        <v>9</v>
      </c>
      <c r="I499" s="24" t="n">
        <v>12</v>
      </c>
      <c r="J499" s="13" t="s">
        <v>4074</v>
      </c>
      <c r="K499" s="13" t="s">
        <v>3879</v>
      </c>
      <c r="L499" s="14" t="s">
        <v>4528</v>
      </c>
      <c r="M499" s="14" t="s">
        <v>4529</v>
      </c>
      <c r="N499" s="13" t="s">
        <v>4076</v>
      </c>
      <c r="O499" s="13" t="s">
        <v>192</v>
      </c>
      <c r="P499" s="14"/>
    </row>
    <row r="500" customFormat="false" ht="22.35" hidden="false" customHeight="false" outlineLevel="0" collapsed="false">
      <c r="A500" s="13" t="s">
        <v>2355</v>
      </c>
      <c r="B500" s="13" t="s">
        <v>4071</v>
      </c>
      <c r="C500" s="14" t="s">
        <v>2358</v>
      </c>
      <c r="D500" s="14" t="s">
        <v>4073</v>
      </c>
      <c r="E500" s="13"/>
      <c r="F500" s="13"/>
      <c r="G500" s="24" t="n">
        <v>5</v>
      </c>
      <c r="H500" s="24" t="n">
        <v>6</v>
      </c>
      <c r="I500" s="24" t="n">
        <v>8</v>
      </c>
      <c r="J500" s="13" t="s">
        <v>4074</v>
      </c>
      <c r="K500" s="13" t="s">
        <v>4239</v>
      </c>
      <c r="L500" s="14" t="s">
        <v>4526</v>
      </c>
      <c r="M500" s="14" t="s">
        <v>4527</v>
      </c>
      <c r="N500" s="13" t="s">
        <v>4076</v>
      </c>
      <c r="O500" s="13" t="s">
        <v>192</v>
      </c>
      <c r="P500" s="14"/>
    </row>
    <row r="501" customFormat="false" ht="22.35" hidden="false" customHeight="false" outlineLevel="0" collapsed="false">
      <c r="A501" s="13" t="s">
        <v>2355</v>
      </c>
      <c r="B501" s="13" t="s">
        <v>4077</v>
      </c>
      <c r="C501" s="14" t="s">
        <v>2358</v>
      </c>
      <c r="D501" s="14" t="s">
        <v>4078</v>
      </c>
      <c r="E501" s="13"/>
      <c r="F501" s="13"/>
      <c r="G501" s="24" t="n">
        <v>6</v>
      </c>
      <c r="H501" s="24" t="n">
        <v>9</v>
      </c>
      <c r="I501" s="24" t="n">
        <v>12</v>
      </c>
      <c r="J501" s="13" t="s">
        <v>4074</v>
      </c>
      <c r="K501" s="13" t="s">
        <v>3879</v>
      </c>
      <c r="L501" s="14" t="s">
        <v>4528</v>
      </c>
      <c r="M501" s="14" t="s">
        <v>4529</v>
      </c>
      <c r="N501" s="13" t="s">
        <v>4076</v>
      </c>
      <c r="O501" s="13" t="s">
        <v>192</v>
      </c>
      <c r="P501" s="14"/>
    </row>
    <row r="502" customFormat="false" ht="22.35" hidden="false" customHeight="false" outlineLevel="0" collapsed="false">
      <c r="A502" s="13" t="s">
        <v>2363</v>
      </c>
      <c r="B502" s="13" t="s">
        <v>4071</v>
      </c>
      <c r="C502" s="14" t="s">
        <v>2364</v>
      </c>
      <c r="D502" s="14" t="s">
        <v>4073</v>
      </c>
      <c r="E502" s="13"/>
      <c r="F502" s="13"/>
      <c r="G502" s="24" t="n">
        <v>5</v>
      </c>
      <c r="H502" s="24" t="n">
        <v>6</v>
      </c>
      <c r="I502" s="24" t="n">
        <v>8</v>
      </c>
      <c r="J502" s="13" t="s">
        <v>4074</v>
      </c>
      <c r="K502" s="13" t="s">
        <v>4239</v>
      </c>
      <c r="L502" s="14" t="s">
        <v>4526</v>
      </c>
      <c r="M502" s="14" t="s">
        <v>4527</v>
      </c>
      <c r="N502" s="13" t="s">
        <v>4076</v>
      </c>
      <c r="O502" s="13" t="s">
        <v>192</v>
      </c>
      <c r="P502" s="14"/>
    </row>
    <row r="503" customFormat="false" ht="22.35" hidden="false" customHeight="false" outlineLevel="0" collapsed="false">
      <c r="A503" s="13" t="s">
        <v>2363</v>
      </c>
      <c r="B503" s="13" t="s">
        <v>4077</v>
      </c>
      <c r="C503" s="14" t="s">
        <v>2364</v>
      </c>
      <c r="D503" s="14" t="s">
        <v>4078</v>
      </c>
      <c r="E503" s="13"/>
      <c r="F503" s="13"/>
      <c r="G503" s="24" t="n">
        <v>6</v>
      </c>
      <c r="H503" s="24" t="n">
        <v>9</v>
      </c>
      <c r="I503" s="24" t="n">
        <v>12</v>
      </c>
      <c r="J503" s="13" t="s">
        <v>4074</v>
      </c>
      <c r="K503" s="13" t="s">
        <v>3879</v>
      </c>
      <c r="L503" s="14" t="s">
        <v>4528</v>
      </c>
      <c r="M503" s="14" t="s">
        <v>4529</v>
      </c>
      <c r="N503" s="13" t="s">
        <v>4076</v>
      </c>
      <c r="O503" s="13" t="s">
        <v>192</v>
      </c>
      <c r="P503" s="14"/>
    </row>
    <row r="504" customFormat="false" ht="22.35" hidden="false" customHeight="false" outlineLevel="0" collapsed="false">
      <c r="A504" s="13" t="s">
        <v>2366</v>
      </c>
      <c r="B504" s="13" t="s">
        <v>4071</v>
      </c>
      <c r="C504" s="14" t="s">
        <v>2367</v>
      </c>
      <c r="D504" s="14" t="s">
        <v>4073</v>
      </c>
      <c r="E504" s="13"/>
      <c r="F504" s="13"/>
      <c r="G504" s="24" t="n">
        <v>5</v>
      </c>
      <c r="H504" s="24" t="n">
        <v>6</v>
      </c>
      <c r="I504" s="24" t="n">
        <v>8</v>
      </c>
      <c r="J504" s="13" t="s">
        <v>4074</v>
      </c>
      <c r="K504" s="13" t="s">
        <v>4239</v>
      </c>
      <c r="L504" s="14" t="s">
        <v>4526</v>
      </c>
      <c r="M504" s="14" t="s">
        <v>4527</v>
      </c>
      <c r="N504" s="13" t="s">
        <v>4076</v>
      </c>
      <c r="O504" s="13" t="s">
        <v>192</v>
      </c>
      <c r="P504" s="14"/>
    </row>
    <row r="505" customFormat="false" ht="22.35" hidden="false" customHeight="false" outlineLevel="0" collapsed="false">
      <c r="A505" s="13" t="s">
        <v>2366</v>
      </c>
      <c r="B505" s="13" t="s">
        <v>4077</v>
      </c>
      <c r="C505" s="14" t="s">
        <v>2367</v>
      </c>
      <c r="D505" s="14" t="s">
        <v>4078</v>
      </c>
      <c r="E505" s="13"/>
      <c r="F505" s="13"/>
      <c r="G505" s="24" t="n">
        <v>6</v>
      </c>
      <c r="H505" s="24" t="n">
        <v>9</v>
      </c>
      <c r="I505" s="24" t="n">
        <v>12</v>
      </c>
      <c r="J505" s="13" t="s">
        <v>4074</v>
      </c>
      <c r="K505" s="13" t="s">
        <v>3879</v>
      </c>
      <c r="L505" s="14" t="s">
        <v>4528</v>
      </c>
      <c r="M505" s="14" t="s">
        <v>4529</v>
      </c>
      <c r="N505" s="13" t="s">
        <v>4076</v>
      </c>
      <c r="O505" s="13" t="s">
        <v>192</v>
      </c>
      <c r="P505" s="14"/>
    </row>
    <row r="506" customFormat="false" ht="22.35" hidden="false" customHeight="false" outlineLevel="0" collapsed="false">
      <c r="A506" s="13" t="s">
        <v>2369</v>
      </c>
      <c r="B506" s="13" t="s">
        <v>4071</v>
      </c>
      <c r="C506" s="14" t="s">
        <v>2370</v>
      </c>
      <c r="D506" s="14" t="s">
        <v>4073</v>
      </c>
      <c r="E506" s="13"/>
      <c r="F506" s="13"/>
      <c r="G506" s="24" t="n">
        <v>5</v>
      </c>
      <c r="H506" s="24" t="n">
        <v>6</v>
      </c>
      <c r="I506" s="24" t="n">
        <v>8</v>
      </c>
      <c r="J506" s="13" t="s">
        <v>4074</v>
      </c>
      <c r="K506" s="13" t="s">
        <v>4239</v>
      </c>
      <c r="L506" s="14" t="s">
        <v>4526</v>
      </c>
      <c r="M506" s="14" t="s">
        <v>4527</v>
      </c>
      <c r="N506" s="13" t="s">
        <v>4076</v>
      </c>
      <c r="O506" s="13" t="s">
        <v>192</v>
      </c>
      <c r="P506" s="14"/>
    </row>
    <row r="507" customFormat="false" ht="22.35" hidden="false" customHeight="false" outlineLevel="0" collapsed="false">
      <c r="A507" s="13" t="s">
        <v>2369</v>
      </c>
      <c r="B507" s="13" t="s">
        <v>4077</v>
      </c>
      <c r="C507" s="14" t="s">
        <v>2370</v>
      </c>
      <c r="D507" s="14" t="s">
        <v>4078</v>
      </c>
      <c r="E507" s="13"/>
      <c r="F507" s="13"/>
      <c r="G507" s="24" t="n">
        <v>6</v>
      </c>
      <c r="H507" s="24" t="n">
        <v>9</v>
      </c>
      <c r="I507" s="24" t="n">
        <v>12</v>
      </c>
      <c r="J507" s="13" t="s">
        <v>4074</v>
      </c>
      <c r="K507" s="13" t="s">
        <v>3879</v>
      </c>
      <c r="L507" s="14" t="s">
        <v>4528</v>
      </c>
      <c r="M507" s="14" t="s">
        <v>4529</v>
      </c>
      <c r="N507" s="13" t="s">
        <v>4076</v>
      </c>
      <c r="O507" s="13" t="s">
        <v>192</v>
      </c>
      <c r="P507" s="14"/>
    </row>
    <row r="508" customFormat="false" ht="22.35" hidden="false" customHeight="false" outlineLevel="0" collapsed="false">
      <c r="A508" s="13" t="s">
        <v>2373</v>
      </c>
      <c r="B508" s="13" t="s">
        <v>4071</v>
      </c>
      <c r="C508" s="14" t="s">
        <v>2374</v>
      </c>
      <c r="D508" s="14" t="s">
        <v>4073</v>
      </c>
      <c r="E508" s="13"/>
      <c r="F508" s="13"/>
      <c r="G508" s="24" t="n">
        <v>5</v>
      </c>
      <c r="H508" s="24" t="n">
        <v>6</v>
      </c>
      <c r="I508" s="24" t="n">
        <v>8</v>
      </c>
      <c r="J508" s="13" t="s">
        <v>4074</v>
      </c>
      <c r="K508" s="13" t="s">
        <v>4239</v>
      </c>
      <c r="L508" s="14" t="s">
        <v>4526</v>
      </c>
      <c r="M508" s="14" t="s">
        <v>4527</v>
      </c>
      <c r="N508" s="13" t="s">
        <v>4076</v>
      </c>
      <c r="O508" s="13" t="s">
        <v>192</v>
      </c>
      <c r="P508" s="14"/>
    </row>
    <row r="509" customFormat="false" ht="22.35" hidden="false" customHeight="false" outlineLevel="0" collapsed="false">
      <c r="A509" s="13" t="s">
        <v>2373</v>
      </c>
      <c r="B509" s="13" t="s">
        <v>4077</v>
      </c>
      <c r="C509" s="14" t="s">
        <v>2374</v>
      </c>
      <c r="D509" s="14" t="s">
        <v>4078</v>
      </c>
      <c r="E509" s="13"/>
      <c r="F509" s="13"/>
      <c r="G509" s="24" t="n">
        <v>6</v>
      </c>
      <c r="H509" s="24" t="n">
        <v>9</v>
      </c>
      <c r="I509" s="24" t="n">
        <v>12</v>
      </c>
      <c r="J509" s="13" t="s">
        <v>4074</v>
      </c>
      <c r="K509" s="13" t="s">
        <v>3879</v>
      </c>
      <c r="L509" s="14" t="s">
        <v>4528</v>
      </c>
      <c r="M509" s="14" t="s">
        <v>4529</v>
      </c>
      <c r="N509" s="13" t="s">
        <v>4076</v>
      </c>
      <c r="O509" s="13" t="s">
        <v>192</v>
      </c>
      <c r="P509" s="14"/>
    </row>
    <row r="510" customFormat="false" ht="22.35" hidden="false" customHeight="false" outlineLevel="0" collapsed="false">
      <c r="A510" s="13" t="s">
        <v>2376</v>
      </c>
      <c r="B510" s="13" t="s">
        <v>4071</v>
      </c>
      <c r="C510" s="14" t="s">
        <v>2377</v>
      </c>
      <c r="D510" s="14" t="s">
        <v>4073</v>
      </c>
      <c r="E510" s="13"/>
      <c r="F510" s="13"/>
      <c r="G510" s="24" t="n">
        <v>5</v>
      </c>
      <c r="H510" s="24" t="n">
        <v>6</v>
      </c>
      <c r="I510" s="24" t="n">
        <v>8</v>
      </c>
      <c r="J510" s="13" t="s">
        <v>4074</v>
      </c>
      <c r="K510" s="13" t="s">
        <v>4239</v>
      </c>
      <c r="L510" s="14" t="s">
        <v>4526</v>
      </c>
      <c r="M510" s="14" t="s">
        <v>4527</v>
      </c>
      <c r="N510" s="13" t="s">
        <v>4076</v>
      </c>
      <c r="O510" s="13" t="s">
        <v>192</v>
      </c>
      <c r="P510" s="14"/>
    </row>
    <row r="511" customFormat="false" ht="22.35" hidden="false" customHeight="false" outlineLevel="0" collapsed="false">
      <c r="A511" s="13" t="s">
        <v>2376</v>
      </c>
      <c r="B511" s="13" t="s">
        <v>4077</v>
      </c>
      <c r="C511" s="14" t="s">
        <v>2377</v>
      </c>
      <c r="D511" s="14" t="s">
        <v>4078</v>
      </c>
      <c r="E511" s="13"/>
      <c r="F511" s="13"/>
      <c r="G511" s="24" t="n">
        <v>6</v>
      </c>
      <c r="H511" s="24" t="n">
        <v>9</v>
      </c>
      <c r="I511" s="24" t="n">
        <v>12</v>
      </c>
      <c r="J511" s="13" t="s">
        <v>4074</v>
      </c>
      <c r="K511" s="13" t="s">
        <v>3879</v>
      </c>
      <c r="L511" s="14" t="s">
        <v>4528</v>
      </c>
      <c r="M511" s="14" t="s">
        <v>4529</v>
      </c>
      <c r="N511" s="13" t="s">
        <v>4076</v>
      </c>
      <c r="O511" s="13" t="s">
        <v>192</v>
      </c>
      <c r="P511" s="14"/>
    </row>
    <row r="512" customFormat="false" ht="22.35" hidden="false" customHeight="false" outlineLevel="0" collapsed="false">
      <c r="A512" s="13" t="s">
        <v>2378</v>
      </c>
      <c r="B512" s="13" t="s">
        <v>4071</v>
      </c>
      <c r="C512" s="14" t="s">
        <v>2379</v>
      </c>
      <c r="D512" s="14" t="s">
        <v>4073</v>
      </c>
      <c r="E512" s="13"/>
      <c r="F512" s="13"/>
      <c r="G512" s="24" t="n">
        <v>5</v>
      </c>
      <c r="H512" s="24" t="n">
        <v>6</v>
      </c>
      <c r="I512" s="24" t="n">
        <v>8</v>
      </c>
      <c r="J512" s="13" t="s">
        <v>4074</v>
      </c>
      <c r="K512" s="13" t="s">
        <v>4239</v>
      </c>
      <c r="L512" s="14" t="s">
        <v>4526</v>
      </c>
      <c r="M512" s="14" t="s">
        <v>4527</v>
      </c>
      <c r="N512" s="13" t="s">
        <v>4076</v>
      </c>
      <c r="O512" s="13" t="s">
        <v>192</v>
      </c>
      <c r="P512" s="14"/>
    </row>
    <row r="513" customFormat="false" ht="22.35" hidden="false" customHeight="false" outlineLevel="0" collapsed="false">
      <c r="A513" s="13" t="s">
        <v>2378</v>
      </c>
      <c r="B513" s="13" t="s">
        <v>4077</v>
      </c>
      <c r="C513" s="14" t="s">
        <v>2379</v>
      </c>
      <c r="D513" s="14" t="s">
        <v>4078</v>
      </c>
      <c r="E513" s="13"/>
      <c r="F513" s="13"/>
      <c r="G513" s="24" t="n">
        <v>6</v>
      </c>
      <c r="H513" s="24" t="n">
        <v>9</v>
      </c>
      <c r="I513" s="24" t="n">
        <v>12</v>
      </c>
      <c r="J513" s="13" t="s">
        <v>4074</v>
      </c>
      <c r="K513" s="13" t="s">
        <v>3879</v>
      </c>
      <c r="L513" s="14" t="s">
        <v>4528</v>
      </c>
      <c r="M513" s="14" t="s">
        <v>4529</v>
      </c>
      <c r="N513" s="13" t="s">
        <v>4076</v>
      </c>
      <c r="O513" s="13" t="s">
        <v>192</v>
      </c>
      <c r="P513" s="14"/>
    </row>
    <row r="514" customFormat="false" ht="22.35" hidden="false" customHeight="false" outlineLevel="0" collapsed="false">
      <c r="A514" s="13" t="s">
        <v>2381</v>
      </c>
      <c r="B514" s="13" t="s">
        <v>4071</v>
      </c>
      <c r="C514" s="14" t="s">
        <v>2382</v>
      </c>
      <c r="D514" s="14" t="s">
        <v>4073</v>
      </c>
      <c r="E514" s="13"/>
      <c r="F514" s="13"/>
      <c r="G514" s="24" t="n">
        <v>5</v>
      </c>
      <c r="H514" s="24" t="n">
        <v>6</v>
      </c>
      <c r="I514" s="24" t="n">
        <v>8</v>
      </c>
      <c r="J514" s="13" t="s">
        <v>4074</v>
      </c>
      <c r="K514" s="13" t="s">
        <v>4239</v>
      </c>
      <c r="L514" s="14" t="s">
        <v>4526</v>
      </c>
      <c r="M514" s="14" t="s">
        <v>4527</v>
      </c>
      <c r="N514" s="13" t="s">
        <v>4076</v>
      </c>
      <c r="O514" s="13" t="s">
        <v>192</v>
      </c>
      <c r="P514" s="14"/>
    </row>
    <row r="515" customFormat="false" ht="22.35" hidden="false" customHeight="false" outlineLevel="0" collapsed="false">
      <c r="A515" s="13" t="s">
        <v>2381</v>
      </c>
      <c r="B515" s="13" t="s">
        <v>4077</v>
      </c>
      <c r="C515" s="14" t="s">
        <v>2382</v>
      </c>
      <c r="D515" s="14" t="s">
        <v>4078</v>
      </c>
      <c r="E515" s="13"/>
      <c r="F515" s="13"/>
      <c r="G515" s="24" t="n">
        <v>6</v>
      </c>
      <c r="H515" s="24" t="n">
        <v>9</v>
      </c>
      <c r="I515" s="24" t="n">
        <v>12</v>
      </c>
      <c r="J515" s="13" t="s">
        <v>4074</v>
      </c>
      <c r="K515" s="13" t="s">
        <v>3879</v>
      </c>
      <c r="L515" s="14" t="s">
        <v>4528</v>
      </c>
      <c r="M515" s="14" t="s">
        <v>4529</v>
      </c>
      <c r="N515" s="13" t="s">
        <v>4076</v>
      </c>
      <c r="O515" s="13" t="s">
        <v>192</v>
      </c>
      <c r="P515" s="14"/>
    </row>
    <row r="516" customFormat="false" ht="22.35" hidden="false" customHeight="false" outlineLevel="0" collapsed="false">
      <c r="A516" s="13" t="s">
        <v>2385</v>
      </c>
      <c r="B516" s="13" t="s">
        <v>4071</v>
      </c>
      <c r="C516" s="14" t="s">
        <v>2386</v>
      </c>
      <c r="D516" s="14" t="s">
        <v>4073</v>
      </c>
      <c r="E516" s="13"/>
      <c r="F516" s="13"/>
      <c r="G516" s="24" t="n">
        <v>5</v>
      </c>
      <c r="H516" s="24" t="n">
        <v>6</v>
      </c>
      <c r="I516" s="24" t="n">
        <v>8</v>
      </c>
      <c r="J516" s="13" t="s">
        <v>4074</v>
      </c>
      <c r="K516" s="13" t="s">
        <v>4239</v>
      </c>
      <c r="L516" s="14" t="s">
        <v>4526</v>
      </c>
      <c r="M516" s="14" t="s">
        <v>4527</v>
      </c>
      <c r="N516" s="13" t="s">
        <v>4076</v>
      </c>
      <c r="O516" s="13" t="s">
        <v>192</v>
      </c>
      <c r="P516" s="14"/>
    </row>
    <row r="517" customFormat="false" ht="22.35" hidden="false" customHeight="false" outlineLevel="0" collapsed="false">
      <c r="A517" s="13" t="s">
        <v>2385</v>
      </c>
      <c r="B517" s="13" t="s">
        <v>4077</v>
      </c>
      <c r="C517" s="14" t="s">
        <v>2386</v>
      </c>
      <c r="D517" s="14" t="s">
        <v>4078</v>
      </c>
      <c r="E517" s="13"/>
      <c r="F517" s="13"/>
      <c r="G517" s="24" t="n">
        <v>6</v>
      </c>
      <c r="H517" s="24" t="n">
        <v>9</v>
      </c>
      <c r="I517" s="24" t="n">
        <v>12</v>
      </c>
      <c r="J517" s="13" t="s">
        <v>4074</v>
      </c>
      <c r="K517" s="13" t="s">
        <v>3879</v>
      </c>
      <c r="L517" s="14" t="s">
        <v>4528</v>
      </c>
      <c r="M517" s="14" t="s">
        <v>4529</v>
      </c>
      <c r="N517" s="13" t="s">
        <v>4076</v>
      </c>
      <c r="O517" s="13" t="s">
        <v>192</v>
      </c>
      <c r="P517" s="14"/>
    </row>
    <row r="518" customFormat="false" ht="22.35" hidden="false" customHeight="false" outlineLevel="0" collapsed="false">
      <c r="A518" s="13" t="s">
        <v>2389</v>
      </c>
      <c r="B518" s="13" t="s">
        <v>4071</v>
      </c>
      <c r="C518" s="14" t="s">
        <v>2390</v>
      </c>
      <c r="D518" s="14" t="s">
        <v>4073</v>
      </c>
      <c r="E518" s="13"/>
      <c r="F518" s="13"/>
      <c r="G518" s="24" t="n">
        <v>5</v>
      </c>
      <c r="H518" s="24" t="n">
        <v>6</v>
      </c>
      <c r="I518" s="24" t="n">
        <v>8</v>
      </c>
      <c r="J518" s="13" t="s">
        <v>4074</v>
      </c>
      <c r="K518" s="13" t="s">
        <v>4239</v>
      </c>
      <c r="L518" s="14" t="s">
        <v>4526</v>
      </c>
      <c r="M518" s="14" t="s">
        <v>4527</v>
      </c>
      <c r="N518" s="13" t="s">
        <v>4076</v>
      </c>
      <c r="O518" s="13" t="s">
        <v>192</v>
      </c>
      <c r="P518" s="14"/>
    </row>
    <row r="519" customFormat="false" ht="22.35" hidden="false" customHeight="false" outlineLevel="0" collapsed="false">
      <c r="A519" s="13" t="s">
        <v>2389</v>
      </c>
      <c r="B519" s="13" t="s">
        <v>4077</v>
      </c>
      <c r="C519" s="14" t="s">
        <v>2390</v>
      </c>
      <c r="D519" s="14" t="s">
        <v>4078</v>
      </c>
      <c r="E519" s="13"/>
      <c r="F519" s="13"/>
      <c r="G519" s="24" t="n">
        <v>6</v>
      </c>
      <c r="H519" s="24" t="n">
        <v>9</v>
      </c>
      <c r="I519" s="24" t="n">
        <v>12</v>
      </c>
      <c r="J519" s="13" t="s">
        <v>4074</v>
      </c>
      <c r="K519" s="13" t="s">
        <v>3879</v>
      </c>
      <c r="L519" s="14" t="s">
        <v>4528</v>
      </c>
      <c r="M519" s="14" t="s">
        <v>4529</v>
      </c>
      <c r="N519" s="13" t="s">
        <v>4076</v>
      </c>
      <c r="O519" s="13" t="s">
        <v>192</v>
      </c>
      <c r="P519" s="14"/>
    </row>
    <row r="520" customFormat="false" ht="22.35" hidden="false" customHeight="false" outlineLevel="0" collapsed="false">
      <c r="A520" s="13" t="s">
        <v>2392</v>
      </c>
      <c r="B520" s="13" t="s">
        <v>4071</v>
      </c>
      <c r="C520" s="14" t="s">
        <v>2393</v>
      </c>
      <c r="D520" s="14" t="s">
        <v>4073</v>
      </c>
      <c r="E520" s="13"/>
      <c r="F520" s="13"/>
      <c r="G520" s="24" t="n">
        <v>5</v>
      </c>
      <c r="H520" s="24" t="n">
        <v>6</v>
      </c>
      <c r="I520" s="24" t="n">
        <v>8</v>
      </c>
      <c r="J520" s="13" t="s">
        <v>4074</v>
      </c>
      <c r="K520" s="13" t="s">
        <v>4239</v>
      </c>
      <c r="L520" s="14" t="s">
        <v>4526</v>
      </c>
      <c r="M520" s="14" t="s">
        <v>4527</v>
      </c>
      <c r="N520" s="13" t="s">
        <v>4076</v>
      </c>
      <c r="O520" s="13" t="s">
        <v>192</v>
      </c>
      <c r="P520" s="14"/>
    </row>
    <row r="521" customFormat="false" ht="22.35" hidden="false" customHeight="false" outlineLevel="0" collapsed="false">
      <c r="A521" s="13" t="s">
        <v>2392</v>
      </c>
      <c r="B521" s="13" t="s">
        <v>4077</v>
      </c>
      <c r="C521" s="14" t="s">
        <v>2393</v>
      </c>
      <c r="D521" s="14" t="s">
        <v>4078</v>
      </c>
      <c r="E521" s="13"/>
      <c r="F521" s="13"/>
      <c r="G521" s="24" t="n">
        <v>6</v>
      </c>
      <c r="H521" s="24" t="n">
        <v>9</v>
      </c>
      <c r="I521" s="24" t="n">
        <v>12</v>
      </c>
      <c r="J521" s="13" t="s">
        <v>4074</v>
      </c>
      <c r="K521" s="13" t="s">
        <v>3879</v>
      </c>
      <c r="L521" s="14" t="s">
        <v>4528</v>
      </c>
      <c r="M521" s="14" t="s">
        <v>4529</v>
      </c>
      <c r="N521" s="13" t="s">
        <v>4076</v>
      </c>
      <c r="O521" s="13" t="s">
        <v>192</v>
      </c>
      <c r="P521" s="14"/>
    </row>
    <row r="522" customFormat="false" ht="22.35" hidden="false" customHeight="false" outlineLevel="0" collapsed="false">
      <c r="A522" s="13" t="s">
        <v>2395</v>
      </c>
      <c r="B522" s="13" t="s">
        <v>4071</v>
      </c>
      <c r="C522" s="14" t="s">
        <v>2396</v>
      </c>
      <c r="D522" s="14" t="s">
        <v>4073</v>
      </c>
      <c r="E522" s="13"/>
      <c r="F522" s="13"/>
      <c r="G522" s="24" t="n">
        <v>5</v>
      </c>
      <c r="H522" s="24" t="n">
        <v>6</v>
      </c>
      <c r="I522" s="24" t="n">
        <v>8</v>
      </c>
      <c r="J522" s="13" t="s">
        <v>4074</v>
      </c>
      <c r="K522" s="13" t="s">
        <v>4239</v>
      </c>
      <c r="L522" s="14" t="s">
        <v>4526</v>
      </c>
      <c r="M522" s="14" t="s">
        <v>4527</v>
      </c>
      <c r="N522" s="13" t="s">
        <v>4076</v>
      </c>
      <c r="O522" s="13" t="s">
        <v>192</v>
      </c>
      <c r="P522" s="14"/>
    </row>
    <row r="523" customFormat="false" ht="22.35" hidden="false" customHeight="false" outlineLevel="0" collapsed="false">
      <c r="A523" s="13" t="s">
        <v>2395</v>
      </c>
      <c r="B523" s="13" t="s">
        <v>4077</v>
      </c>
      <c r="C523" s="14" t="s">
        <v>2396</v>
      </c>
      <c r="D523" s="14" t="s">
        <v>4078</v>
      </c>
      <c r="E523" s="13"/>
      <c r="F523" s="13"/>
      <c r="G523" s="24" t="n">
        <v>6</v>
      </c>
      <c r="H523" s="24" t="n">
        <v>9</v>
      </c>
      <c r="I523" s="24" t="n">
        <v>12</v>
      </c>
      <c r="J523" s="13" t="s">
        <v>4074</v>
      </c>
      <c r="K523" s="13" t="s">
        <v>3879</v>
      </c>
      <c r="L523" s="14" t="s">
        <v>4528</v>
      </c>
      <c r="M523" s="14" t="s">
        <v>4529</v>
      </c>
      <c r="N523" s="13" t="s">
        <v>4076</v>
      </c>
      <c r="O523" s="13" t="s">
        <v>192</v>
      </c>
      <c r="P523" s="14"/>
    </row>
    <row r="524" customFormat="false" ht="22.35" hidden="false" customHeight="false" outlineLevel="0" collapsed="false">
      <c r="A524" s="13" t="s">
        <v>2398</v>
      </c>
      <c r="B524" s="13" t="s">
        <v>4071</v>
      </c>
      <c r="C524" s="14" t="s">
        <v>2401</v>
      </c>
      <c r="D524" s="14" t="s">
        <v>4073</v>
      </c>
      <c r="E524" s="13"/>
      <c r="F524" s="13"/>
      <c r="G524" s="24" t="n">
        <v>5</v>
      </c>
      <c r="H524" s="24" t="n">
        <v>6</v>
      </c>
      <c r="I524" s="24" t="n">
        <v>8</v>
      </c>
      <c r="J524" s="13" t="s">
        <v>4074</v>
      </c>
      <c r="K524" s="13" t="s">
        <v>4239</v>
      </c>
      <c r="L524" s="14" t="s">
        <v>4526</v>
      </c>
      <c r="M524" s="14" t="s">
        <v>4527</v>
      </c>
      <c r="N524" s="13" t="s">
        <v>4076</v>
      </c>
      <c r="O524" s="13" t="s">
        <v>192</v>
      </c>
      <c r="P524" s="14"/>
    </row>
    <row r="525" customFormat="false" ht="22.35" hidden="false" customHeight="false" outlineLevel="0" collapsed="false">
      <c r="A525" s="13" t="s">
        <v>2398</v>
      </c>
      <c r="B525" s="13" t="s">
        <v>4077</v>
      </c>
      <c r="C525" s="14" t="s">
        <v>2401</v>
      </c>
      <c r="D525" s="14" t="s">
        <v>4078</v>
      </c>
      <c r="E525" s="13"/>
      <c r="F525" s="13"/>
      <c r="G525" s="24" t="n">
        <v>6</v>
      </c>
      <c r="H525" s="24" t="n">
        <v>9</v>
      </c>
      <c r="I525" s="24" t="n">
        <v>12</v>
      </c>
      <c r="J525" s="13" t="s">
        <v>4074</v>
      </c>
      <c r="K525" s="13" t="s">
        <v>3879</v>
      </c>
      <c r="L525" s="14" t="s">
        <v>4528</v>
      </c>
      <c r="M525" s="14" t="s">
        <v>4529</v>
      </c>
      <c r="N525" s="13" t="s">
        <v>4076</v>
      </c>
      <c r="O525" s="13" t="s">
        <v>192</v>
      </c>
      <c r="P525" s="14"/>
    </row>
    <row r="526" customFormat="false" ht="22.35" hidden="false" customHeight="false" outlineLevel="0" collapsed="false">
      <c r="A526" s="13" t="s">
        <v>2406</v>
      </c>
      <c r="B526" s="13" t="s">
        <v>4071</v>
      </c>
      <c r="C526" s="14" t="s">
        <v>2407</v>
      </c>
      <c r="D526" s="14" t="s">
        <v>4073</v>
      </c>
      <c r="E526" s="13"/>
      <c r="F526" s="13"/>
      <c r="G526" s="24" t="n">
        <v>5</v>
      </c>
      <c r="H526" s="24" t="n">
        <v>6</v>
      </c>
      <c r="I526" s="24" t="n">
        <v>8</v>
      </c>
      <c r="J526" s="13" t="s">
        <v>4074</v>
      </c>
      <c r="K526" s="13" t="s">
        <v>4239</v>
      </c>
      <c r="L526" s="14" t="s">
        <v>4526</v>
      </c>
      <c r="M526" s="14" t="s">
        <v>4527</v>
      </c>
      <c r="N526" s="13" t="s">
        <v>4076</v>
      </c>
      <c r="O526" s="13" t="s">
        <v>192</v>
      </c>
      <c r="P526" s="14"/>
    </row>
    <row r="527" customFormat="false" ht="22.35" hidden="false" customHeight="false" outlineLevel="0" collapsed="false">
      <c r="A527" s="13" t="s">
        <v>2406</v>
      </c>
      <c r="B527" s="13" t="s">
        <v>4077</v>
      </c>
      <c r="C527" s="14" t="s">
        <v>2407</v>
      </c>
      <c r="D527" s="14" t="s">
        <v>4078</v>
      </c>
      <c r="E527" s="13"/>
      <c r="F527" s="13"/>
      <c r="G527" s="24" t="n">
        <v>6</v>
      </c>
      <c r="H527" s="24" t="n">
        <v>9</v>
      </c>
      <c r="I527" s="24" t="n">
        <v>12</v>
      </c>
      <c r="J527" s="13" t="s">
        <v>4074</v>
      </c>
      <c r="K527" s="13" t="s">
        <v>3879</v>
      </c>
      <c r="L527" s="14" t="s">
        <v>4528</v>
      </c>
      <c r="M527" s="14" t="s">
        <v>4529</v>
      </c>
      <c r="N527" s="13" t="s">
        <v>4076</v>
      </c>
      <c r="O527" s="13" t="s">
        <v>192</v>
      </c>
      <c r="P527" s="14"/>
    </row>
    <row r="528" customFormat="false" ht="22.35" hidden="false" customHeight="false" outlineLevel="0" collapsed="false">
      <c r="A528" s="13" t="s">
        <v>2410</v>
      </c>
      <c r="B528" s="13" t="s">
        <v>4071</v>
      </c>
      <c r="C528" s="14" t="s">
        <v>2412</v>
      </c>
      <c r="D528" s="14" t="s">
        <v>4073</v>
      </c>
      <c r="E528" s="13"/>
      <c r="F528" s="13"/>
      <c r="G528" s="24" t="n">
        <v>5</v>
      </c>
      <c r="H528" s="24" t="n">
        <v>6</v>
      </c>
      <c r="I528" s="24" t="n">
        <v>8</v>
      </c>
      <c r="J528" s="13" t="s">
        <v>4074</v>
      </c>
      <c r="K528" s="13" t="s">
        <v>4239</v>
      </c>
      <c r="L528" s="14" t="s">
        <v>4526</v>
      </c>
      <c r="M528" s="14" t="s">
        <v>4527</v>
      </c>
      <c r="N528" s="13" t="s">
        <v>4076</v>
      </c>
      <c r="O528" s="13" t="s">
        <v>192</v>
      </c>
      <c r="P528" s="14"/>
    </row>
    <row r="529" customFormat="false" ht="22.35" hidden="false" customHeight="false" outlineLevel="0" collapsed="false">
      <c r="A529" s="13" t="s">
        <v>2418</v>
      </c>
      <c r="B529" s="13" t="s">
        <v>4071</v>
      </c>
      <c r="C529" s="14" t="s">
        <v>2421</v>
      </c>
      <c r="D529" s="14" t="s">
        <v>4073</v>
      </c>
      <c r="E529" s="13"/>
      <c r="F529" s="13"/>
      <c r="G529" s="24" t="n">
        <v>5</v>
      </c>
      <c r="H529" s="24" t="n">
        <v>6</v>
      </c>
      <c r="I529" s="24" t="n">
        <v>8</v>
      </c>
      <c r="J529" s="13" t="s">
        <v>4074</v>
      </c>
      <c r="K529" s="13" t="s">
        <v>4239</v>
      </c>
      <c r="L529" s="14" t="s">
        <v>4526</v>
      </c>
      <c r="M529" s="14" t="s">
        <v>4527</v>
      </c>
      <c r="N529" s="13" t="s">
        <v>4076</v>
      </c>
      <c r="O529" s="13" t="s">
        <v>192</v>
      </c>
      <c r="P529" s="14"/>
    </row>
    <row r="530" customFormat="false" ht="22.35" hidden="false" customHeight="false" outlineLevel="0" collapsed="false">
      <c r="A530" s="13" t="s">
        <v>2418</v>
      </c>
      <c r="B530" s="13" t="s">
        <v>2749</v>
      </c>
      <c r="C530" s="14" t="s">
        <v>2421</v>
      </c>
      <c r="D530" s="14" t="s">
        <v>4059</v>
      </c>
      <c r="E530" s="13"/>
      <c r="F530" s="13"/>
      <c r="G530" s="24" t="n">
        <v>100</v>
      </c>
      <c r="H530" s="24" t="n">
        <v>215</v>
      </c>
      <c r="I530" s="24" t="n">
        <v>400</v>
      </c>
      <c r="J530" s="13" t="s">
        <v>3972</v>
      </c>
      <c r="K530" s="13" t="s">
        <v>4239</v>
      </c>
      <c r="L530" s="14" t="s">
        <v>4530</v>
      </c>
      <c r="M530" s="14" t="s">
        <v>4531</v>
      </c>
      <c r="N530" s="13" t="s">
        <v>4532</v>
      </c>
      <c r="O530" s="13" t="s">
        <v>213</v>
      </c>
      <c r="P530" s="14"/>
    </row>
    <row r="531" customFormat="false" ht="22.35" hidden="false" customHeight="false" outlineLevel="0" collapsed="false">
      <c r="A531" s="13" t="s">
        <v>2446</v>
      </c>
      <c r="B531" s="13" t="s">
        <v>2455</v>
      </c>
      <c r="C531" s="14" t="s">
        <v>2449</v>
      </c>
      <c r="D531" s="14" t="s">
        <v>4080</v>
      </c>
      <c r="E531" s="13"/>
      <c r="F531" s="13"/>
      <c r="G531" s="24"/>
      <c r="H531" s="24" t="n">
        <v>11</v>
      </c>
      <c r="I531" s="24" t="n">
        <v>12</v>
      </c>
      <c r="J531" s="13" t="s">
        <v>4081</v>
      </c>
      <c r="K531" s="13" t="s">
        <v>4533</v>
      </c>
      <c r="L531" s="14" t="s">
        <v>4534</v>
      </c>
      <c r="M531" s="14" t="s">
        <v>4535</v>
      </c>
      <c r="N531" s="13" t="s">
        <v>4084</v>
      </c>
      <c r="O531" s="13" t="s">
        <v>193</v>
      </c>
      <c r="P531" s="14"/>
    </row>
    <row r="532" customFormat="false" ht="15" hidden="false" customHeight="false" outlineLevel="0" collapsed="false">
      <c r="A532" s="13" t="s">
        <v>2476</v>
      </c>
      <c r="B532" s="13" t="s">
        <v>2484</v>
      </c>
      <c r="C532" s="14" t="s">
        <v>2480</v>
      </c>
      <c r="D532" s="14" t="s">
        <v>4046</v>
      </c>
      <c r="E532" s="13"/>
      <c r="F532" s="13"/>
      <c r="G532" s="24"/>
      <c r="H532" s="24"/>
      <c r="I532" s="24"/>
      <c r="J532" s="13" t="s">
        <v>4007</v>
      </c>
      <c r="K532" s="13" t="s">
        <v>3771</v>
      </c>
      <c r="L532" s="14"/>
      <c r="M532" s="14" t="s">
        <v>4050</v>
      </c>
      <c r="N532" s="13" t="s">
        <v>4048</v>
      </c>
      <c r="O532" s="13" t="s">
        <v>188</v>
      </c>
      <c r="P532" s="14" t="s">
        <v>4145</v>
      </c>
    </row>
    <row r="533" customFormat="false" ht="15" hidden="false" customHeight="false" outlineLevel="0" collapsed="false">
      <c r="A533" s="13" t="s">
        <v>2486</v>
      </c>
      <c r="B533" s="13" t="s">
        <v>2484</v>
      </c>
      <c r="C533" s="14" t="s">
        <v>2487</v>
      </c>
      <c r="D533" s="14" t="s">
        <v>4046</v>
      </c>
      <c r="E533" s="13"/>
      <c r="F533" s="13"/>
      <c r="G533" s="24"/>
      <c r="H533" s="24"/>
      <c r="I533" s="24"/>
      <c r="J533" s="13" t="s">
        <v>4007</v>
      </c>
      <c r="K533" s="13" t="s">
        <v>3771</v>
      </c>
      <c r="L533" s="14"/>
      <c r="M533" s="14" t="s">
        <v>4050</v>
      </c>
      <c r="N533" s="13" t="s">
        <v>4048</v>
      </c>
      <c r="O533" s="13" t="s">
        <v>188</v>
      </c>
      <c r="P533" s="14" t="s">
        <v>4145</v>
      </c>
    </row>
    <row r="534" customFormat="false" ht="15" hidden="false" customHeight="false" outlineLevel="0" collapsed="false">
      <c r="A534" s="13" t="s">
        <v>2489</v>
      </c>
      <c r="B534" s="13" t="s">
        <v>2494</v>
      </c>
      <c r="C534" s="14" t="s">
        <v>2491</v>
      </c>
      <c r="D534" s="14" t="s">
        <v>4049</v>
      </c>
      <c r="E534" s="13"/>
      <c r="F534" s="13"/>
      <c r="G534" s="24"/>
      <c r="H534" s="24"/>
      <c r="I534" s="24"/>
      <c r="J534" s="13" t="s">
        <v>4007</v>
      </c>
      <c r="K534" s="13" t="s">
        <v>3771</v>
      </c>
      <c r="L534" s="14"/>
      <c r="M534" s="14" t="s">
        <v>4050</v>
      </c>
      <c r="N534" s="13" t="s">
        <v>4048</v>
      </c>
      <c r="O534" s="13" t="s">
        <v>188</v>
      </c>
      <c r="P534" s="14" t="s">
        <v>4145</v>
      </c>
    </row>
    <row r="535" customFormat="false" ht="22.35" hidden="false" customHeight="false" outlineLevel="0" collapsed="false">
      <c r="A535" s="13" t="s">
        <v>2497</v>
      </c>
      <c r="B535" s="13" t="s">
        <v>2494</v>
      </c>
      <c r="C535" s="14" t="s">
        <v>2499</v>
      </c>
      <c r="D535" s="14" t="s">
        <v>4049</v>
      </c>
      <c r="E535" s="13"/>
      <c r="F535" s="13"/>
      <c r="G535" s="24"/>
      <c r="H535" s="24"/>
      <c r="I535" s="24"/>
      <c r="J535" s="13" t="s">
        <v>4007</v>
      </c>
      <c r="K535" s="13" t="s">
        <v>3771</v>
      </c>
      <c r="L535" s="14"/>
      <c r="M535" s="14" t="s">
        <v>4050</v>
      </c>
      <c r="N535" s="13" t="s">
        <v>4048</v>
      </c>
      <c r="O535" s="13" t="s">
        <v>188</v>
      </c>
      <c r="P535" s="14" t="s">
        <v>4145</v>
      </c>
    </row>
    <row r="536" customFormat="false" ht="22.35" hidden="false" customHeight="false" outlineLevel="0" collapsed="false">
      <c r="A536" s="13" t="s">
        <v>2503</v>
      </c>
      <c r="B536" s="13" t="s">
        <v>2494</v>
      </c>
      <c r="C536" s="14" t="s">
        <v>2504</v>
      </c>
      <c r="D536" s="14" t="s">
        <v>4049</v>
      </c>
      <c r="E536" s="13"/>
      <c r="F536" s="13"/>
      <c r="G536" s="24"/>
      <c r="H536" s="24"/>
      <c r="I536" s="24"/>
      <c r="J536" s="13" t="s">
        <v>4007</v>
      </c>
      <c r="K536" s="13" t="s">
        <v>3771</v>
      </c>
      <c r="L536" s="14"/>
      <c r="M536" s="14" t="s">
        <v>4050</v>
      </c>
      <c r="N536" s="13" t="s">
        <v>4048</v>
      </c>
      <c r="O536" s="13" t="s">
        <v>188</v>
      </c>
      <c r="P536" s="14" t="s">
        <v>4145</v>
      </c>
    </row>
    <row r="537" customFormat="false" ht="15" hidden="false" customHeight="false" outlineLevel="0" collapsed="false">
      <c r="A537" s="13" t="s">
        <v>2507</v>
      </c>
      <c r="B537" s="13" t="s">
        <v>2494</v>
      </c>
      <c r="C537" s="14" t="s">
        <v>2508</v>
      </c>
      <c r="D537" s="14" t="s">
        <v>4049</v>
      </c>
      <c r="E537" s="13"/>
      <c r="F537" s="13"/>
      <c r="G537" s="24"/>
      <c r="H537" s="24"/>
      <c r="I537" s="24"/>
      <c r="J537" s="13" t="s">
        <v>4007</v>
      </c>
      <c r="K537" s="13" t="s">
        <v>3771</v>
      </c>
      <c r="L537" s="14"/>
      <c r="M537" s="14" t="s">
        <v>4050</v>
      </c>
      <c r="N537" s="13" t="s">
        <v>4048</v>
      </c>
      <c r="O537" s="13" t="s">
        <v>188</v>
      </c>
      <c r="P537" s="14" t="s">
        <v>4145</v>
      </c>
    </row>
    <row r="538" customFormat="false" ht="15" hidden="false" customHeight="false" outlineLevel="0" collapsed="false">
      <c r="A538" s="13" t="s">
        <v>2512</v>
      </c>
      <c r="B538" s="13" t="s">
        <v>2494</v>
      </c>
      <c r="C538" s="14" t="s">
        <v>2513</v>
      </c>
      <c r="D538" s="14" t="s">
        <v>4049</v>
      </c>
      <c r="E538" s="13"/>
      <c r="F538" s="13"/>
      <c r="G538" s="24"/>
      <c r="H538" s="24"/>
      <c r="I538" s="24"/>
      <c r="J538" s="13" t="s">
        <v>4007</v>
      </c>
      <c r="K538" s="13" t="s">
        <v>3771</v>
      </c>
      <c r="L538" s="14"/>
      <c r="M538" s="14" t="s">
        <v>4050</v>
      </c>
      <c r="N538" s="13" t="s">
        <v>4048</v>
      </c>
      <c r="O538" s="13" t="s">
        <v>188</v>
      </c>
      <c r="P538" s="14" t="s">
        <v>4145</v>
      </c>
    </row>
    <row r="539" customFormat="false" ht="15" hidden="false" customHeight="false" outlineLevel="0" collapsed="false">
      <c r="A539" s="13" t="s">
        <v>2516</v>
      </c>
      <c r="B539" s="13" t="s">
        <v>2523</v>
      </c>
      <c r="C539" s="14" t="s">
        <v>2519</v>
      </c>
      <c r="D539" s="14" t="s">
        <v>4051</v>
      </c>
      <c r="E539" s="13"/>
      <c r="F539" s="13"/>
      <c r="G539" s="24"/>
      <c r="H539" s="24"/>
      <c r="I539" s="24"/>
      <c r="J539" s="13" t="s">
        <v>4007</v>
      </c>
      <c r="K539" s="13" t="s">
        <v>3771</v>
      </c>
      <c r="L539" s="14"/>
      <c r="M539" s="14" t="s">
        <v>4536</v>
      </c>
      <c r="N539" s="13"/>
      <c r="O539" s="13" t="s">
        <v>188</v>
      </c>
      <c r="P539" s="14" t="s">
        <v>4145</v>
      </c>
    </row>
    <row r="540" customFormat="false" ht="15" hidden="false" customHeight="false" outlineLevel="0" collapsed="false">
      <c r="A540" s="13" t="s">
        <v>2525</v>
      </c>
      <c r="B540" s="13" t="s">
        <v>2523</v>
      </c>
      <c r="C540" s="14" t="s">
        <v>2526</v>
      </c>
      <c r="D540" s="14" t="s">
        <v>4051</v>
      </c>
      <c r="E540" s="13"/>
      <c r="F540" s="13"/>
      <c r="G540" s="24"/>
      <c r="H540" s="24"/>
      <c r="I540" s="24"/>
      <c r="J540" s="13" t="s">
        <v>4007</v>
      </c>
      <c r="K540" s="13" t="s">
        <v>3771</v>
      </c>
      <c r="L540" s="14"/>
      <c r="M540" s="14" t="s">
        <v>4536</v>
      </c>
      <c r="N540" s="13"/>
      <c r="O540" s="13" t="s">
        <v>188</v>
      </c>
      <c r="P540" s="14" t="s">
        <v>4145</v>
      </c>
    </row>
    <row r="541" customFormat="false" ht="15" hidden="false" customHeight="false" outlineLevel="0" collapsed="false">
      <c r="A541" s="13" t="s">
        <v>2530</v>
      </c>
      <c r="B541" s="13" t="s">
        <v>2523</v>
      </c>
      <c r="C541" s="14" t="s">
        <v>2531</v>
      </c>
      <c r="D541" s="14" t="s">
        <v>4051</v>
      </c>
      <c r="E541" s="13"/>
      <c r="F541" s="13"/>
      <c r="G541" s="24"/>
      <c r="H541" s="24"/>
      <c r="I541" s="24"/>
      <c r="J541" s="13" t="s">
        <v>4007</v>
      </c>
      <c r="K541" s="13" t="s">
        <v>3771</v>
      </c>
      <c r="L541" s="14"/>
      <c r="M541" s="14" t="s">
        <v>4536</v>
      </c>
      <c r="N541" s="13"/>
      <c r="O541" s="13" t="s">
        <v>188</v>
      </c>
      <c r="P541" s="14" t="s">
        <v>4145</v>
      </c>
    </row>
    <row r="542" customFormat="false" ht="22.35" hidden="false" customHeight="false" outlineLevel="0" collapsed="false">
      <c r="A542" s="13" t="s">
        <v>2535</v>
      </c>
      <c r="B542" s="13" t="s">
        <v>2542</v>
      </c>
      <c r="C542" s="14" t="s">
        <v>2538</v>
      </c>
      <c r="D542" s="14" t="s">
        <v>4030</v>
      </c>
      <c r="E542" s="13"/>
      <c r="F542" s="13"/>
      <c r="G542" s="24" t="n">
        <v>83</v>
      </c>
      <c r="H542" s="24" t="n">
        <v>125</v>
      </c>
      <c r="I542" s="24" t="n">
        <v>167</v>
      </c>
      <c r="J542" s="13" t="s">
        <v>4007</v>
      </c>
      <c r="K542" s="13" t="s">
        <v>4031</v>
      </c>
      <c r="L542" s="14" t="s">
        <v>4537</v>
      </c>
      <c r="M542" s="14" t="s">
        <v>4538</v>
      </c>
      <c r="N542" s="13" t="s">
        <v>4033</v>
      </c>
      <c r="O542" s="13" t="s">
        <v>193</v>
      </c>
      <c r="P542" s="14"/>
    </row>
    <row r="543" customFormat="false" ht="22.35" hidden="false" customHeight="false" outlineLevel="0" collapsed="false">
      <c r="A543" s="13" t="s">
        <v>2544</v>
      </c>
      <c r="B543" s="13" t="s">
        <v>2542</v>
      </c>
      <c r="C543" s="14" t="s">
        <v>2546</v>
      </c>
      <c r="D543" s="14" t="s">
        <v>4030</v>
      </c>
      <c r="E543" s="13"/>
      <c r="F543" s="13"/>
      <c r="G543" s="24" t="n">
        <v>83</v>
      </c>
      <c r="H543" s="24" t="n">
        <v>125</v>
      </c>
      <c r="I543" s="24" t="n">
        <v>167</v>
      </c>
      <c r="J543" s="13" t="s">
        <v>4007</v>
      </c>
      <c r="K543" s="13" t="s">
        <v>4031</v>
      </c>
      <c r="L543" s="14" t="s">
        <v>4537</v>
      </c>
      <c r="M543" s="14" t="s">
        <v>4538</v>
      </c>
      <c r="N543" s="13" t="s">
        <v>4033</v>
      </c>
      <c r="O543" s="13" t="s">
        <v>193</v>
      </c>
      <c r="P543" s="14"/>
    </row>
    <row r="544" customFormat="false" ht="22.35" hidden="false" customHeight="false" outlineLevel="0" collapsed="false">
      <c r="A544" s="13" t="s">
        <v>2551</v>
      </c>
      <c r="B544" s="13" t="s">
        <v>2542</v>
      </c>
      <c r="C544" s="14" t="s">
        <v>2553</v>
      </c>
      <c r="D544" s="14" t="s">
        <v>4030</v>
      </c>
      <c r="E544" s="13"/>
      <c r="F544" s="13"/>
      <c r="G544" s="24" t="n">
        <v>83</v>
      </c>
      <c r="H544" s="24" t="n">
        <v>125</v>
      </c>
      <c r="I544" s="24" t="n">
        <v>167</v>
      </c>
      <c r="J544" s="13" t="s">
        <v>4007</v>
      </c>
      <c r="K544" s="13" t="s">
        <v>4031</v>
      </c>
      <c r="L544" s="14" t="s">
        <v>4537</v>
      </c>
      <c r="M544" s="14" t="s">
        <v>4538</v>
      </c>
      <c r="N544" s="13" t="s">
        <v>4033</v>
      </c>
      <c r="O544" s="13" t="s">
        <v>193</v>
      </c>
      <c r="P544" s="14"/>
    </row>
    <row r="545" customFormat="false" ht="22.35" hidden="false" customHeight="false" outlineLevel="0" collapsed="false">
      <c r="A545" s="13" t="s">
        <v>2556</v>
      </c>
      <c r="B545" s="13" t="s">
        <v>2542</v>
      </c>
      <c r="C545" s="14" t="s">
        <v>2558</v>
      </c>
      <c r="D545" s="14" t="s">
        <v>4030</v>
      </c>
      <c r="E545" s="13"/>
      <c r="F545" s="13"/>
      <c r="G545" s="24" t="n">
        <v>83</v>
      </c>
      <c r="H545" s="24" t="n">
        <v>125</v>
      </c>
      <c r="I545" s="24" t="n">
        <v>167</v>
      </c>
      <c r="J545" s="13" t="s">
        <v>4007</v>
      </c>
      <c r="K545" s="13" t="s">
        <v>4031</v>
      </c>
      <c r="L545" s="14" t="s">
        <v>4537</v>
      </c>
      <c r="M545" s="14" t="s">
        <v>4538</v>
      </c>
      <c r="N545" s="13" t="s">
        <v>4033</v>
      </c>
      <c r="O545" s="13" t="s">
        <v>193</v>
      </c>
      <c r="P545" s="14"/>
    </row>
    <row r="546" customFormat="false" ht="22.35" hidden="false" customHeight="false" outlineLevel="0" collapsed="false">
      <c r="A546" s="13" t="s">
        <v>2562</v>
      </c>
      <c r="B546" s="13" t="s">
        <v>2568</v>
      </c>
      <c r="C546" s="14" t="s">
        <v>2565</v>
      </c>
      <c r="D546" s="14" t="s">
        <v>4034</v>
      </c>
      <c r="E546" s="13"/>
      <c r="F546" s="13"/>
      <c r="G546" s="24" t="n">
        <v>20</v>
      </c>
      <c r="H546" s="24" t="n">
        <v>40</v>
      </c>
      <c r="I546" s="24" t="n">
        <v>70</v>
      </c>
      <c r="J546" s="13" t="s">
        <v>3972</v>
      </c>
      <c r="K546" s="13" t="s">
        <v>3879</v>
      </c>
      <c r="L546" s="14" t="s">
        <v>4539</v>
      </c>
      <c r="M546" s="14" t="s">
        <v>4377</v>
      </c>
      <c r="N546" s="13" t="s">
        <v>3964</v>
      </c>
      <c r="O546" s="13" t="s">
        <v>192</v>
      </c>
      <c r="P546" s="14"/>
    </row>
    <row r="547" customFormat="false" ht="22.35" hidden="false" customHeight="false" outlineLevel="0" collapsed="false">
      <c r="A547" s="13" t="s">
        <v>2569</v>
      </c>
      <c r="B547" s="13" t="s">
        <v>2574</v>
      </c>
      <c r="C547" s="14" t="s">
        <v>2572</v>
      </c>
      <c r="D547" s="14" t="s">
        <v>4036</v>
      </c>
      <c r="E547" s="13"/>
      <c r="F547" s="13"/>
      <c r="G547" s="24" t="n">
        <v>300</v>
      </c>
      <c r="H547" s="24" t="n">
        <v>350</v>
      </c>
      <c r="I547" s="24" t="n">
        <v>400</v>
      </c>
      <c r="J547" s="13" t="s">
        <v>3972</v>
      </c>
      <c r="K547" s="13" t="s">
        <v>4037</v>
      </c>
      <c r="L547" s="14" t="s">
        <v>4540</v>
      </c>
      <c r="M547" s="14" t="s">
        <v>4541</v>
      </c>
      <c r="N547" s="13" t="s">
        <v>4039</v>
      </c>
      <c r="O547" s="13" t="s">
        <v>192</v>
      </c>
      <c r="P547" s="14"/>
    </row>
    <row r="548" customFormat="false" ht="22.35" hidden="false" customHeight="false" outlineLevel="0" collapsed="false">
      <c r="A548" s="13" t="s">
        <v>2575</v>
      </c>
      <c r="B548" s="13" t="s">
        <v>2577</v>
      </c>
      <c r="C548" s="14" t="s">
        <v>2576</v>
      </c>
      <c r="D548" s="14" t="s">
        <v>4040</v>
      </c>
      <c r="E548" s="13"/>
      <c r="F548" s="13"/>
      <c r="G548" s="24" t="n">
        <v>500</v>
      </c>
      <c r="H548" s="24" t="n">
        <v>625</v>
      </c>
      <c r="I548" s="24" t="n">
        <v>750</v>
      </c>
      <c r="J548" s="13" t="s">
        <v>3972</v>
      </c>
      <c r="K548" s="13" t="s">
        <v>4037</v>
      </c>
      <c r="L548" s="14" t="s">
        <v>4542</v>
      </c>
      <c r="M548" s="14" t="s">
        <v>4543</v>
      </c>
      <c r="N548" s="13" t="s">
        <v>4039</v>
      </c>
      <c r="O548" s="13" t="s">
        <v>192</v>
      </c>
      <c r="P548" s="14"/>
    </row>
    <row r="549" customFormat="false" ht="22.35" hidden="false" customHeight="false" outlineLevel="0" collapsed="false">
      <c r="A549" s="13" t="s">
        <v>2585</v>
      </c>
      <c r="B549" s="13" t="s">
        <v>2589</v>
      </c>
      <c r="C549" s="14" t="s">
        <v>2588</v>
      </c>
      <c r="D549" s="14" t="s">
        <v>4042</v>
      </c>
      <c r="E549" s="13"/>
      <c r="F549" s="13"/>
      <c r="G549" s="24" t="n">
        <v>1.7</v>
      </c>
      <c r="H549" s="24" t="n">
        <v>4.2</v>
      </c>
      <c r="I549" s="24" t="n">
        <v>6.6</v>
      </c>
      <c r="J549" s="13" t="s">
        <v>3981</v>
      </c>
      <c r="K549" s="13" t="s">
        <v>4544</v>
      </c>
      <c r="L549" s="14" t="s">
        <v>4545</v>
      </c>
      <c r="M549" s="14" t="s">
        <v>4546</v>
      </c>
      <c r="N549" s="13" t="s">
        <v>4045</v>
      </c>
      <c r="O549" s="13" t="s">
        <v>193</v>
      </c>
      <c r="P549" s="14"/>
    </row>
    <row r="550" customFormat="false" ht="22.35" hidden="false" customHeight="false" outlineLevel="0" collapsed="false">
      <c r="A550" s="13" t="s">
        <v>2591</v>
      </c>
      <c r="B550" s="13" t="s">
        <v>2589</v>
      </c>
      <c r="C550" s="14" t="s">
        <v>2593</v>
      </c>
      <c r="D550" s="14" t="s">
        <v>4042</v>
      </c>
      <c r="E550" s="13"/>
      <c r="F550" s="13"/>
      <c r="G550" s="24" t="n">
        <v>1.7</v>
      </c>
      <c r="H550" s="24" t="n">
        <v>4.2</v>
      </c>
      <c r="I550" s="24" t="n">
        <v>6.6</v>
      </c>
      <c r="J550" s="13" t="s">
        <v>3981</v>
      </c>
      <c r="K550" s="13" t="s">
        <v>4544</v>
      </c>
      <c r="L550" s="14" t="s">
        <v>4545</v>
      </c>
      <c r="M550" s="14" t="s">
        <v>4546</v>
      </c>
      <c r="N550" s="13" t="s">
        <v>4045</v>
      </c>
      <c r="O550" s="13" t="s">
        <v>193</v>
      </c>
      <c r="P550" s="14"/>
    </row>
    <row r="551" customFormat="false" ht="22.35" hidden="false" customHeight="false" outlineLevel="0" collapsed="false">
      <c r="A551" s="13" t="s">
        <v>2598</v>
      </c>
      <c r="B551" s="13" t="s">
        <v>2589</v>
      </c>
      <c r="C551" s="14" t="s">
        <v>2600</v>
      </c>
      <c r="D551" s="14" t="s">
        <v>4042</v>
      </c>
      <c r="E551" s="13"/>
      <c r="F551" s="13"/>
      <c r="G551" s="24" t="n">
        <v>1.7</v>
      </c>
      <c r="H551" s="24" t="n">
        <v>4.2</v>
      </c>
      <c r="I551" s="24" t="n">
        <v>6.6</v>
      </c>
      <c r="J551" s="13" t="s">
        <v>3981</v>
      </c>
      <c r="K551" s="13" t="s">
        <v>4544</v>
      </c>
      <c r="L551" s="14" t="s">
        <v>4545</v>
      </c>
      <c r="M551" s="14" t="s">
        <v>4546</v>
      </c>
      <c r="N551" s="13" t="s">
        <v>4045</v>
      </c>
      <c r="O551" s="13" t="s">
        <v>193</v>
      </c>
      <c r="P551" s="14"/>
    </row>
    <row r="552" customFormat="false" ht="22.35" hidden="false" customHeight="false" outlineLevel="0" collapsed="false">
      <c r="A552" s="13" t="s">
        <v>2719</v>
      </c>
      <c r="B552" s="13" t="s">
        <v>2728</v>
      </c>
      <c r="C552" s="14" t="s">
        <v>2723</v>
      </c>
      <c r="D552" s="14" t="s">
        <v>4062</v>
      </c>
      <c r="E552" s="13"/>
      <c r="F552" s="13"/>
      <c r="G552" s="24" t="n">
        <v>220</v>
      </c>
      <c r="H552" s="24" t="n">
        <v>350</v>
      </c>
      <c r="I552" s="24" t="n">
        <v>690</v>
      </c>
      <c r="J552" s="13" t="s">
        <v>3993</v>
      </c>
      <c r="K552" s="13" t="s">
        <v>4239</v>
      </c>
      <c r="L552" s="14" t="s">
        <v>4547</v>
      </c>
      <c r="M552" s="14" t="s">
        <v>4548</v>
      </c>
      <c r="N552" s="13" t="s">
        <v>4061</v>
      </c>
      <c r="O552" s="13" t="s">
        <v>213</v>
      </c>
      <c r="P552" s="14"/>
    </row>
    <row r="553" customFormat="false" ht="22.35" hidden="false" customHeight="false" outlineLevel="0" collapsed="false">
      <c r="A553" s="13" t="s">
        <v>2730</v>
      </c>
      <c r="B553" s="13" t="s">
        <v>2728</v>
      </c>
      <c r="C553" s="14" t="s">
        <v>2732</v>
      </c>
      <c r="D553" s="14" t="s">
        <v>4062</v>
      </c>
      <c r="E553" s="13"/>
      <c r="F553" s="13"/>
      <c r="G553" s="24" t="n">
        <v>220</v>
      </c>
      <c r="H553" s="24" t="n">
        <v>350</v>
      </c>
      <c r="I553" s="24" t="n">
        <v>690</v>
      </c>
      <c r="J553" s="13" t="s">
        <v>3993</v>
      </c>
      <c r="K553" s="13" t="s">
        <v>4239</v>
      </c>
      <c r="L553" s="14" t="s">
        <v>4547</v>
      </c>
      <c r="M553" s="14" t="s">
        <v>4548</v>
      </c>
      <c r="N553" s="13" t="s">
        <v>4061</v>
      </c>
      <c r="O553" s="13" t="s">
        <v>213</v>
      </c>
      <c r="P553" s="14"/>
    </row>
    <row r="554" customFormat="false" ht="22.35" hidden="false" customHeight="false" outlineLevel="0" collapsed="false">
      <c r="A554" s="13" t="s">
        <v>2730</v>
      </c>
      <c r="B554" s="13" t="s">
        <v>2749</v>
      </c>
      <c r="C554" s="14" t="s">
        <v>2732</v>
      </c>
      <c r="D554" s="14" t="s">
        <v>4059</v>
      </c>
      <c r="E554" s="13"/>
      <c r="F554" s="13"/>
      <c r="G554" s="24" t="n">
        <v>100</v>
      </c>
      <c r="H554" s="24" t="n">
        <v>215</v>
      </c>
      <c r="I554" s="24" t="n">
        <v>400</v>
      </c>
      <c r="J554" s="13" t="s">
        <v>3972</v>
      </c>
      <c r="K554" s="13" t="s">
        <v>4239</v>
      </c>
      <c r="L554" s="14" t="s">
        <v>4530</v>
      </c>
      <c r="M554" s="14" t="s">
        <v>4531</v>
      </c>
      <c r="N554" s="13" t="s">
        <v>4532</v>
      </c>
      <c r="O554" s="13" t="s">
        <v>213</v>
      </c>
      <c r="P554" s="14"/>
    </row>
    <row r="555" customFormat="false" ht="22.35" hidden="false" customHeight="false" outlineLevel="0" collapsed="false">
      <c r="A555" s="13" t="s">
        <v>2738</v>
      </c>
      <c r="B555" s="13" t="s">
        <v>2728</v>
      </c>
      <c r="C555" s="14" t="s">
        <v>2739</v>
      </c>
      <c r="D555" s="14" t="s">
        <v>4062</v>
      </c>
      <c r="E555" s="13"/>
      <c r="F555" s="13"/>
      <c r="G555" s="24" t="n">
        <v>220</v>
      </c>
      <c r="H555" s="24" t="n">
        <v>350</v>
      </c>
      <c r="I555" s="24" t="n">
        <v>690</v>
      </c>
      <c r="J555" s="13" t="s">
        <v>3993</v>
      </c>
      <c r="K555" s="13" t="s">
        <v>4239</v>
      </c>
      <c r="L555" s="14" t="s">
        <v>4547</v>
      </c>
      <c r="M555" s="14" t="s">
        <v>4548</v>
      </c>
      <c r="N555" s="13" t="s">
        <v>4061</v>
      </c>
      <c r="O555" s="13" t="s">
        <v>213</v>
      </c>
      <c r="P555" s="14"/>
    </row>
    <row r="556" customFormat="false" ht="22.35" hidden="false" customHeight="false" outlineLevel="0" collapsed="false">
      <c r="A556" s="13" t="s">
        <v>2738</v>
      </c>
      <c r="B556" s="13" t="s">
        <v>2749</v>
      </c>
      <c r="C556" s="14" t="s">
        <v>2739</v>
      </c>
      <c r="D556" s="14" t="s">
        <v>4059</v>
      </c>
      <c r="E556" s="13"/>
      <c r="F556" s="13"/>
      <c r="G556" s="24" t="n">
        <v>100</v>
      </c>
      <c r="H556" s="24" t="n">
        <v>215</v>
      </c>
      <c r="I556" s="24" t="n">
        <v>400</v>
      </c>
      <c r="J556" s="13" t="s">
        <v>3972</v>
      </c>
      <c r="K556" s="13" t="s">
        <v>4239</v>
      </c>
      <c r="L556" s="14" t="s">
        <v>4530</v>
      </c>
      <c r="M556" s="14" t="s">
        <v>4531</v>
      </c>
      <c r="N556" s="13" t="s">
        <v>4532</v>
      </c>
      <c r="O556" s="13" t="s">
        <v>213</v>
      </c>
      <c r="P556" s="14"/>
    </row>
    <row r="557" customFormat="false" ht="22.35" hidden="false" customHeight="false" outlineLevel="0" collapsed="false">
      <c r="A557" s="13" t="s">
        <v>2741</v>
      </c>
      <c r="B557" s="13" t="s">
        <v>2728</v>
      </c>
      <c r="C557" s="14" t="s">
        <v>2742</v>
      </c>
      <c r="D557" s="14" t="s">
        <v>4062</v>
      </c>
      <c r="E557" s="13"/>
      <c r="F557" s="13"/>
      <c r="G557" s="24" t="n">
        <v>220</v>
      </c>
      <c r="H557" s="24" t="n">
        <v>350</v>
      </c>
      <c r="I557" s="24" t="n">
        <v>690</v>
      </c>
      <c r="J557" s="13" t="s">
        <v>3993</v>
      </c>
      <c r="K557" s="13" t="s">
        <v>4239</v>
      </c>
      <c r="L557" s="14" t="s">
        <v>4547</v>
      </c>
      <c r="M557" s="14" t="s">
        <v>4548</v>
      </c>
      <c r="N557" s="13" t="s">
        <v>4061</v>
      </c>
      <c r="O557" s="13" t="s">
        <v>213</v>
      </c>
      <c r="P557" s="14"/>
    </row>
    <row r="558" customFormat="false" ht="22.35" hidden="false" customHeight="false" outlineLevel="0" collapsed="false">
      <c r="A558" s="13" t="s">
        <v>2741</v>
      </c>
      <c r="B558" s="13" t="s">
        <v>2749</v>
      </c>
      <c r="C558" s="14" t="s">
        <v>2742</v>
      </c>
      <c r="D558" s="14" t="s">
        <v>4059</v>
      </c>
      <c r="E558" s="13"/>
      <c r="F558" s="13"/>
      <c r="G558" s="24" t="n">
        <v>100</v>
      </c>
      <c r="H558" s="24" t="n">
        <v>215</v>
      </c>
      <c r="I558" s="24" t="n">
        <v>400</v>
      </c>
      <c r="J558" s="13" t="s">
        <v>3972</v>
      </c>
      <c r="K558" s="13" t="s">
        <v>4239</v>
      </c>
      <c r="L558" s="14" t="s">
        <v>4530</v>
      </c>
      <c r="M558" s="14" t="s">
        <v>4531</v>
      </c>
      <c r="N558" s="13" t="s">
        <v>4532</v>
      </c>
      <c r="O558" s="13" t="s">
        <v>213</v>
      </c>
      <c r="P558" s="14"/>
    </row>
    <row r="559" customFormat="false" ht="22.35" hidden="false" customHeight="false" outlineLevel="0" collapsed="false">
      <c r="A559" s="13" t="s">
        <v>2744</v>
      </c>
      <c r="B559" s="13" t="s">
        <v>2749</v>
      </c>
      <c r="C559" s="14" t="s">
        <v>2746</v>
      </c>
      <c r="D559" s="14" t="s">
        <v>4059</v>
      </c>
      <c r="E559" s="13"/>
      <c r="F559" s="13"/>
      <c r="G559" s="24" t="n">
        <v>100</v>
      </c>
      <c r="H559" s="24" t="n">
        <v>215</v>
      </c>
      <c r="I559" s="24" t="n">
        <v>400</v>
      </c>
      <c r="J559" s="13" t="s">
        <v>3972</v>
      </c>
      <c r="K559" s="13" t="s">
        <v>4239</v>
      </c>
      <c r="L559" s="14" t="s">
        <v>4530</v>
      </c>
      <c r="M559" s="14" t="s">
        <v>4531</v>
      </c>
      <c r="N559" s="13" t="s">
        <v>4532</v>
      </c>
      <c r="O559" s="13" t="s">
        <v>213</v>
      </c>
      <c r="P559" s="14"/>
    </row>
    <row r="560" customFormat="false" ht="22.35" hidden="false" customHeight="false" outlineLevel="0" collapsed="false">
      <c r="A560" s="13" t="s">
        <v>2751</v>
      </c>
      <c r="B560" s="13" t="s">
        <v>2749</v>
      </c>
      <c r="C560" s="14" t="s">
        <v>2752</v>
      </c>
      <c r="D560" s="14" t="s">
        <v>4059</v>
      </c>
      <c r="E560" s="13"/>
      <c r="F560" s="13"/>
      <c r="G560" s="24" t="n">
        <v>100</v>
      </c>
      <c r="H560" s="24" t="n">
        <v>215</v>
      </c>
      <c r="I560" s="24" t="n">
        <v>400</v>
      </c>
      <c r="J560" s="13" t="s">
        <v>3972</v>
      </c>
      <c r="K560" s="13" t="s">
        <v>4239</v>
      </c>
      <c r="L560" s="14" t="s">
        <v>4530</v>
      </c>
      <c r="M560" s="14" t="s">
        <v>4531</v>
      </c>
      <c r="N560" s="13" t="s">
        <v>4532</v>
      </c>
      <c r="O560" s="13" t="s">
        <v>213</v>
      </c>
      <c r="P560" s="14"/>
    </row>
    <row r="561" customFormat="false" ht="22.35" hidden="false" customHeight="false" outlineLevel="0" collapsed="false">
      <c r="A561" s="13" t="s">
        <v>2753</v>
      </c>
      <c r="B561" s="13" t="s">
        <v>2749</v>
      </c>
      <c r="C561" s="14" t="s">
        <v>2755</v>
      </c>
      <c r="D561" s="14" t="s">
        <v>4059</v>
      </c>
      <c r="E561" s="13"/>
      <c r="F561" s="13"/>
      <c r="G561" s="24" t="n">
        <v>100</v>
      </c>
      <c r="H561" s="24" t="n">
        <v>215</v>
      </c>
      <c r="I561" s="24" t="n">
        <v>400</v>
      </c>
      <c r="J561" s="13" t="s">
        <v>3972</v>
      </c>
      <c r="K561" s="13" t="s">
        <v>4239</v>
      </c>
      <c r="L561" s="14" t="s">
        <v>4530</v>
      </c>
      <c r="M561" s="14" t="s">
        <v>4531</v>
      </c>
      <c r="N561" s="13" t="s">
        <v>4532</v>
      </c>
      <c r="O561" s="13" t="s">
        <v>213</v>
      </c>
      <c r="P561" s="14"/>
    </row>
    <row r="562" customFormat="false" ht="22.35" hidden="false" customHeight="false" outlineLevel="0" collapsed="false">
      <c r="A562" s="13" t="s">
        <v>2756</v>
      </c>
      <c r="B562" s="13" t="s">
        <v>2749</v>
      </c>
      <c r="C562" s="14" t="s">
        <v>2759</v>
      </c>
      <c r="D562" s="14" t="s">
        <v>4059</v>
      </c>
      <c r="E562" s="13"/>
      <c r="F562" s="13"/>
      <c r="G562" s="24" t="n">
        <v>100</v>
      </c>
      <c r="H562" s="24" t="n">
        <v>215</v>
      </c>
      <c r="I562" s="24" t="n">
        <v>400</v>
      </c>
      <c r="J562" s="13" t="s">
        <v>3972</v>
      </c>
      <c r="K562" s="13" t="s">
        <v>4239</v>
      </c>
      <c r="L562" s="14" t="s">
        <v>4530</v>
      </c>
      <c r="M562" s="14" t="s">
        <v>4531</v>
      </c>
      <c r="N562" s="13" t="s">
        <v>4532</v>
      </c>
      <c r="O562" s="13" t="s">
        <v>213</v>
      </c>
      <c r="P562" s="14"/>
    </row>
    <row r="563" customFormat="false" ht="22.35" hidden="false" customHeight="false" outlineLevel="0" collapsed="false">
      <c r="A563" s="13" t="s">
        <v>2763</v>
      </c>
      <c r="B563" s="13" t="s">
        <v>2749</v>
      </c>
      <c r="C563" s="14" t="s">
        <v>2764</v>
      </c>
      <c r="D563" s="14" t="s">
        <v>4059</v>
      </c>
      <c r="E563" s="13"/>
      <c r="F563" s="13"/>
      <c r="G563" s="24" t="n">
        <v>100</v>
      </c>
      <c r="H563" s="24" t="n">
        <v>215</v>
      </c>
      <c r="I563" s="24" t="n">
        <v>400</v>
      </c>
      <c r="J563" s="13" t="s">
        <v>3972</v>
      </c>
      <c r="K563" s="13" t="s">
        <v>4239</v>
      </c>
      <c r="L563" s="14" t="s">
        <v>4530</v>
      </c>
      <c r="M563" s="14" t="s">
        <v>4531</v>
      </c>
      <c r="N563" s="13" t="s">
        <v>4532</v>
      </c>
      <c r="O563" s="13" t="s">
        <v>213</v>
      </c>
      <c r="P563" s="14"/>
    </row>
    <row r="564" customFormat="false" ht="22.35" hidden="false" customHeight="false" outlineLevel="0" collapsed="false">
      <c r="A564" s="13" t="s">
        <v>2765</v>
      </c>
      <c r="B564" s="13" t="s">
        <v>2749</v>
      </c>
      <c r="C564" s="14" t="s">
        <v>2766</v>
      </c>
      <c r="D564" s="14" t="s">
        <v>4059</v>
      </c>
      <c r="E564" s="13"/>
      <c r="F564" s="13"/>
      <c r="G564" s="24" t="n">
        <v>100</v>
      </c>
      <c r="H564" s="24" t="n">
        <v>215</v>
      </c>
      <c r="I564" s="24" t="n">
        <v>400</v>
      </c>
      <c r="J564" s="13" t="s">
        <v>3972</v>
      </c>
      <c r="K564" s="13" t="s">
        <v>4239</v>
      </c>
      <c r="L564" s="14" t="s">
        <v>4530</v>
      </c>
      <c r="M564" s="14" t="s">
        <v>4531</v>
      </c>
      <c r="N564" s="13" t="s">
        <v>4532</v>
      </c>
      <c r="O564" s="13" t="s">
        <v>213</v>
      </c>
      <c r="P564" s="14"/>
    </row>
    <row r="565" customFormat="false" ht="22.35" hidden="false" customHeight="false" outlineLevel="0" collapsed="false">
      <c r="A565" s="13" t="s">
        <v>2767</v>
      </c>
      <c r="B565" s="13" t="s">
        <v>2749</v>
      </c>
      <c r="C565" s="14" t="s">
        <v>2769</v>
      </c>
      <c r="D565" s="14" t="s">
        <v>4059</v>
      </c>
      <c r="E565" s="13"/>
      <c r="F565" s="13"/>
      <c r="G565" s="24" t="n">
        <v>100</v>
      </c>
      <c r="H565" s="24" t="n">
        <v>215</v>
      </c>
      <c r="I565" s="24" t="n">
        <v>400</v>
      </c>
      <c r="J565" s="13" t="s">
        <v>3972</v>
      </c>
      <c r="K565" s="13" t="s">
        <v>4239</v>
      </c>
      <c r="L565" s="14" t="s">
        <v>4530</v>
      </c>
      <c r="M565" s="14" t="s">
        <v>4531</v>
      </c>
      <c r="N565" s="13" t="s">
        <v>4532</v>
      </c>
      <c r="O565" s="13" t="s">
        <v>213</v>
      </c>
      <c r="P565" s="14"/>
    </row>
    <row r="566" customFormat="false" ht="22.35" hidden="false" customHeight="false" outlineLevel="0" collapsed="false">
      <c r="A566" s="13" t="s">
        <v>2770</v>
      </c>
      <c r="B566" s="13" t="s">
        <v>2749</v>
      </c>
      <c r="C566" s="14" t="s">
        <v>2771</v>
      </c>
      <c r="D566" s="14" t="s">
        <v>4059</v>
      </c>
      <c r="E566" s="13"/>
      <c r="F566" s="13"/>
      <c r="G566" s="24" t="n">
        <v>100</v>
      </c>
      <c r="H566" s="24" t="n">
        <v>215</v>
      </c>
      <c r="I566" s="24" t="n">
        <v>400</v>
      </c>
      <c r="J566" s="13" t="s">
        <v>3972</v>
      </c>
      <c r="K566" s="13" t="s">
        <v>4239</v>
      </c>
      <c r="L566" s="14" t="s">
        <v>4530</v>
      </c>
      <c r="M566" s="14" t="s">
        <v>4531</v>
      </c>
      <c r="N566" s="13" t="s">
        <v>4532</v>
      </c>
      <c r="O566" s="13" t="s">
        <v>213</v>
      </c>
      <c r="P566" s="14"/>
    </row>
    <row r="567" customFormat="false" ht="22.35" hidden="false" customHeight="false" outlineLevel="0" collapsed="false">
      <c r="A567" s="13" t="s">
        <v>2772</v>
      </c>
      <c r="B567" s="13" t="s">
        <v>2749</v>
      </c>
      <c r="C567" s="14" t="s">
        <v>2773</v>
      </c>
      <c r="D567" s="14" t="s">
        <v>4059</v>
      </c>
      <c r="E567" s="13"/>
      <c r="F567" s="13"/>
      <c r="G567" s="24" t="n">
        <v>100</v>
      </c>
      <c r="H567" s="24" t="n">
        <v>215</v>
      </c>
      <c r="I567" s="24" t="n">
        <v>400</v>
      </c>
      <c r="J567" s="13" t="s">
        <v>3972</v>
      </c>
      <c r="K567" s="13" t="s">
        <v>4239</v>
      </c>
      <c r="L567" s="14" t="s">
        <v>4530</v>
      </c>
      <c r="M567" s="14" t="s">
        <v>4531</v>
      </c>
      <c r="N567" s="13" t="s">
        <v>4532</v>
      </c>
      <c r="O567" s="13" t="s">
        <v>213</v>
      </c>
      <c r="P567" s="14"/>
    </row>
    <row r="568" customFormat="false" ht="22.35" hidden="false" customHeight="false" outlineLevel="0" collapsed="false">
      <c r="A568" s="13" t="s">
        <v>2774</v>
      </c>
      <c r="B568" s="13" t="s">
        <v>4064</v>
      </c>
      <c r="C568" s="14" t="s">
        <v>2777</v>
      </c>
      <c r="D568" s="14" t="s">
        <v>4065</v>
      </c>
      <c r="E568" s="13"/>
      <c r="F568" s="13"/>
      <c r="G568" s="24" t="n">
        <v>18</v>
      </c>
      <c r="H568" s="24" t="n">
        <v>64.5</v>
      </c>
      <c r="I568" s="24" t="n">
        <v>203</v>
      </c>
      <c r="J568" s="13" t="s">
        <v>3972</v>
      </c>
      <c r="K568" s="13" t="s">
        <v>3879</v>
      </c>
      <c r="L568" s="14" t="s">
        <v>4549</v>
      </c>
      <c r="M568" s="14" t="s">
        <v>4550</v>
      </c>
      <c r="N568" s="13" t="s">
        <v>3967</v>
      </c>
      <c r="O568" s="13" t="s">
        <v>213</v>
      </c>
      <c r="P568" s="14"/>
    </row>
    <row r="569" customFormat="false" ht="22.35" hidden="false" customHeight="false" outlineLevel="0" collapsed="false">
      <c r="A569" s="13" t="s">
        <v>2774</v>
      </c>
      <c r="B569" s="13" t="s">
        <v>4067</v>
      </c>
      <c r="C569" s="14" t="s">
        <v>2777</v>
      </c>
      <c r="D569" s="14" t="s">
        <v>4068</v>
      </c>
      <c r="E569" s="13"/>
      <c r="F569" s="13"/>
      <c r="G569" s="24" t="n">
        <v>3</v>
      </c>
      <c r="H569" s="24" t="n">
        <v>5</v>
      </c>
      <c r="I569" s="24" t="n">
        <v>5</v>
      </c>
      <c r="J569" s="13" t="s">
        <v>3972</v>
      </c>
      <c r="K569" s="13" t="s">
        <v>4551</v>
      </c>
      <c r="L569" s="14" t="s">
        <v>4552</v>
      </c>
      <c r="M569" s="14" t="s">
        <v>4553</v>
      </c>
      <c r="N569" s="13" t="s">
        <v>4070</v>
      </c>
      <c r="O569" s="13" t="s">
        <v>192</v>
      </c>
      <c r="P569" s="14"/>
    </row>
    <row r="570" customFormat="false" ht="15" hidden="false" customHeight="false" outlineLevel="0" collapsed="false">
      <c r="A570" s="13" t="s">
        <v>2812</v>
      </c>
      <c r="B570" s="13" t="s">
        <v>2819</v>
      </c>
      <c r="C570" s="14" t="s">
        <v>2816</v>
      </c>
      <c r="D570" s="14" t="s">
        <v>4105</v>
      </c>
      <c r="E570" s="13"/>
      <c r="F570" s="13"/>
      <c r="G570" s="24"/>
      <c r="H570" s="24"/>
      <c r="I570" s="24"/>
      <c r="J570" s="13" t="s">
        <v>3993</v>
      </c>
      <c r="K570" s="13" t="s">
        <v>3771</v>
      </c>
      <c r="L570" s="14"/>
      <c r="M570" s="14" t="s">
        <v>4106</v>
      </c>
      <c r="N570" s="13"/>
      <c r="O570" s="13" t="s">
        <v>188</v>
      </c>
      <c r="P570" s="14" t="s">
        <v>4145</v>
      </c>
    </row>
    <row r="571" customFormat="false" ht="15" hidden="false" customHeight="false" outlineLevel="0" collapsed="false">
      <c r="A571" s="13" t="s">
        <v>2820</v>
      </c>
      <c r="B571" s="13" t="s">
        <v>2819</v>
      </c>
      <c r="C571" s="14" t="s">
        <v>2821</v>
      </c>
      <c r="D571" s="14" t="s">
        <v>4105</v>
      </c>
      <c r="E571" s="13"/>
      <c r="F571" s="13"/>
      <c r="G571" s="24"/>
      <c r="H571" s="24"/>
      <c r="I571" s="24"/>
      <c r="J571" s="13" t="s">
        <v>3993</v>
      </c>
      <c r="K571" s="13" t="s">
        <v>3771</v>
      </c>
      <c r="L571" s="14"/>
      <c r="M571" s="14" t="s">
        <v>4106</v>
      </c>
      <c r="N571" s="13"/>
      <c r="O571" s="13" t="s">
        <v>188</v>
      </c>
      <c r="P571" s="14" t="s">
        <v>4145</v>
      </c>
    </row>
    <row r="572" customFormat="false" ht="15" hidden="false" customHeight="false" outlineLevel="0" collapsed="false">
      <c r="A572" s="13" t="s">
        <v>2823</v>
      </c>
      <c r="B572" s="13" t="s">
        <v>2819</v>
      </c>
      <c r="C572" s="14" t="s">
        <v>2824</v>
      </c>
      <c r="D572" s="14" t="s">
        <v>4105</v>
      </c>
      <c r="E572" s="13"/>
      <c r="F572" s="13"/>
      <c r="G572" s="24"/>
      <c r="H572" s="24"/>
      <c r="I572" s="24"/>
      <c r="J572" s="13" t="s">
        <v>3993</v>
      </c>
      <c r="K572" s="13" t="s">
        <v>3771</v>
      </c>
      <c r="L572" s="14"/>
      <c r="M572" s="14" t="s">
        <v>4106</v>
      </c>
      <c r="N572" s="13"/>
      <c r="O572" s="13" t="s">
        <v>188</v>
      </c>
      <c r="P572" s="14" t="s">
        <v>4145</v>
      </c>
    </row>
    <row r="573" customFormat="false" ht="15" hidden="false" customHeight="false" outlineLevel="0" collapsed="false">
      <c r="A573" s="13" t="s">
        <v>2826</v>
      </c>
      <c r="B573" s="13" t="s">
        <v>2819</v>
      </c>
      <c r="C573" s="14" t="s">
        <v>2829</v>
      </c>
      <c r="D573" s="14" t="s">
        <v>4105</v>
      </c>
      <c r="E573" s="13"/>
      <c r="F573" s="13"/>
      <c r="G573" s="24"/>
      <c r="H573" s="24"/>
      <c r="I573" s="24"/>
      <c r="J573" s="13" t="s">
        <v>3993</v>
      </c>
      <c r="K573" s="13" t="s">
        <v>3771</v>
      </c>
      <c r="L573" s="14"/>
      <c r="M573" s="14" t="s">
        <v>4106</v>
      </c>
      <c r="N573" s="13"/>
      <c r="O573" s="13" t="s">
        <v>188</v>
      </c>
      <c r="P573" s="14" t="s">
        <v>4145</v>
      </c>
    </row>
    <row r="574" customFormat="false" ht="15" hidden="false" customHeight="false" outlineLevel="0" collapsed="false">
      <c r="A574" s="13" t="s">
        <v>2831</v>
      </c>
      <c r="B574" s="13" t="s">
        <v>2819</v>
      </c>
      <c r="C574" s="14" t="s">
        <v>2832</v>
      </c>
      <c r="D574" s="14" t="s">
        <v>4105</v>
      </c>
      <c r="E574" s="13"/>
      <c r="F574" s="13"/>
      <c r="G574" s="24"/>
      <c r="H574" s="24"/>
      <c r="I574" s="24"/>
      <c r="J574" s="13" t="s">
        <v>3993</v>
      </c>
      <c r="K574" s="13" t="s">
        <v>3771</v>
      </c>
      <c r="L574" s="14"/>
      <c r="M574" s="14" t="s">
        <v>4106</v>
      </c>
      <c r="N574" s="13"/>
      <c r="O574" s="13" t="s">
        <v>188</v>
      </c>
      <c r="P574" s="14" t="s">
        <v>4145</v>
      </c>
    </row>
    <row r="575" customFormat="false" ht="22.35" hidden="false" customHeight="false" outlineLevel="0" collapsed="false">
      <c r="A575" s="13" t="s">
        <v>2839</v>
      </c>
      <c r="B575" s="13" t="s">
        <v>2843</v>
      </c>
      <c r="C575" s="14" t="s">
        <v>2841</v>
      </c>
      <c r="D575" s="14" t="s">
        <v>4097</v>
      </c>
      <c r="E575" s="13"/>
      <c r="F575" s="13"/>
      <c r="G575" s="24" t="n">
        <v>410</v>
      </c>
      <c r="H575" s="24" t="n">
        <v>1000</v>
      </c>
      <c r="I575" s="24" t="n">
        <v>4000</v>
      </c>
      <c r="J575" s="13" t="s">
        <v>3953</v>
      </c>
      <c r="K575" s="13" t="s">
        <v>4239</v>
      </c>
      <c r="L575" s="14" t="s">
        <v>4097</v>
      </c>
      <c r="M575" s="14" t="s">
        <v>4240</v>
      </c>
      <c r="N575" s="13" t="s">
        <v>4005</v>
      </c>
      <c r="O575" s="13" t="s">
        <v>213</v>
      </c>
      <c r="P575" s="14"/>
    </row>
    <row r="576" customFormat="false" ht="22.35" hidden="false" customHeight="false" outlineLevel="0" collapsed="false">
      <c r="A576" s="13" t="s">
        <v>2845</v>
      </c>
      <c r="B576" s="13" t="s">
        <v>2843</v>
      </c>
      <c r="C576" s="14" t="s">
        <v>2846</v>
      </c>
      <c r="D576" s="14" t="s">
        <v>4097</v>
      </c>
      <c r="E576" s="13"/>
      <c r="F576" s="13"/>
      <c r="G576" s="24" t="n">
        <v>410</v>
      </c>
      <c r="H576" s="24" t="n">
        <v>1000</v>
      </c>
      <c r="I576" s="24" t="n">
        <v>4000</v>
      </c>
      <c r="J576" s="13" t="s">
        <v>3953</v>
      </c>
      <c r="K576" s="13" t="s">
        <v>4239</v>
      </c>
      <c r="L576" s="14" t="s">
        <v>4097</v>
      </c>
      <c r="M576" s="14" t="s">
        <v>4240</v>
      </c>
      <c r="N576" s="13" t="s">
        <v>4005</v>
      </c>
      <c r="O576" s="13" t="s">
        <v>213</v>
      </c>
      <c r="P576" s="14"/>
    </row>
    <row r="577" customFormat="false" ht="22.35" hidden="false" customHeight="false" outlineLevel="0" collapsed="false">
      <c r="A577" s="13" t="s">
        <v>2848</v>
      </c>
      <c r="B577" s="13" t="s">
        <v>2843</v>
      </c>
      <c r="C577" s="14" t="s">
        <v>2850</v>
      </c>
      <c r="D577" s="14" t="s">
        <v>4097</v>
      </c>
      <c r="E577" s="13"/>
      <c r="F577" s="13"/>
      <c r="G577" s="24" t="n">
        <v>410</v>
      </c>
      <c r="H577" s="24" t="n">
        <v>1000</v>
      </c>
      <c r="I577" s="24" t="n">
        <v>4000</v>
      </c>
      <c r="J577" s="13" t="s">
        <v>3953</v>
      </c>
      <c r="K577" s="13" t="s">
        <v>4239</v>
      </c>
      <c r="L577" s="14" t="s">
        <v>4097</v>
      </c>
      <c r="M577" s="14" t="s">
        <v>4240</v>
      </c>
      <c r="N577" s="13" t="s">
        <v>4005</v>
      </c>
      <c r="O577" s="13" t="s">
        <v>213</v>
      </c>
      <c r="P577" s="14"/>
    </row>
    <row r="578" customFormat="false" ht="22.35" hidden="false" customHeight="false" outlineLevel="0" collapsed="false">
      <c r="A578" s="13" t="s">
        <v>2852</v>
      </c>
      <c r="B578" s="13" t="s">
        <v>2843</v>
      </c>
      <c r="C578" s="14" t="s">
        <v>2853</v>
      </c>
      <c r="D578" s="14" t="s">
        <v>4097</v>
      </c>
      <c r="E578" s="13"/>
      <c r="F578" s="13"/>
      <c r="G578" s="24" t="n">
        <v>410</v>
      </c>
      <c r="H578" s="24" t="n">
        <v>1000</v>
      </c>
      <c r="I578" s="24" t="n">
        <v>4000</v>
      </c>
      <c r="J578" s="13" t="s">
        <v>3953</v>
      </c>
      <c r="K578" s="13" t="s">
        <v>4239</v>
      </c>
      <c r="L578" s="14" t="s">
        <v>4097</v>
      </c>
      <c r="M578" s="14" t="s">
        <v>4240</v>
      </c>
      <c r="N578" s="13" t="s">
        <v>4005</v>
      </c>
      <c r="O578" s="13" t="s">
        <v>213</v>
      </c>
      <c r="P578" s="14"/>
    </row>
    <row r="579" customFormat="false" ht="22.35" hidden="false" customHeight="false" outlineLevel="0" collapsed="false">
      <c r="A579" s="13" t="s">
        <v>2855</v>
      </c>
      <c r="B579" s="13" t="s">
        <v>2843</v>
      </c>
      <c r="C579" s="14" t="s">
        <v>2857</v>
      </c>
      <c r="D579" s="14" t="s">
        <v>4097</v>
      </c>
      <c r="E579" s="13"/>
      <c r="F579" s="13"/>
      <c r="G579" s="24" t="n">
        <v>410</v>
      </c>
      <c r="H579" s="24" t="n">
        <v>1000</v>
      </c>
      <c r="I579" s="24" t="n">
        <v>4000</v>
      </c>
      <c r="J579" s="13" t="s">
        <v>3953</v>
      </c>
      <c r="K579" s="13" t="s">
        <v>4239</v>
      </c>
      <c r="L579" s="14" t="s">
        <v>4097</v>
      </c>
      <c r="M579" s="14" t="s">
        <v>4240</v>
      </c>
      <c r="N579" s="13" t="s">
        <v>4005</v>
      </c>
      <c r="O579" s="13" t="s">
        <v>213</v>
      </c>
      <c r="P579" s="14"/>
    </row>
    <row r="580" customFormat="false" ht="22.35" hidden="false" customHeight="false" outlineLevel="0" collapsed="false">
      <c r="A580" s="13" t="s">
        <v>2859</v>
      </c>
      <c r="B580" s="13" t="s">
        <v>2843</v>
      </c>
      <c r="C580" s="14" t="s">
        <v>2861</v>
      </c>
      <c r="D580" s="14" t="s">
        <v>4097</v>
      </c>
      <c r="E580" s="13"/>
      <c r="F580" s="13"/>
      <c r="G580" s="24" t="n">
        <v>410</v>
      </c>
      <c r="H580" s="24" t="n">
        <v>1000</v>
      </c>
      <c r="I580" s="24" t="n">
        <v>4000</v>
      </c>
      <c r="J580" s="13" t="s">
        <v>3953</v>
      </c>
      <c r="K580" s="13" t="s">
        <v>4239</v>
      </c>
      <c r="L580" s="14" t="s">
        <v>4097</v>
      </c>
      <c r="M580" s="14" t="s">
        <v>4240</v>
      </c>
      <c r="N580" s="13" t="s">
        <v>4005</v>
      </c>
      <c r="O580" s="13" t="s">
        <v>213</v>
      </c>
      <c r="P580" s="14"/>
    </row>
    <row r="581" customFormat="false" ht="22.35" hidden="false" customHeight="false" outlineLevel="0" collapsed="false">
      <c r="A581" s="13" t="s">
        <v>2863</v>
      </c>
      <c r="B581" s="13" t="s">
        <v>2843</v>
      </c>
      <c r="C581" s="14" t="s">
        <v>2865</v>
      </c>
      <c r="D581" s="14" t="s">
        <v>4097</v>
      </c>
      <c r="E581" s="13"/>
      <c r="F581" s="13"/>
      <c r="G581" s="24" t="n">
        <v>410</v>
      </c>
      <c r="H581" s="24" t="n">
        <v>1000</v>
      </c>
      <c r="I581" s="24" t="n">
        <v>4000</v>
      </c>
      <c r="J581" s="13" t="s">
        <v>3953</v>
      </c>
      <c r="K581" s="13" t="s">
        <v>4239</v>
      </c>
      <c r="L581" s="14" t="s">
        <v>4097</v>
      </c>
      <c r="M581" s="14" t="s">
        <v>4240</v>
      </c>
      <c r="N581" s="13" t="s">
        <v>4005</v>
      </c>
      <c r="O581" s="13" t="s">
        <v>213</v>
      </c>
      <c r="P581" s="14"/>
    </row>
    <row r="582" customFormat="false" ht="22.35" hidden="false" customHeight="false" outlineLevel="0" collapsed="false">
      <c r="A582" s="13" t="s">
        <v>2935</v>
      </c>
      <c r="B582" s="13" t="s">
        <v>2942</v>
      </c>
      <c r="C582" s="14" t="s">
        <v>2939</v>
      </c>
      <c r="D582" s="14" t="s">
        <v>3927</v>
      </c>
      <c r="E582" s="13"/>
      <c r="F582" s="13"/>
      <c r="G582" s="24"/>
      <c r="H582" s="24"/>
      <c r="I582" s="24"/>
      <c r="J582" s="13" t="s">
        <v>3928</v>
      </c>
      <c r="K582" s="13" t="s">
        <v>3771</v>
      </c>
      <c r="L582" s="14"/>
      <c r="M582" s="14" t="s">
        <v>4554</v>
      </c>
      <c r="N582" s="13"/>
      <c r="O582" s="13" t="s">
        <v>188</v>
      </c>
      <c r="P582" s="14" t="s">
        <v>4145</v>
      </c>
    </row>
    <row r="583" customFormat="false" ht="22.35" hidden="false" customHeight="false" outlineLevel="0" collapsed="false">
      <c r="A583" s="13" t="s">
        <v>2943</v>
      </c>
      <c r="B583" s="13" t="s">
        <v>2942</v>
      </c>
      <c r="C583" s="14" t="s">
        <v>2944</v>
      </c>
      <c r="D583" s="14" t="s">
        <v>3927</v>
      </c>
      <c r="E583" s="13"/>
      <c r="F583" s="13"/>
      <c r="G583" s="24"/>
      <c r="H583" s="24"/>
      <c r="I583" s="24"/>
      <c r="J583" s="13" t="s">
        <v>3928</v>
      </c>
      <c r="K583" s="13" t="s">
        <v>3771</v>
      </c>
      <c r="L583" s="14"/>
      <c r="M583" s="14" t="s">
        <v>4554</v>
      </c>
      <c r="N583" s="13"/>
      <c r="O583" s="13" t="s">
        <v>188</v>
      </c>
      <c r="P583" s="14" t="s">
        <v>4145</v>
      </c>
    </row>
    <row r="584" customFormat="false" ht="22.35" hidden="false" customHeight="false" outlineLevel="0" collapsed="false">
      <c r="A584" s="13" t="s">
        <v>2947</v>
      </c>
      <c r="B584" s="13" t="s">
        <v>2942</v>
      </c>
      <c r="C584" s="14" t="s">
        <v>2948</v>
      </c>
      <c r="D584" s="14" t="s">
        <v>3927</v>
      </c>
      <c r="E584" s="13"/>
      <c r="F584" s="13"/>
      <c r="G584" s="24"/>
      <c r="H584" s="24"/>
      <c r="I584" s="24"/>
      <c r="J584" s="13" t="s">
        <v>3928</v>
      </c>
      <c r="K584" s="13" t="s">
        <v>3771</v>
      </c>
      <c r="L584" s="14"/>
      <c r="M584" s="14" t="s">
        <v>4554</v>
      </c>
      <c r="N584" s="13"/>
      <c r="O584" s="13" t="s">
        <v>188</v>
      </c>
      <c r="P584" s="14" t="s">
        <v>4145</v>
      </c>
    </row>
    <row r="585" customFormat="false" ht="15" hidden="false" customHeight="false" outlineLevel="0" collapsed="false">
      <c r="A585" s="13" t="s">
        <v>2953</v>
      </c>
      <c r="B585" s="13" t="s">
        <v>2942</v>
      </c>
      <c r="C585" s="14" t="s">
        <v>2954</v>
      </c>
      <c r="D585" s="14" t="s">
        <v>3927</v>
      </c>
      <c r="E585" s="13"/>
      <c r="F585" s="13"/>
      <c r="G585" s="24"/>
      <c r="H585" s="24"/>
      <c r="I585" s="24"/>
      <c r="J585" s="13" t="s">
        <v>3928</v>
      </c>
      <c r="K585" s="13" t="s">
        <v>3771</v>
      </c>
      <c r="L585" s="14"/>
      <c r="M585" s="14" t="s">
        <v>4554</v>
      </c>
      <c r="N585" s="13"/>
      <c r="O585" s="13" t="s">
        <v>188</v>
      </c>
      <c r="P585" s="14" t="s">
        <v>4145</v>
      </c>
    </row>
    <row r="586" customFormat="false" ht="32.8" hidden="false" customHeight="false" outlineLevel="0" collapsed="false">
      <c r="A586" s="13" t="s">
        <v>3475</v>
      </c>
      <c r="B586" s="13" t="s">
        <v>3481</v>
      </c>
      <c r="C586" s="14" t="s">
        <v>3477</v>
      </c>
      <c r="D586" s="14" t="s">
        <v>3843</v>
      </c>
      <c r="E586" s="25"/>
      <c r="F586" s="13" t="s">
        <v>4386</v>
      </c>
      <c r="G586" s="24"/>
      <c r="H586" s="24" t="str">
        <f aca="false">IF(OR($E586="",Settings!$B$22="",Settings!$B$23=""),"",$E586*60*Settings!$B$7/($E586/Settings!$B$36*Settings!$B$37+1.5+1*60/Settings!$B$22+1*60/Settings!$B$23)*0.8)</f>
        <v/>
      </c>
      <c r="I586" s="24"/>
      <c r="J586" s="13" t="s">
        <v>3838</v>
      </c>
      <c r="K586" s="13" t="s">
        <v>4136</v>
      </c>
      <c r="L586" s="14" t="s">
        <v>4420</v>
      </c>
      <c r="M586" s="14" t="s">
        <v>4439</v>
      </c>
      <c r="N586" s="13" t="s">
        <v>4437</v>
      </c>
      <c r="O586" s="13" t="str">
        <f aca="false">IF(H586="","D","C")</f>
        <v>D</v>
      </c>
      <c r="P586" s="14" t="s">
        <v>4438</v>
      </c>
    </row>
    <row r="587" customFormat="false" ht="32.8" hidden="false" customHeight="false" outlineLevel="0" collapsed="false">
      <c r="A587" s="13" t="s">
        <v>3482</v>
      </c>
      <c r="B587" s="13" t="s">
        <v>3481</v>
      </c>
      <c r="C587" s="14" t="s">
        <v>3484</v>
      </c>
      <c r="D587" s="14" t="s">
        <v>3843</v>
      </c>
      <c r="E587" s="25"/>
      <c r="F587" s="13" t="s">
        <v>4386</v>
      </c>
      <c r="G587" s="24"/>
      <c r="H587" s="24" t="str">
        <f aca="false">IF(OR($E587="",Settings!$B$22="",Settings!$B$23=""),"",$E587*60*Settings!$B$7/($E587/Settings!$B$36*Settings!$B$37+1.5+1*60/Settings!$B$22+1*60/Settings!$B$23)*0.8)</f>
        <v/>
      </c>
      <c r="I587" s="24"/>
      <c r="J587" s="13" t="s">
        <v>3838</v>
      </c>
      <c r="K587" s="13" t="s">
        <v>4136</v>
      </c>
      <c r="L587" s="14" t="s">
        <v>4420</v>
      </c>
      <c r="M587" s="14" t="s">
        <v>4439</v>
      </c>
      <c r="N587" s="13" t="s">
        <v>4437</v>
      </c>
      <c r="O587" s="13" t="str">
        <f aca="false">IF(H587="","D","C")</f>
        <v>D</v>
      </c>
      <c r="P587" s="14" t="s">
        <v>4438</v>
      </c>
    </row>
    <row r="588" customFormat="false" ht="22.35" hidden="false" customHeight="false" outlineLevel="0" collapsed="false">
      <c r="A588" s="13" t="s">
        <v>3660</v>
      </c>
      <c r="B588" s="13" t="s">
        <v>3666</v>
      </c>
      <c r="C588" s="14" t="s">
        <v>3663</v>
      </c>
      <c r="D588" s="14" t="s">
        <v>4107</v>
      </c>
      <c r="E588" s="13"/>
      <c r="F588" s="13"/>
      <c r="G588" s="24" t="n">
        <v>1</v>
      </c>
      <c r="H588" s="24" t="n">
        <v>3.5</v>
      </c>
      <c r="I588" s="24" t="n">
        <v>10</v>
      </c>
      <c r="J588" s="13" t="s">
        <v>4108</v>
      </c>
      <c r="K588" s="13" t="s">
        <v>3879</v>
      </c>
      <c r="L588" s="14" t="s">
        <v>4555</v>
      </c>
      <c r="M588" s="14" t="s">
        <v>4556</v>
      </c>
      <c r="N588" s="13" t="s">
        <v>4557</v>
      </c>
      <c r="O588" s="13" t="s">
        <v>213</v>
      </c>
      <c r="P588" s="14"/>
    </row>
    <row r="589" customFormat="false" ht="22.35" hidden="false" customHeight="false" outlineLevel="0" collapsed="false">
      <c r="A589" s="13" t="s">
        <v>3668</v>
      </c>
      <c r="B589" s="13" t="s">
        <v>3666</v>
      </c>
      <c r="C589" s="14" t="s">
        <v>3669</v>
      </c>
      <c r="D589" s="14" t="s">
        <v>4107</v>
      </c>
      <c r="E589" s="13"/>
      <c r="F589" s="13"/>
      <c r="G589" s="24" t="n">
        <v>1</v>
      </c>
      <c r="H589" s="24" t="n">
        <v>3.5</v>
      </c>
      <c r="I589" s="24" t="n">
        <v>10</v>
      </c>
      <c r="J589" s="13" t="s">
        <v>4108</v>
      </c>
      <c r="K589" s="13" t="s">
        <v>3879</v>
      </c>
      <c r="L589" s="14" t="s">
        <v>4555</v>
      </c>
      <c r="M589" s="14" t="s">
        <v>4556</v>
      </c>
      <c r="N589" s="13" t="s">
        <v>4557</v>
      </c>
      <c r="O589" s="13" t="s">
        <v>213</v>
      </c>
      <c r="P589" s="14"/>
    </row>
    <row r="590" customFormat="false" ht="22.35" hidden="false" customHeight="false" outlineLevel="0" collapsed="false">
      <c r="A590" s="13" t="s">
        <v>3673</v>
      </c>
      <c r="B590" s="13" t="s">
        <v>3666</v>
      </c>
      <c r="C590" s="14" t="s">
        <v>3674</v>
      </c>
      <c r="D590" s="14" t="s">
        <v>4107</v>
      </c>
      <c r="E590" s="13"/>
      <c r="F590" s="13"/>
      <c r="G590" s="24" t="n">
        <v>1</v>
      </c>
      <c r="H590" s="24" t="n">
        <v>3.5</v>
      </c>
      <c r="I590" s="24" t="n">
        <v>10</v>
      </c>
      <c r="J590" s="13" t="s">
        <v>4108</v>
      </c>
      <c r="K590" s="13" t="s">
        <v>3879</v>
      </c>
      <c r="L590" s="14" t="s">
        <v>4555</v>
      </c>
      <c r="M590" s="14" t="s">
        <v>4556</v>
      </c>
      <c r="N590" s="13" t="s">
        <v>4557</v>
      </c>
      <c r="O590" s="13" t="s">
        <v>213</v>
      </c>
      <c r="P590" s="14"/>
    </row>
    <row r="591" customFormat="false" ht="22.35" hidden="false" customHeight="false" outlineLevel="0" collapsed="false">
      <c r="A591" s="13" t="s">
        <v>3678</v>
      </c>
      <c r="B591" s="13" t="s">
        <v>3666</v>
      </c>
      <c r="C591" s="14" t="s">
        <v>3680</v>
      </c>
      <c r="D591" s="14" t="s">
        <v>4107</v>
      </c>
      <c r="E591" s="13"/>
      <c r="F591" s="13"/>
      <c r="G591" s="24" t="n">
        <v>1</v>
      </c>
      <c r="H591" s="24" t="n">
        <v>3.5</v>
      </c>
      <c r="I591" s="24" t="n">
        <v>10</v>
      </c>
      <c r="J591" s="13" t="s">
        <v>4108</v>
      </c>
      <c r="K591" s="13" t="s">
        <v>3879</v>
      </c>
      <c r="L591" s="14" t="s">
        <v>4555</v>
      </c>
      <c r="M591" s="14" t="s">
        <v>4556</v>
      </c>
      <c r="N591" s="13" t="s">
        <v>4557</v>
      </c>
      <c r="O591" s="13" t="s">
        <v>213</v>
      </c>
      <c r="P591" s="14"/>
    </row>
    <row r="592" customFormat="false" ht="22.35" hidden="false" customHeight="false" outlineLevel="0" collapsed="false">
      <c r="A592" s="13" t="s">
        <v>3684</v>
      </c>
      <c r="B592" s="13" t="s">
        <v>3666</v>
      </c>
      <c r="C592" s="14" t="s">
        <v>3685</v>
      </c>
      <c r="D592" s="14" t="s">
        <v>4107</v>
      </c>
      <c r="E592" s="13"/>
      <c r="F592" s="13"/>
      <c r="G592" s="24" t="n">
        <v>1</v>
      </c>
      <c r="H592" s="24" t="n">
        <v>3.5</v>
      </c>
      <c r="I592" s="24" t="n">
        <v>10</v>
      </c>
      <c r="J592" s="13" t="s">
        <v>4108</v>
      </c>
      <c r="K592" s="13" t="s">
        <v>3879</v>
      </c>
      <c r="L592" s="14" t="s">
        <v>4555</v>
      </c>
      <c r="M592" s="14" t="s">
        <v>4556</v>
      </c>
      <c r="N592" s="13" t="s">
        <v>4557</v>
      </c>
      <c r="O592" s="13" t="s">
        <v>213</v>
      </c>
      <c r="P592" s="14"/>
    </row>
    <row r="593" customFormat="false" ht="22.35" hidden="false" customHeight="false" outlineLevel="0" collapsed="false">
      <c r="A593" s="13" t="s">
        <v>3689</v>
      </c>
      <c r="B593" s="13" t="s">
        <v>3666</v>
      </c>
      <c r="C593" s="14" t="s">
        <v>3690</v>
      </c>
      <c r="D593" s="14" t="s">
        <v>4107</v>
      </c>
      <c r="E593" s="13"/>
      <c r="F593" s="13"/>
      <c r="G593" s="24" t="n">
        <v>1</v>
      </c>
      <c r="H593" s="24" t="n">
        <v>3.5</v>
      </c>
      <c r="I593" s="24" t="n">
        <v>10</v>
      </c>
      <c r="J593" s="13" t="s">
        <v>4108</v>
      </c>
      <c r="K593" s="13" t="s">
        <v>3879</v>
      </c>
      <c r="L593" s="14" t="s">
        <v>4555</v>
      </c>
      <c r="M593" s="14" t="s">
        <v>4556</v>
      </c>
      <c r="N593" s="13" t="s">
        <v>4557</v>
      </c>
      <c r="O593" s="13" t="s">
        <v>213</v>
      </c>
      <c r="P593" s="14"/>
    </row>
  </sheetData>
  <autoFilter ref="A1:P593"/>
  <conditionalFormatting sqref="O2:O593">
    <cfRule type="cellIs" priority="2" operator="equal" aboveAverage="0" equalAverage="0" bottom="0" percent="0" rank="0" text="" dxfId="10">
      <formula>"A"</formula>
    </cfRule>
    <cfRule type="cellIs" priority="3" operator="equal" aboveAverage="0" equalAverage="0" bottom="0" percent="0" rank="0" text="" dxfId="11">
      <formula>"B"</formula>
    </cfRule>
    <cfRule type="cellIs" priority="4" operator="equal" aboveAverage="0" equalAverage="0" bottom="0" percent="0" rank="0" text="" dxfId="12">
      <formula>"C"</formula>
    </cfRule>
    <cfRule type="cellIs" priority="5" operator="equal" aboveAverage="0" equalAverage="0" bottom="0" percent="0" rank="0" text="" dxfId="13">
      <formula>"D"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3" min="3" style="0" width="40"/>
    <col collapsed="false" customWidth="true" hidden="false" outlineLevel="0" max="4" min="4" style="0" width="46"/>
    <col collapsed="false" customWidth="true" hidden="false" outlineLevel="0" max="6" min="5" style="0" width="40"/>
    <col collapsed="false" customWidth="true" hidden="false" outlineLevel="0" max="7" min="7" style="0" width="30"/>
    <col collapsed="false" customWidth="true" hidden="false" outlineLevel="0" max="8" min="8" style="0" width="13"/>
  </cols>
  <sheetData>
    <row r="1" customFormat="false" ht="15" hidden="false" customHeight="false" outlineLevel="0" collapsed="false">
      <c r="A1" s="10" t="s">
        <v>4558</v>
      </c>
      <c r="B1" s="10" t="s">
        <v>4559</v>
      </c>
      <c r="C1" s="10" t="s">
        <v>4560</v>
      </c>
      <c r="D1" s="10" t="s">
        <v>4561</v>
      </c>
      <c r="E1" s="10" t="s">
        <v>4562</v>
      </c>
      <c r="F1" s="10" t="s">
        <v>4563</v>
      </c>
      <c r="G1" s="10" t="s">
        <v>3728</v>
      </c>
      <c r="H1" s="10" t="s">
        <v>4134</v>
      </c>
    </row>
    <row r="2" customFormat="false" ht="32.8" hidden="false" customHeight="false" outlineLevel="0" collapsed="false">
      <c r="A2" s="14" t="s">
        <v>4564</v>
      </c>
      <c r="B2" s="14" t="s">
        <v>4565</v>
      </c>
      <c r="C2" s="14" t="s">
        <v>4566</v>
      </c>
      <c r="D2" s="14" t="s">
        <v>4567</v>
      </c>
      <c r="E2" s="14" t="s">
        <v>4568</v>
      </c>
      <c r="F2" s="14" t="s">
        <v>4569</v>
      </c>
      <c r="G2" s="14" t="s">
        <v>4570</v>
      </c>
      <c r="H2" s="14" t="s">
        <v>213</v>
      </c>
    </row>
    <row r="3" customFormat="false" ht="22.35" hidden="false" customHeight="false" outlineLevel="0" collapsed="false">
      <c r="A3" s="14" t="s">
        <v>4571</v>
      </c>
      <c r="B3" s="14" t="s">
        <v>4572</v>
      </c>
      <c r="C3" s="14" t="s">
        <v>4573</v>
      </c>
      <c r="D3" s="14" t="s">
        <v>4574</v>
      </c>
      <c r="E3" s="14" t="s">
        <v>4575</v>
      </c>
      <c r="F3" s="14" t="s">
        <v>4576</v>
      </c>
      <c r="G3" s="14" t="s">
        <v>4577</v>
      </c>
      <c r="H3" s="14" t="s">
        <v>193</v>
      </c>
    </row>
    <row r="4" customFormat="false" ht="22.35" hidden="false" customHeight="false" outlineLevel="0" collapsed="false">
      <c r="A4" s="14" t="s">
        <v>2447</v>
      </c>
      <c r="B4" s="14" t="s">
        <v>4578</v>
      </c>
      <c r="C4" s="14" t="s">
        <v>4579</v>
      </c>
      <c r="D4" s="14"/>
      <c r="E4" s="14"/>
      <c r="F4" s="14" t="s">
        <v>4580</v>
      </c>
      <c r="G4" s="14" t="s">
        <v>4581</v>
      </c>
      <c r="H4" s="14" t="s">
        <v>192</v>
      </c>
    </row>
    <row r="5" customFormat="false" ht="32.8" hidden="false" customHeight="false" outlineLevel="0" collapsed="false">
      <c r="A5" s="14" t="s">
        <v>4582</v>
      </c>
      <c r="B5" s="14" t="s">
        <v>4583</v>
      </c>
      <c r="C5" s="14" t="s">
        <v>4584</v>
      </c>
      <c r="D5" s="14" t="s">
        <v>4585</v>
      </c>
      <c r="E5" s="14" t="s">
        <v>4586</v>
      </c>
      <c r="F5" s="14" t="s">
        <v>4587</v>
      </c>
      <c r="G5" s="14" t="s">
        <v>4588</v>
      </c>
      <c r="H5" s="14" t="s">
        <v>213</v>
      </c>
    </row>
    <row r="6" customFormat="false" ht="22.35" hidden="false" customHeight="false" outlineLevel="0" collapsed="false">
      <c r="A6" s="14" t="s">
        <v>1847</v>
      </c>
      <c r="B6" s="14" t="s">
        <v>4589</v>
      </c>
      <c r="C6" s="14" t="s">
        <v>4590</v>
      </c>
      <c r="D6" s="14" t="s">
        <v>4591</v>
      </c>
      <c r="E6" s="14" t="s">
        <v>4592</v>
      </c>
      <c r="F6" s="14" t="s">
        <v>4593</v>
      </c>
      <c r="G6" s="14" t="s">
        <v>4594</v>
      </c>
      <c r="H6" s="14" t="s">
        <v>192</v>
      </c>
    </row>
    <row r="7" customFormat="false" ht="22.35" hidden="false" customHeight="false" outlineLevel="0" collapsed="false">
      <c r="A7" s="14" t="s">
        <v>4595</v>
      </c>
      <c r="B7" s="14" t="s">
        <v>4596</v>
      </c>
      <c r="C7" s="14" t="s">
        <v>4590</v>
      </c>
      <c r="D7" s="14" t="s">
        <v>4597</v>
      </c>
      <c r="E7" s="14" t="s">
        <v>4598</v>
      </c>
      <c r="F7" s="14" t="s">
        <v>4599</v>
      </c>
      <c r="G7" s="14" t="s">
        <v>4600</v>
      </c>
      <c r="H7" s="14" t="s">
        <v>192</v>
      </c>
    </row>
    <row r="8" customFormat="false" ht="15" hidden="false" customHeight="false" outlineLevel="0" collapsed="false">
      <c r="A8" s="14" t="s">
        <v>4601</v>
      </c>
      <c r="B8" s="14" t="s">
        <v>4602</v>
      </c>
      <c r="C8" s="14" t="s">
        <v>4590</v>
      </c>
      <c r="D8" s="14" t="s">
        <v>4603</v>
      </c>
      <c r="E8" s="14" t="s">
        <v>4604</v>
      </c>
      <c r="F8" s="14" t="s">
        <v>4605</v>
      </c>
      <c r="G8" s="14" t="s">
        <v>4606</v>
      </c>
      <c r="H8" s="14" t="s">
        <v>192</v>
      </c>
    </row>
    <row r="9" customFormat="false" ht="22.35" hidden="false" customHeight="false" outlineLevel="0" collapsed="false">
      <c r="A9" s="14" t="s">
        <v>4607</v>
      </c>
      <c r="B9" s="14" t="s">
        <v>4608</v>
      </c>
      <c r="C9" s="14" t="s">
        <v>4590</v>
      </c>
      <c r="D9" s="14" t="s">
        <v>4609</v>
      </c>
      <c r="E9" s="14" t="s">
        <v>4610</v>
      </c>
      <c r="F9" s="14" t="s">
        <v>4611</v>
      </c>
      <c r="G9" s="14" t="s">
        <v>4612</v>
      </c>
      <c r="H9" s="14" t="s">
        <v>192</v>
      </c>
    </row>
    <row r="10" customFormat="false" ht="15" hidden="false" customHeight="false" outlineLevel="0" collapsed="false">
      <c r="A10" s="14" t="s">
        <v>4613</v>
      </c>
      <c r="B10" s="14" t="s">
        <v>4614</v>
      </c>
      <c r="C10" s="14" t="s">
        <v>4590</v>
      </c>
      <c r="D10" s="14" t="s">
        <v>4615</v>
      </c>
      <c r="E10" s="14"/>
      <c r="F10" s="14" t="s">
        <v>4616</v>
      </c>
      <c r="G10" s="14" t="s">
        <v>1146</v>
      </c>
      <c r="H10" s="14" t="s">
        <v>193</v>
      </c>
    </row>
    <row r="11" customFormat="false" ht="22.35" hidden="false" customHeight="false" outlineLevel="0" collapsed="false">
      <c r="A11" s="14" t="s">
        <v>4617</v>
      </c>
      <c r="B11" s="14" t="s">
        <v>4618</v>
      </c>
      <c r="C11" s="14" t="s">
        <v>4590</v>
      </c>
      <c r="D11" s="14" t="s">
        <v>4619</v>
      </c>
      <c r="E11" s="14" t="s">
        <v>4015</v>
      </c>
      <c r="F11" s="14" t="s">
        <v>4620</v>
      </c>
      <c r="G11" s="14" t="s">
        <v>4116</v>
      </c>
      <c r="H11" s="14" t="s">
        <v>193</v>
      </c>
    </row>
    <row r="12" customFormat="false" ht="15" hidden="false" customHeight="false" outlineLevel="0" collapsed="false">
      <c r="A12" s="14" t="s">
        <v>4621</v>
      </c>
      <c r="B12" s="14" t="s">
        <v>4622</v>
      </c>
      <c r="C12" s="14" t="s">
        <v>4623</v>
      </c>
      <c r="D12" s="14" t="s">
        <v>4624</v>
      </c>
      <c r="E12" s="14"/>
      <c r="F12" s="14" t="s">
        <v>4625</v>
      </c>
      <c r="G12" s="14" t="s">
        <v>4626</v>
      </c>
      <c r="H12" s="14" t="s">
        <v>193</v>
      </c>
    </row>
    <row r="13" customFormat="false" ht="15" hidden="false" customHeight="false" outlineLevel="0" collapsed="false">
      <c r="A13" s="14" t="s">
        <v>4627</v>
      </c>
      <c r="B13" s="14" t="s">
        <v>4628</v>
      </c>
      <c r="C13" s="14" t="s">
        <v>4590</v>
      </c>
      <c r="D13" s="14" t="s">
        <v>4624</v>
      </c>
      <c r="E13" s="14"/>
      <c r="F13" s="14" t="s">
        <v>4616</v>
      </c>
      <c r="G13" s="14" t="s">
        <v>259</v>
      </c>
      <c r="H13" s="14" t="s">
        <v>193</v>
      </c>
    </row>
    <row r="14" customFormat="false" ht="32.8" hidden="false" customHeight="false" outlineLevel="0" collapsed="false">
      <c r="A14" s="14" t="s">
        <v>4629</v>
      </c>
      <c r="B14" s="14" t="s">
        <v>4630</v>
      </c>
      <c r="C14" s="14" t="s">
        <v>4631</v>
      </c>
      <c r="D14" s="14" t="s">
        <v>4632</v>
      </c>
      <c r="E14" s="14"/>
      <c r="F14" s="14" t="s">
        <v>4633</v>
      </c>
      <c r="G14" s="14" t="s">
        <v>4634</v>
      </c>
      <c r="H14" s="14" t="s">
        <v>192</v>
      </c>
    </row>
    <row r="15" customFormat="false" ht="22.35" hidden="false" customHeight="false" outlineLevel="0" collapsed="false">
      <c r="A15" s="14" t="s">
        <v>4635</v>
      </c>
      <c r="B15" s="14" t="s">
        <v>4636</v>
      </c>
      <c r="C15" s="14" t="s">
        <v>4637</v>
      </c>
      <c r="D15" s="14" t="s">
        <v>4638</v>
      </c>
      <c r="E15" s="14"/>
      <c r="F15" s="14" t="s">
        <v>2994</v>
      </c>
      <c r="G15" s="14" t="s">
        <v>1051</v>
      </c>
      <c r="H15" s="14" t="s">
        <v>192</v>
      </c>
    </row>
    <row r="16" customFormat="false" ht="22.35" hidden="false" customHeight="false" outlineLevel="0" collapsed="false">
      <c r="A16" s="14" t="s">
        <v>4639</v>
      </c>
      <c r="B16" s="14" t="s">
        <v>4640</v>
      </c>
      <c r="C16" s="14" t="s">
        <v>4641</v>
      </c>
      <c r="D16" s="14" t="s">
        <v>4642</v>
      </c>
      <c r="E16" s="14" t="s">
        <v>4643</v>
      </c>
      <c r="F16" s="14" t="s">
        <v>4644</v>
      </c>
      <c r="G16" s="14" t="s">
        <v>4645</v>
      </c>
      <c r="H16" s="14" t="s">
        <v>213</v>
      </c>
    </row>
    <row r="17" customFormat="false" ht="43.25" hidden="false" customHeight="false" outlineLevel="0" collapsed="false">
      <c r="A17" s="14" t="s">
        <v>4646</v>
      </c>
      <c r="B17" s="14" t="s">
        <v>4647</v>
      </c>
      <c r="C17" s="14" t="s">
        <v>3771</v>
      </c>
      <c r="D17" s="14" t="s">
        <v>4648</v>
      </c>
      <c r="E17" s="14" t="s">
        <v>4649</v>
      </c>
      <c r="F17" s="14"/>
      <c r="G17" s="14" t="s">
        <v>4650</v>
      </c>
      <c r="H17" s="14" t="s">
        <v>213</v>
      </c>
    </row>
    <row r="20" customFormat="false" ht="15" hidden="false" customHeight="false" outlineLevel="0" collapsed="false">
      <c r="A20" s="3" t="s">
        <v>4651</v>
      </c>
    </row>
    <row r="21" customFormat="false" ht="15" hidden="false" customHeight="false" outlineLevel="0" collapsed="false">
      <c r="A21" s="10" t="s">
        <v>4652</v>
      </c>
      <c r="B21" s="10" t="s">
        <v>4653</v>
      </c>
      <c r="C21" s="10" t="s">
        <v>4654</v>
      </c>
      <c r="D21" s="10" t="s">
        <v>4655</v>
      </c>
      <c r="E21" s="10" t="s">
        <v>4656</v>
      </c>
    </row>
    <row r="22" customFormat="false" ht="22.35" hidden="false" customHeight="false" outlineLevel="0" collapsed="false">
      <c r="A22" s="14" t="s">
        <v>4657</v>
      </c>
      <c r="B22" s="26" t="n">
        <v>0.17</v>
      </c>
      <c r="C22" s="26" t="n">
        <v>0.85</v>
      </c>
      <c r="D22" s="26" t="n">
        <v>0.16</v>
      </c>
      <c r="E22" s="26" t="n">
        <v>0.86</v>
      </c>
    </row>
    <row r="23" customFormat="false" ht="15" hidden="false" customHeight="false" outlineLevel="0" collapsed="false">
      <c r="A23" s="14" t="s">
        <v>4658</v>
      </c>
      <c r="B23" s="26" t="n">
        <v>0.13</v>
      </c>
      <c r="C23" s="26" t="n">
        <v>0.88</v>
      </c>
      <c r="D23" s="27"/>
      <c r="E23" s="27"/>
    </row>
    <row r="24" customFormat="false" ht="15" hidden="false" customHeight="false" outlineLevel="0" collapsed="false">
      <c r="A24" s="14" t="s">
        <v>4659</v>
      </c>
      <c r="B24" s="26" t="n">
        <v>0.12</v>
      </c>
      <c r="C24" s="26" t="n">
        <v>0.89</v>
      </c>
      <c r="D24" s="27"/>
      <c r="E24" s="27"/>
    </row>
    <row r="25" customFormat="false" ht="15" hidden="false" customHeight="false" outlineLevel="0" collapsed="false">
      <c r="A25" s="14" t="s">
        <v>4660</v>
      </c>
      <c r="B25" s="26" t="n">
        <v>0.09</v>
      </c>
      <c r="C25" s="26" t="n">
        <v>0.92</v>
      </c>
      <c r="D25" s="27"/>
      <c r="E25" s="27"/>
    </row>
    <row r="26" customFormat="false" ht="15" hidden="false" customHeight="false" outlineLevel="0" collapsed="false">
      <c r="A26" s="14" t="s">
        <v>4661</v>
      </c>
      <c r="B26" s="26" t="n">
        <v>0.11</v>
      </c>
      <c r="C26" s="26" t="n">
        <v>0.9</v>
      </c>
      <c r="D26" s="26" t="n">
        <v>0.1</v>
      </c>
      <c r="E26" s="26" t="n">
        <v>0.91</v>
      </c>
    </row>
    <row r="27" customFormat="false" ht="15" hidden="false" customHeight="false" outlineLevel="0" collapsed="false">
      <c r="A27" s="14" t="s">
        <v>4662</v>
      </c>
      <c r="B27" s="26" t="n">
        <v>0.11</v>
      </c>
      <c r="C27" s="26" t="n">
        <v>0.9</v>
      </c>
      <c r="D27" s="27"/>
      <c r="E27" s="27"/>
    </row>
    <row r="28" customFormat="false" ht="22.35" hidden="false" customHeight="false" outlineLevel="0" collapsed="false">
      <c r="A28" s="14" t="s">
        <v>4663</v>
      </c>
      <c r="B28" s="26" t="n">
        <v>0.11</v>
      </c>
      <c r="C28" s="26" t="n">
        <v>0.9</v>
      </c>
      <c r="D28" s="26" t="n">
        <v>0.1</v>
      </c>
      <c r="E28" s="26" t="n">
        <v>0.91</v>
      </c>
    </row>
    <row r="29" customFormat="false" ht="15" hidden="false" customHeight="false" outlineLevel="0" collapsed="false">
      <c r="A29" s="14" t="s">
        <v>4664</v>
      </c>
      <c r="B29" s="26" t="n">
        <v>0.13</v>
      </c>
      <c r="C29" s="26" t="n">
        <v>0.88</v>
      </c>
      <c r="D29" s="26" t="n">
        <v>0.12</v>
      </c>
      <c r="E29" s="26" t="n">
        <v>0.89</v>
      </c>
    </row>
    <row r="30" customFormat="false" ht="15" hidden="false" customHeight="false" outlineLevel="0" collapsed="false">
      <c r="A30" s="14" t="s">
        <v>4665</v>
      </c>
      <c r="B30" s="26" t="n">
        <v>0.14</v>
      </c>
      <c r="C30" s="26" t="n">
        <v>0.87</v>
      </c>
      <c r="D30" s="26" t="n">
        <v>0.13</v>
      </c>
      <c r="E30" s="26" t="n">
        <v>0.89</v>
      </c>
    </row>
    <row r="31" customFormat="false" ht="15" hidden="false" customHeight="false" outlineLevel="0" collapsed="false">
      <c r="A31" s="14" t="s">
        <v>4666</v>
      </c>
      <c r="B31" s="26" t="n">
        <v>0.21</v>
      </c>
      <c r="C31" s="26" t="n">
        <v>0.8</v>
      </c>
      <c r="D31" s="27"/>
      <c r="E31" s="27"/>
    </row>
    <row r="32" customFormat="false" ht="15" hidden="false" customHeight="false" outlineLevel="0" collapsed="false">
      <c r="A32" s="14" t="s">
        <v>4667</v>
      </c>
      <c r="B32" s="26" t="n">
        <v>0.21</v>
      </c>
      <c r="C32" s="26" t="n">
        <v>0.81</v>
      </c>
      <c r="D32" s="27"/>
      <c r="E32" s="27"/>
    </row>
    <row r="33" customFormat="false" ht="15" hidden="false" customHeight="false" outlineLevel="0" collapsed="false">
      <c r="A33" s="14" t="s">
        <v>4668</v>
      </c>
      <c r="B33" s="26" t="n">
        <v>0.22</v>
      </c>
      <c r="C33" s="26" t="n">
        <v>0.8</v>
      </c>
      <c r="D33" s="27"/>
      <c r="E33" s="27"/>
    </row>
    <row r="34" customFormat="false" ht="15" hidden="false" customHeight="false" outlineLevel="0" collapsed="false">
      <c r="A34" s="14" t="s">
        <v>4669</v>
      </c>
      <c r="B34" s="26" t="n">
        <v>0.45</v>
      </c>
      <c r="C34" s="26" t="n">
        <v>0.59</v>
      </c>
      <c r="D34" s="27"/>
      <c r="E34" s="27"/>
    </row>
    <row r="35" customFormat="false" ht="15" hidden="false" customHeight="false" outlineLevel="0" collapsed="false">
      <c r="A35" s="28" t="s">
        <v>4670</v>
      </c>
    </row>
  </sheetData>
  <conditionalFormatting sqref="H2:H17">
    <cfRule type="cellIs" priority="2" operator="equal" aboveAverage="0" equalAverage="0" bottom="0" percent="0" rank="0" text="" dxfId="10">
      <formula>"A"</formula>
    </cfRule>
    <cfRule type="cellIs" priority="3" operator="equal" aboveAverage="0" equalAverage="0" bottom="0" percent="0" rank="0" text="" dxfId="11">
      <formula>"B"</formula>
    </cfRule>
    <cfRule type="cellIs" priority="4" operator="equal" aboveAverage="0" equalAverage="0" bottom="0" percent="0" rank="0" text="" dxfId="12">
      <formula>"C"</formula>
    </cfRule>
    <cfRule type="cellIs" priority="5" operator="equal" aboveAverage="0" equalAverage="0" bottom="0" percent="0" rank="0" text="" dxfId="13">
      <formula>"D"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0"/>
    <col collapsed="false" customWidth="true" hidden="false" outlineLevel="0" max="3" min="3" style="0" width="30"/>
    <col collapsed="false" customWidth="true" hidden="false" outlineLevel="0" max="4" min="4" style="0" width="22"/>
    <col collapsed="false" customWidth="true" hidden="false" outlineLevel="0" max="7" min="5" style="0" width="14"/>
    <col collapsed="false" customWidth="true" hidden="false" outlineLevel="0" max="8" min="8" style="0" width="12"/>
    <col collapsed="false" customWidth="true" hidden="false" outlineLevel="0" max="9" min="9" style="0" width="22"/>
  </cols>
  <sheetData>
    <row r="1" customFormat="false" ht="15" hidden="false" customHeight="false" outlineLevel="0" collapsed="false">
      <c r="A1" s="3" t="s">
        <v>4671</v>
      </c>
    </row>
    <row r="2" customFormat="false" ht="15" hidden="false" customHeight="false" outlineLevel="0" collapsed="false">
      <c r="A2" s="28" t="s">
        <v>4672</v>
      </c>
    </row>
    <row r="3" customFormat="false" ht="23.85" hidden="false" customHeight="false" outlineLevel="0" collapsed="false">
      <c r="A3" s="10" t="s">
        <v>4673</v>
      </c>
      <c r="B3" s="10" t="s">
        <v>4674</v>
      </c>
      <c r="C3" s="10" t="s">
        <v>4675</v>
      </c>
      <c r="D3" s="10" t="s">
        <v>4676</v>
      </c>
      <c r="E3" s="10" t="s">
        <v>4677</v>
      </c>
      <c r="F3" s="10" t="s">
        <v>4678</v>
      </c>
      <c r="G3" s="10" t="s">
        <v>4679</v>
      </c>
      <c r="H3" s="10" t="s">
        <v>4680</v>
      </c>
      <c r="I3" s="10" t="s">
        <v>3728</v>
      </c>
    </row>
    <row r="4" customFormat="false" ht="15" hidden="false" customHeight="false" outlineLevel="0" collapsed="false">
      <c r="A4" s="14" t="s">
        <v>4681</v>
      </c>
      <c r="B4" s="26" t="n">
        <v>1.11</v>
      </c>
      <c r="C4" s="26" t="n">
        <v>0.95</v>
      </c>
      <c r="D4" s="26" t="n">
        <v>0.9</v>
      </c>
      <c r="E4" s="26" t="n">
        <v>0.86</v>
      </c>
      <c r="F4" s="26" t="n">
        <v>1.05</v>
      </c>
      <c r="G4" s="26" t="n">
        <v>1.17</v>
      </c>
      <c r="H4" s="14" t="s">
        <v>4682</v>
      </c>
      <c r="I4" s="14" t="s">
        <v>3831</v>
      </c>
    </row>
    <row r="5" customFormat="false" ht="15" hidden="false" customHeight="false" outlineLevel="0" collapsed="false">
      <c r="A5" s="14" t="s">
        <v>4683</v>
      </c>
      <c r="B5" s="26" t="n">
        <v>1.25</v>
      </c>
      <c r="C5" s="26" t="n">
        <v>0.9</v>
      </c>
      <c r="D5" s="26" t="n">
        <v>0.8</v>
      </c>
      <c r="E5" s="26" t="n">
        <v>0.72</v>
      </c>
      <c r="F5" s="26" t="n">
        <v>1.11</v>
      </c>
      <c r="G5" s="26" t="n">
        <v>1.39</v>
      </c>
      <c r="H5" s="14" t="s">
        <v>4684</v>
      </c>
      <c r="I5" s="14" t="s">
        <v>3831</v>
      </c>
    </row>
    <row r="6" customFormat="false" ht="15" hidden="false" customHeight="false" outlineLevel="0" collapsed="false">
      <c r="A6" s="14" t="s">
        <v>4685</v>
      </c>
      <c r="B6" s="26" t="n">
        <v>1.43</v>
      </c>
      <c r="C6" s="26" t="n">
        <v>0.9</v>
      </c>
      <c r="D6" s="26" t="n">
        <v>0.7</v>
      </c>
      <c r="E6" s="26" t="n">
        <v>0.63</v>
      </c>
      <c r="F6" s="26" t="n">
        <v>1.11</v>
      </c>
      <c r="G6" s="26" t="n">
        <v>1.59</v>
      </c>
      <c r="H6" s="14" t="s">
        <v>4686</v>
      </c>
      <c r="I6" s="14" t="s">
        <v>3831</v>
      </c>
    </row>
    <row r="7" customFormat="false" ht="15" hidden="false" customHeight="false" outlineLevel="0" collapsed="false">
      <c r="A7" s="14" t="s">
        <v>4687</v>
      </c>
      <c r="B7" s="26" t="n">
        <v>1.5</v>
      </c>
      <c r="C7" s="26" t="n">
        <v>1.3</v>
      </c>
      <c r="D7" s="26" t="n">
        <v>0.67</v>
      </c>
      <c r="E7" s="26" t="n">
        <v>0.87</v>
      </c>
      <c r="F7" s="26" t="n">
        <v>0.77</v>
      </c>
      <c r="G7" s="26" t="n">
        <v>1.15</v>
      </c>
      <c r="H7" s="14" t="s">
        <v>4688</v>
      </c>
      <c r="I7" s="14" t="s">
        <v>3831</v>
      </c>
    </row>
    <row r="9" customFormat="false" ht="15" hidden="false" customHeight="false" outlineLevel="0" collapsed="false">
      <c r="A9" s="3" t="s">
        <v>4689</v>
      </c>
    </row>
    <row r="10" customFormat="false" ht="15" hidden="false" customHeight="false" outlineLevel="0" collapsed="false">
      <c r="A10" s="10" t="s">
        <v>4690</v>
      </c>
      <c r="B10" s="10" t="s">
        <v>4691</v>
      </c>
      <c r="C10" s="10" t="s">
        <v>4692</v>
      </c>
      <c r="D10" s="10" t="s">
        <v>3728</v>
      </c>
    </row>
    <row r="11" customFormat="false" ht="15" hidden="false" customHeight="false" outlineLevel="0" collapsed="false">
      <c r="A11" s="14" t="s">
        <v>4693</v>
      </c>
      <c r="B11" s="14" t="s">
        <v>4694</v>
      </c>
      <c r="C11" s="14" t="s">
        <v>4695</v>
      </c>
      <c r="D11" s="14" t="s">
        <v>4696</v>
      </c>
    </row>
    <row r="12" customFormat="false" ht="15" hidden="false" customHeight="false" outlineLevel="0" collapsed="false">
      <c r="A12" s="14" t="s">
        <v>4685</v>
      </c>
      <c r="B12" s="14" t="s">
        <v>4697</v>
      </c>
      <c r="C12" s="14" t="s">
        <v>4698</v>
      </c>
      <c r="D12" s="14" t="s">
        <v>4696</v>
      </c>
    </row>
    <row r="13" customFormat="false" ht="15" hidden="false" customHeight="false" outlineLevel="0" collapsed="false">
      <c r="A13" s="14" t="s">
        <v>4699</v>
      </c>
      <c r="B13" s="14" t="s">
        <v>4700</v>
      </c>
      <c r="C13" s="14" t="s">
        <v>4701</v>
      </c>
      <c r="D13" s="14" t="s">
        <v>4696</v>
      </c>
    </row>
    <row r="14" customFormat="false" ht="15" hidden="false" customHeight="false" outlineLevel="0" collapsed="false">
      <c r="A14" s="14" t="s">
        <v>4702</v>
      </c>
      <c r="B14" s="14" t="s">
        <v>4703</v>
      </c>
      <c r="C14" s="14" t="s">
        <v>4704</v>
      </c>
      <c r="D14" s="14" t="s">
        <v>4705</v>
      </c>
    </row>
    <row r="15" customFormat="false" ht="15" hidden="false" customHeight="false" outlineLevel="0" collapsed="false">
      <c r="A15" s="14" t="s">
        <v>4706</v>
      </c>
      <c r="B15" s="14" t="s">
        <v>4707</v>
      </c>
      <c r="C15" s="14" t="s">
        <v>4704</v>
      </c>
      <c r="D15" s="14" t="s">
        <v>4705</v>
      </c>
    </row>
    <row r="16" customFormat="false" ht="15" hidden="false" customHeight="false" outlineLevel="0" collapsed="false">
      <c r="A16" s="14" t="s">
        <v>4708</v>
      </c>
      <c r="B16" s="14" t="s">
        <v>4709</v>
      </c>
      <c r="C16" s="14" t="s">
        <v>4701</v>
      </c>
      <c r="D16" s="14" t="s">
        <v>4705</v>
      </c>
    </row>
    <row r="17" customFormat="false" ht="22.35" hidden="false" customHeight="false" outlineLevel="0" collapsed="false">
      <c r="A17" s="14" t="s">
        <v>4710</v>
      </c>
      <c r="B17" s="14" t="s">
        <v>4711</v>
      </c>
      <c r="C17" s="14" t="s">
        <v>4712</v>
      </c>
      <c r="D17" s="14" t="s">
        <v>4713</v>
      </c>
    </row>
    <row r="19" customFormat="false" ht="15" hidden="false" customHeight="false" outlineLevel="0" collapsed="false">
      <c r="A19" s="3" t="s">
        <v>4714</v>
      </c>
    </row>
    <row r="20" customFormat="false" ht="15" hidden="false" customHeight="false" outlineLevel="0" collapsed="false">
      <c r="A20" s="10" t="s">
        <v>4690</v>
      </c>
      <c r="B20" s="10" t="s">
        <v>4715</v>
      </c>
      <c r="C20" s="10" t="s">
        <v>3728</v>
      </c>
    </row>
    <row r="21" customFormat="false" ht="15" hidden="false" customHeight="false" outlineLevel="0" collapsed="false">
      <c r="A21" s="14" t="s">
        <v>4716</v>
      </c>
      <c r="B21" s="14" t="s">
        <v>4717</v>
      </c>
      <c r="C21" s="14" t="s">
        <v>4718</v>
      </c>
    </row>
    <row r="22" customFormat="false" ht="15" hidden="false" customHeight="false" outlineLevel="0" collapsed="false">
      <c r="A22" s="14" t="s">
        <v>4719</v>
      </c>
      <c r="B22" s="14" t="s">
        <v>4720</v>
      </c>
      <c r="C22" s="14" t="s">
        <v>4718</v>
      </c>
    </row>
    <row r="23" customFormat="false" ht="15" hidden="false" customHeight="false" outlineLevel="0" collapsed="false">
      <c r="A23" s="14" t="s">
        <v>4721</v>
      </c>
      <c r="B23" s="14" t="s">
        <v>4698</v>
      </c>
      <c r="C23" s="14" t="s">
        <v>4718</v>
      </c>
    </row>
    <row r="24" customFormat="false" ht="15" hidden="false" customHeight="false" outlineLevel="0" collapsed="false">
      <c r="A24" s="14" t="s">
        <v>4722</v>
      </c>
      <c r="B24" s="14" t="s">
        <v>4723</v>
      </c>
      <c r="C24" s="14" t="s">
        <v>4724</v>
      </c>
    </row>
    <row r="25" customFormat="false" ht="15" hidden="false" customHeight="false" outlineLevel="0" collapsed="false">
      <c r="A25" s="14" t="s">
        <v>4725</v>
      </c>
      <c r="B25" s="14" t="s">
        <v>4726</v>
      </c>
      <c r="C25" s="14" t="s">
        <v>4724</v>
      </c>
    </row>
    <row r="26" customFormat="false" ht="15" hidden="false" customHeight="false" outlineLevel="0" collapsed="false">
      <c r="A26" s="14" t="s">
        <v>4727</v>
      </c>
      <c r="B26" s="14" t="s">
        <v>4728</v>
      </c>
      <c r="C26" s="14" t="s">
        <v>4729</v>
      </c>
    </row>
    <row r="27" customFormat="false" ht="15" hidden="false" customHeight="false" outlineLevel="0" collapsed="false">
      <c r="A27" s="14" t="s">
        <v>4730</v>
      </c>
      <c r="B27" s="14" t="s">
        <v>4728</v>
      </c>
      <c r="C27" s="14" t="s">
        <v>4729</v>
      </c>
    </row>
    <row r="28" customFormat="false" ht="15" hidden="false" customHeight="false" outlineLevel="0" collapsed="false">
      <c r="A28" s="14" t="s">
        <v>4731</v>
      </c>
      <c r="B28" s="14" t="s">
        <v>4732</v>
      </c>
      <c r="C28" s="14" t="s">
        <v>4729</v>
      </c>
    </row>
    <row r="29" customFormat="false" ht="15" hidden="false" customHeight="false" outlineLevel="0" collapsed="false">
      <c r="A29" s="14" t="s">
        <v>4733</v>
      </c>
      <c r="B29" s="14" t="s">
        <v>4734</v>
      </c>
      <c r="C29" s="14" t="s">
        <v>4729</v>
      </c>
    </row>
    <row r="30" customFormat="false" ht="15" hidden="false" customHeight="false" outlineLevel="0" collapsed="false">
      <c r="A30" s="14" t="s">
        <v>4735</v>
      </c>
      <c r="B30" s="14" t="s">
        <v>4734</v>
      </c>
      <c r="C30" s="14" t="s">
        <v>4729</v>
      </c>
    </row>
    <row r="31" customFormat="false" ht="15" hidden="false" customHeight="false" outlineLevel="0" collapsed="false">
      <c r="A31" s="14" t="s">
        <v>4736</v>
      </c>
      <c r="B31" s="14" t="s">
        <v>4737</v>
      </c>
      <c r="C31" s="14" t="s">
        <v>4729</v>
      </c>
    </row>
    <row r="32" customFormat="false" ht="15" hidden="false" customHeight="false" outlineLevel="0" collapsed="false">
      <c r="A32" s="14" t="s">
        <v>4738</v>
      </c>
      <c r="B32" s="14" t="s">
        <v>4739</v>
      </c>
      <c r="C32" s="14" t="s">
        <v>4729</v>
      </c>
    </row>
    <row r="33" customFormat="false" ht="15" hidden="false" customHeight="false" outlineLevel="0" collapsed="false">
      <c r="A33" s="14" t="s">
        <v>4740</v>
      </c>
      <c r="B33" s="14" t="s">
        <v>4741</v>
      </c>
      <c r="C33" s="14" t="s">
        <v>4729</v>
      </c>
    </row>
    <row r="34" customFormat="false" ht="15" hidden="false" customHeight="false" outlineLevel="0" collapsed="false">
      <c r="A34" s="14" t="s">
        <v>4742</v>
      </c>
      <c r="B34" s="14" t="s">
        <v>4701</v>
      </c>
      <c r="C34" s="14" t="s">
        <v>4729</v>
      </c>
    </row>
    <row r="35" customFormat="false" ht="22.35" hidden="false" customHeight="false" outlineLevel="0" collapsed="false">
      <c r="A35" s="14" t="s">
        <v>4743</v>
      </c>
      <c r="B35" s="14" t="s">
        <v>4744</v>
      </c>
      <c r="C35" s="14" t="s">
        <v>4745</v>
      </c>
    </row>
    <row r="37" customFormat="false" ht="15" hidden="false" customHeight="false" outlineLevel="0" collapsed="false">
      <c r="A37" s="3" t="s">
        <v>4746</v>
      </c>
    </row>
    <row r="38" customFormat="false" ht="15" hidden="false" customHeight="false" outlineLevel="0" collapsed="false">
      <c r="A38" s="10" t="s">
        <v>4747</v>
      </c>
      <c r="B38" s="10" t="s">
        <v>4748</v>
      </c>
      <c r="C38" s="10" t="s">
        <v>4749</v>
      </c>
      <c r="D38" s="10" t="s">
        <v>3728</v>
      </c>
    </row>
    <row r="39" customFormat="false" ht="15" hidden="false" customHeight="false" outlineLevel="0" collapsed="false">
      <c r="A39" s="14" t="s">
        <v>4750</v>
      </c>
      <c r="B39" s="14" t="s">
        <v>4751</v>
      </c>
      <c r="C39" s="14" t="s">
        <v>4752</v>
      </c>
      <c r="D39" s="14" t="s">
        <v>3742</v>
      </c>
    </row>
    <row r="40" customFormat="false" ht="15" hidden="false" customHeight="false" outlineLevel="0" collapsed="false">
      <c r="A40" s="14" t="s">
        <v>4753</v>
      </c>
      <c r="B40" s="14" t="s">
        <v>4754</v>
      </c>
      <c r="C40" s="14"/>
      <c r="D40" s="14" t="s">
        <v>4755</v>
      </c>
    </row>
    <row r="41" customFormat="false" ht="15" hidden="false" customHeight="false" outlineLevel="0" collapsed="false">
      <c r="A41" s="14" t="s">
        <v>4756</v>
      </c>
      <c r="B41" s="14" t="s">
        <v>4737</v>
      </c>
      <c r="C41" s="14" t="s">
        <v>4757</v>
      </c>
      <c r="D41" s="14" t="s">
        <v>4758</v>
      </c>
    </row>
    <row r="42" customFormat="false" ht="15" hidden="false" customHeight="false" outlineLevel="0" collapsed="false">
      <c r="A42" s="14" t="s">
        <v>4759</v>
      </c>
      <c r="B42" s="14" t="s">
        <v>4760</v>
      </c>
      <c r="C42" s="14"/>
      <c r="D42" s="14" t="s">
        <v>3875</v>
      </c>
    </row>
    <row r="43" customFormat="false" ht="22.35" hidden="false" customHeight="false" outlineLevel="0" collapsed="false">
      <c r="A43" s="14" t="s">
        <v>4761</v>
      </c>
      <c r="B43" s="14" t="s">
        <v>4762</v>
      </c>
      <c r="C43" s="14" t="s">
        <v>4763</v>
      </c>
      <c r="D43" s="14" t="s">
        <v>3831</v>
      </c>
    </row>
    <row r="44" customFormat="false" ht="15" hidden="false" customHeight="false" outlineLevel="0" collapsed="false">
      <c r="A44" s="14" t="s">
        <v>4764</v>
      </c>
      <c r="B44" s="14" t="s">
        <v>4765</v>
      </c>
      <c r="C44" s="14"/>
      <c r="D44" s="14" t="s">
        <v>3831</v>
      </c>
    </row>
    <row r="45" customFormat="false" ht="15" hidden="false" customHeight="false" outlineLevel="0" collapsed="false">
      <c r="A45" s="14" t="s">
        <v>4766</v>
      </c>
      <c r="B45" s="14" t="s">
        <v>4767</v>
      </c>
      <c r="C45" s="14"/>
      <c r="D45" s="14" t="s">
        <v>3831</v>
      </c>
    </row>
    <row r="46" customFormat="false" ht="22.35" hidden="false" customHeight="false" outlineLevel="0" collapsed="false">
      <c r="A46" s="14" t="s">
        <v>4768</v>
      </c>
      <c r="B46" s="14" t="s">
        <v>4769</v>
      </c>
      <c r="C46" s="14" t="s">
        <v>4770</v>
      </c>
      <c r="D46" s="14" t="s">
        <v>4771</v>
      </c>
    </row>
    <row r="48" customFormat="false" ht="15" hidden="false" customHeight="false" outlineLevel="0" collapsed="false">
      <c r="A48" s="3" t="s">
        <v>4772</v>
      </c>
    </row>
    <row r="49" customFormat="false" ht="15" hidden="false" customHeight="false" outlineLevel="0" collapsed="false">
      <c r="A49" s="10" t="s">
        <v>4747</v>
      </c>
      <c r="B49" s="10" t="s">
        <v>4748</v>
      </c>
      <c r="C49" s="10" t="s">
        <v>3728</v>
      </c>
    </row>
    <row r="50" customFormat="false" ht="15" hidden="false" customHeight="false" outlineLevel="0" collapsed="false">
      <c r="A50" s="14" t="s">
        <v>4773</v>
      </c>
      <c r="B50" s="14" t="s">
        <v>4774</v>
      </c>
      <c r="C50" s="14" t="s">
        <v>3742</v>
      </c>
    </row>
    <row r="51" customFormat="false" ht="15" hidden="false" customHeight="false" outlineLevel="0" collapsed="false">
      <c r="A51" s="14" t="s">
        <v>4775</v>
      </c>
      <c r="B51" s="14" t="s">
        <v>4776</v>
      </c>
      <c r="C51" s="14" t="s">
        <v>3742</v>
      </c>
    </row>
    <row r="52" customFormat="false" ht="15" hidden="false" customHeight="false" outlineLevel="0" collapsed="false">
      <c r="A52" s="14" t="s">
        <v>4777</v>
      </c>
      <c r="B52" s="14" t="s">
        <v>4778</v>
      </c>
      <c r="C52" s="14" t="s">
        <v>3742</v>
      </c>
    </row>
    <row r="53" customFormat="false" ht="22.35" hidden="false" customHeight="false" outlineLevel="0" collapsed="false">
      <c r="A53" s="14" t="s">
        <v>4779</v>
      </c>
      <c r="B53" s="14" t="s">
        <v>4776</v>
      </c>
      <c r="C53" s="14" t="s">
        <v>3742</v>
      </c>
    </row>
    <row r="54" customFormat="false" ht="15" hidden="false" customHeight="false" outlineLevel="0" collapsed="false">
      <c r="A54" s="14" t="s">
        <v>4780</v>
      </c>
      <c r="B54" s="14" t="s">
        <v>4781</v>
      </c>
      <c r="C54" s="14" t="s">
        <v>3831</v>
      </c>
    </row>
    <row r="55" customFormat="false" ht="15" hidden="false" customHeight="false" outlineLevel="0" collapsed="false">
      <c r="A55" s="14" t="s">
        <v>4782</v>
      </c>
      <c r="B55" s="14" t="s">
        <v>4774</v>
      </c>
      <c r="C55" s="14" t="s">
        <v>3742</v>
      </c>
    </row>
    <row r="56" customFormat="false" ht="15" hidden="false" customHeight="false" outlineLevel="0" collapsed="false">
      <c r="A56" s="14" t="s">
        <v>4783</v>
      </c>
      <c r="B56" s="14" t="s">
        <v>4784</v>
      </c>
      <c r="C56" s="14" t="s">
        <v>3831</v>
      </c>
    </row>
    <row r="57" customFormat="false" ht="22.35" hidden="false" customHeight="false" outlineLevel="0" collapsed="false">
      <c r="A57" s="14" t="s">
        <v>4785</v>
      </c>
      <c r="B57" s="14" t="s">
        <v>4786</v>
      </c>
      <c r="C57" s="14" t="s">
        <v>4787</v>
      </c>
    </row>
    <row r="58" customFormat="false" ht="15" hidden="false" customHeight="false" outlineLevel="0" collapsed="false">
      <c r="A58" s="14" t="s">
        <v>4788</v>
      </c>
      <c r="B58" s="14" t="s">
        <v>4789</v>
      </c>
      <c r="C58" s="14" t="s">
        <v>3742</v>
      </c>
    </row>
    <row r="59" customFormat="false" ht="15" hidden="false" customHeight="false" outlineLevel="0" collapsed="false">
      <c r="A59" s="14" t="s">
        <v>4790</v>
      </c>
      <c r="B59" s="14" t="s">
        <v>4791</v>
      </c>
      <c r="C59" s="14" t="s">
        <v>4792</v>
      </c>
    </row>
    <row r="60" customFormat="false" ht="22.35" hidden="false" customHeight="false" outlineLevel="0" collapsed="false">
      <c r="A60" s="14" t="s">
        <v>4793</v>
      </c>
      <c r="B60" s="14" t="s">
        <v>4794</v>
      </c>
      <c r="C60" s="14" t="s">
        <v>4792</v>
      </c>
    </row>
    <row r="61" customFormat="false" ht="15" hidden="false" customHeight="false" outlineLevel="0" collapsed="false">
      <c r="A61" s="14" t="s">
        <v>4795</v>
      </c>
      <c r="B61" s="14" t="s">
        <v>4796</v>
      </c>
      <c r="C61" s="14" t="s">
        <v>3742</v>
      </c>
    </row>
    <row r="62" customFormat="false" ht="22.35" hidden="false" customHeight="false" outlineLevel="0" collapsed="false">
      <c r="A62" s="14" t="s">
        <v>4797</v>
      </c>
      <c r="B62" s="14" t="s">
        <v>4798</v>
      </c>
      <c r="C62" s="14" t="s">
        <v>3742</v>
      </c>
    </row>
    <row r="64" customFormat="false" ht="15" hidden="false" customHeight="false" outlineLevel="0" collapsed="false">
      <c r="A64" s="3" t="s">
        <v>4799</v>
      </c>
    </row>
    <row r="65" customFormat="false" ht="15" hidden="false" customHeight="false" outlineLevel="0" collapsed="false">
      <c r="A65" s="10" t="s">
        <v>4800</v>
      </c>
      <c r="B65" s="10" t="s">
        <v>4801</v>
      </c>
    </row>
    <row r="66" customFormat="false" ht="15" hidden="false" customHeight="false" outlineLevel="0" collapsed="false">
      <c r="A66" s="14" t="s">
        <v>4802</v>
      </c>
      <c r="B66" s="29" t="n">
        <v>40</v>
      </c>
    </row>
    <row r="67" customFormat="false" ht="15" hidden="false" customHeight="false" outlineLevel="0" collapsed="false">
      <c r="A67" s="14" t="s">
        <v>4803</v>
      </c>
      <c r="B67" s="29" t="n">
        <v>65</v>
      </c>
    </row>
    <row r="68" customFormat="false" ht="15" hidden="false" customHeight="false" outlineLevel="0" collapsed="false">
      <c r="A68" s="14" t="s">
        <v>4804</v>
      </c>
      <c r="B68" s="29" t="n">
        <v>100</v>
      </c>
    </row>
    <row r="69" customFormat="false" ht="15" hidden="false" customHeight="false" outlineLevel="0" collapsed="false">
      <c r="A69" s="14" t="s">
        <v>4805</v>
      </c>
      <c r="B69" s="29" t="n">
        <v>150</v>
      </c>
    </row>
    <row r="70" customFormat="false" ht="15" hidden="false" customHeight="false" outlineLevel="0" collapsed="false">
      <c r="A70" s="14" t="s">
        <v>4806</v>
      </c>
      <c r="B70" s="29" t="n">
        <v>400</v>
      </c>
    </row>
    <row r="71" customFormat="false" ht="15" hidden="false" customHeight="false" outlineLevel="0" collapsed="false">
      <c r="A71" s="28" t="s">
        <v>4807</v>
      </c>
    </row>
    <row r="73" customFormat="false" ht="15" hidden="false" customHeight="false" outlineLevel="0" collapsed="false">
      <c r="A73" s="3" t="s">
        <v>4808</v>
      </c>
    </row>
    <row r="74" customFormat="false" ht="15" hidden="false" customHeight="false" outlineLevel="0" collapsed="false">
      <c r="A74" s="10" t="s">
        <v>4809</v>
      </c>
      <c r="B74" s="10" t="s">
        <v>4748</v>
      </c>
      <c r="C74" s="10" t="s">
        <v>3728</v>
      </c>
    </row>
    <row r="75" customFormat="false" ht="15" hidden="false" customHeight="false" outlineLevel="0" collapsed="false">
      <c r="A75" s="14" t="s">
        <v>4810</v>
      </c>
      <c r="B75" s="14" t="s">
        <v>4811</v>
      </c>
      <c r="C75" s="14" t="s">
        <v>4718</v>
      </c>
    </row>
    <row r="76" customFormat="false" ht="15" hidden="false" customHeight="false" outlineLevel="0" collapsed="false">
      <c r="A76" s="14" t="s">
        <v>4812</v>
      </c>
      <c r="B76" s="14" t="s">
        <v>4813</v>
      </c>
      <c r="C76" s="14" t="s">
        <v>4718</v>
      </c>
    </row>
    <row r="77" customFormat="false" ht="15" hidden="false" customHeight="false" outlineLevel="0" collapsed="false">
      <c r="A77" s="14" t="s">
        <v>4814</v>
      </c>
      <c r="B77" s="14" t="s">
        <v>4815</v>
      </c>
      <c r="C77" s="14" t="s">
        <v>4718</v>
      </c>
    </row>
    <row r="78" customFormat="false" ht="15" hidden="false" customHeight="false" outlineLevel="0" collapsed="false">
      <c r="A78" s="14" t="s">
        <v>4816</v>
      </c>
      <c r="B78" s="14" t="s">
        <v>4817</v>
      </c>
      <c r="C78" s="14" t="s">
        <v>4818</v>
      </c>
    </row>
    <row r="79" customFormat="false" ht="22.35" hidden="false" customHeight="false" outlineLevel="0" collapsed="false">
      <c r="A79" s="14" t="s">
        <v>4819</v>
      </c>
      <c r="B79" s="14" t="s">
        <v>4820</v>
      </c>
      <c r="C79" s="14" t="s">
        <v>4818</v>
      </c>
    </row>
    <row r="80" customFormat="false" ht="15" hidden="false" customHeight="false" outlineLevel="0" collapsed="false">
      <c r="A80" s="14" t="s">
        <v>4821</v>
      </c>
      <c r="B80" s="14" t="s">
        <v>4822</v>
      </c>
      <c r="C80" s="14" t="s">
        <v>4823</v>
      </c>
    </row>
    <row r="81" customFormat="false" ht="15" hidden="false" customHeight="false" outlineLevel="0" collapsed="false">
      <c r="A81" s="14" t="s">
        <v>4824</v>
      </c>
      <c r="B81" s="14" t="s">
        <v>4825</v>
      </c>
      <c r="C81" s="14" t="s">
        <v>4826</v>
      </c>
    </row>
    <row r="82" customFormat="false" ht="15" hidden="false" customHeight="false" outlineLevel="0" collapsed="false">
      <c r="A82" s="14" t="s">
        <v>4827</v>
      </c>
      <c r="B82" s="14" t="s">
        <v>4828</v>
      </c>
      <c r="C82" s="14" t="s">
        <v>4829</v>
      </c>
    </row>
    <row r="83" customFormat="false" ht="15" hidden="false" customHeight="false" outlineLevel="0" collapsed="false">
      <c r="A83" s="14" t="s">
        <v>4830</v>
      </c>
      <c r="B83" s="14" t="s">
        <v>4831</v>
      </c>
      <c r="C83" s="14" t="s">
        <v>3742</v>
      </c>
    </row>
    <row r="84" customFormat="false" ht="15" hidden="false" customHeight="false" outlineLevel="0" collapsed="false">
      <c r="A84" s="14" t="s">
        <v>4832</v>
      </c>
      <c r="B84" s="14" t="s">
        <v>4833</v>
      </c>
      <c r="C84" s="14" t="s">
        <v>3742</v>
      </c>
    </row>
    <row r="85" customFormat="false" ht="22.35" hidden="false" customHeight="false" outlineLevel="0" collapsed="false">
      <c r="A85" s="14" t="s">
        <v>4834</v>
      </c>
      <c r="B85" s="14" t="s">
        <v>4835</v>
      </c>
      <c r="C85" s="14" t="s">
        <v>4771</v>
      </c>
    </row>
    <row r="86" customFormat="false" ht="15" hidden="false" customHeight="false" outlineLevel="0" collapsed="false">
      <c r="A86" s="14" t="s">
        <v>4836</v>
      </c>
      <c r="B86" s="14" t="s">
        <v>4837</v>
      </c>
      <c r="C86" s="14" t="s">
        <v>3831</v>
      </c>
    </row>
    <row r="87" customFormat="false" ht="15" hidden="false" customHeight="false" outlineLevel="0" collapsed="false">
      <c r="A87" s="14" t="s">
        <v>4838</v>
      </c>
      <c r="B87" s="14" t="s">
        <v>4839</v>
      </c>
      <c r="C87" s="14" t="s">
        <v>4771</v>
      </c>
    </row>
    <row r="88" customFormat="false" ht="22.35" hidden="false" customHeight="false" outlineLevel="0" collapsed="false">
      <c r="A88" s="14" t="s">
        <v>4840</v>
      </c>
      <c r="B88" s="14" t="s">
        <v>4841</v>
      </c>
      <c r="C88" s="14" t="s">
        <v>4842</v>
      </c>
    </row>
    <row r="90" customFormat="false" ht="15" hidden="false" customHeight="false" outlineLevel="0" collapsed="false">
      <c r="A90" s="3" t="s">
        <v>4843</v>
      </c>
    </row>
    <row r="91" customFormat="false" ht="15" hidden="false" customHeight="false" outlineLevel="0" collapsed="false">
      <c r="A91" s="10" t="s">
        <v>4844</v>
      </c>
      <c r="B91" s="10" t="s">
        <v>4748</v>
      </c>
      <c r="C91" s="10" t="s">
        <v>3728</v>
      </c>
    </row>
    <row r="92" customFormat="false" ht="15" hidden="false" customHeight="false" outlineLevel="0" collapsed="false">
      <c r="A92" s="14" t="s">
        <v>4845</v>
      </c>
      <c r="B92" s="14" t="s">
        <v>4846</v>
      </c>
      <c r="C92" s="14" t="s">
        <v>4847</v>
      </c>
    </row>
    <row r="93" customFormat="false" ht="15" hidden="false" customHeight="false" outlineLevel="0" collapsed="false">
      <c r="A93" s="14" t="s">
        <v>4848</v>
      </c>
      <c r="B93" s="14" t="s">
        <v>4849</v>
      </c>
      <c r="C93" s="14" t="s">
        <v>4850</v>
      </c>
    </row>
    <row r="94" customFormat="false" ht="15" hidden="false" customHeight="false" outlineLevel="0" collapsed="false">
      <c r="A94" s="14" t="s">
        <v>4851</v>
      </c>
      <c r="B94" s="14" t="s">
        <v>4852</v>
      </c>
      <c r="C94" s="14" t="s">
        <v>4853</v>
      </c>
    </row>
    <row r="95" customFormat="false" ht="22.35" hidden="false" customHeight="false" outlineLevel="0" collapsed="false">
      <c r="A95" s="14" t="s">
        <v>4854</v>
      </c>
      <c r="B95" s="14" t="s">
        <v>4855</v>
      </c>
      <c r="C95" s="14" t="s">
        <v>4856</v>
      </c>
    </row>
    <row r="96" customFormat="false" ht="15" hidden="false" customHeight="false" outlineLevel="0" collapsed="false">
      <c r="A96" s="14" t="s">
        <v>4857</v>
      </c>
      <c r="B96" s="14" t="s">
        <v>4858</v>
      </c>
      <c r="C96" s="14" t="s">
        <v>4859</v>
      </c>
    </row>
    <row r="97" customFormat="false" ht="15" hidden="false" customHeight="false" outlineLevel="0" collapsed="false">
      <c r="A97" s="14" t="s">
        <v>4860</v>
      </c>
      <c r="B97" s="14" t="s">
        <v>4861</v>
      </c>
      <c r="C97" s="14" t="s">
        <v>4862</v>
      </c>
    </row>
    <row r="98" customFormat="false" ht="15" hidden="false" customHeight="false" outlineLevel="0" collapsed="false">
      <c r="A98" s="14" t="s">
        <v>4863</v>
      </c>
      <c r="B98" s="14" t="s">
        <v>4864</v>
      </c>
      <c r="C98" s="14" t="s">
        <v>4862</v>
      </c>
    </row>
    <row r="99" customFormat="false" ht="22.35" hidden="false" customHeight="false" outlineLevel="0" collapsed="false">
      <c r="A99" s="14" t="s">
        <v>4865</v>
      </c>
      <c r="B99" s="14" t="s">
        <v>4866</v>
      </c>
      <c r="C99" s="14" t="s">
        <v>4867</v>
      </c>
    </row>
    <row r="100" customFormat="false" ht="15" hidden="false" customHeight="false" outlineLevel="0" collapsed="false">
      <c r="A100" s="14" t="s">
        <v>4868</v>
      </c>
      <c r="B100" s="14" t="s">
        <v>4869</v>
      </c>
      <c r="C100" s="14" t="s">
        <v>4870</v>
      </c>
    </row>
    <row r="101" customFormat="false" ht="32.8" hidden="false" customHeight="false" outlineLevel="0" collapsed="false">
      <c r="A101" s="14" t="s">
        <v>4871</v>
      </c>
      <c r="B101" s="14" t="s">
        <v>4872</v>
      </c>
      <c r="C101" s="14" t="s">
        <v>4862</v>
      </c>
    </row>
    <row r="102" customFormat="false" ht="43.25" hidden="false" customHeight="false" outlineLevel="0" collapsed="false">
      <c r="A102" s="14" t="s">
        <v>4873</v>
      </c>
      <c r="B102" s="14" t="s">
        <v>4874</v>
      </c>
      <c r="C102" s="14" t="s">
        <v>4875</v>
      </c>
    </row>
    <row r="103" customFormat="false" ht="15" hidden="false" customHeight="false" outlineLevel="0" collapsed="false">
      <c r="A103" s="14" t="s">
        <v>4876</v>
      </c>
      <c r="B103" s="14" t="s">
        <v>4877</v>
      </c>
      <c r="C103" s="14" t="s">
        <v>4842</v>
      </c>
    </row>
    <row r="105" customFormat="false" ht="15" hidden="false" customHeight="false" outlineLevel="0" collapsed="false">
      <c r="A105" s="3" t="s">
        <v>4878</v>
      </c>
    </row>
    <row r="106" customFormat="false" ht="15" hidden="false" customHeight="false" outlineLevel="0" collapsed="false">
      <c r="A106" s="10" t="s">
        <v>4844</v>
      </c>
      <c r="B106" s="10" t="s">
        <v>4748</v>
      </c>
      <c r="C106" s="10" t="s">
        <v>3728</v>
      </c>
    </row>
    <row r="107" customFormat="false" ht="22.35" hidden="false" customHeight="false" outlineLevel="0" collapsed="false">
      <c r="A107" s="14" t="s">
        <v>4879</v>
      </c>
      <c r="B107" s="14" t="s">
        <v>4880</v>
      </c>
      <c r="C107" s="14" t="s">
        <v>4881</v>
      </c>
    </row>
    <row r="108" customFormat="false" ht="15" hidden="false" customHeight="false" outlineLevel="0" collapsed="false">
      <c r="A108" s="14" t="s">
        <v>4882</v>
      </c>
      <c r="B108" s="14" t="s">
        <v>4883</v>
      </c>
      <c r="C108" s="14" t="s">
        <v>4884</v>
      </c>
    </row>
    <row r="109" customFormat="false" ht="22.35" hidden="false" customHeight="false" outlineLevel="0" collapsed="false">
      <c r="A109" s="14" t="s">
        <v>4885</v>
      </c>
      <c r="B109" s="14" t="s">
        <v>4886</v>
      </c>
      <c r="C109" s="14" t="s">
        <v>4884</v>
      </c>
    </row>
    <row r="110" customFormat="false" ht="15" hidden="false" customHeight="false" outlineLevel="0" collapsed="false">
      <c r="A110" s="14" t="s">
        <v>4887</v>
      </c>
      <c r="B110" s="14" t="s">
        <v>4888</v>
      </c>
      <c r="C110" s="14" t="s">
        <v>4884</v>
      </c>
    </row>
    <row r="111" customFormat="false" ht="22.35" hidden="false" customHeight="false" outlineLevel="0" collapsed="false">
      <c r="A111" s="14" t="s">
        <v>4889</v>
      </c>
      <c r="B111" s="14" t="s">
        <v>4890</v>
      </c>
      <c r="C111" s="14" t="s">
        <v>4884</v>
      </c>
    </row>
    <row r="112" customFormat="false" ht="15" hidden="false" customHeight="false" outlineLevel="0" collapsed="false">
      <c r="A112" s="14" t="s">
        <v>4891</v>
      </c>
      <c r="B112" s="14" t="s">
        <v>4892</v>
      </c>
      <c r="C112" s="14" t="s">
        <v>3920</v>
      </c>
    </row>
    <row r="113" customFormat="false" ht="22.35" hidden="false" customHeight="false" outlineLevel="0" collapsed="false">
      <c r="A113" s="14" t="s">
        <v>4893</v>
      </c>
      <c r="B113" s="14" t="s">
        <v>4894</v>
      </c>
      <c r="C113" s="14" t="s">
        <v>3920</v>
      </c>
    </row>
    <row r="115" customFormat="false" ht="15" hidden="false" customHeight="false" outlineLevel="0" collapsed="false">
      <c r="A115" s="3" t="s">
        <v>4895</v>
      </c>
    </row>
    <row r="116" customFormat="false" ht="15" hidden="false" customHeight="false" outlineLevel="0" collapsed="false">
      <c r="A116" s="10" t="s">
        <v>4844</v>
      </c>
      <c r="B116" s="10" t="s">
        <v>4748</v>
      </c>
      <c r="C116" s="10" t="s">
        <v>3728</v>
      </c>
    </row>
    <row r="117" customFormat="false" ht="15" hidden="false" customHeight="false" outlineLevel="0" collapsed="false">
      <c r="A117" s="14" t="s">
        <v>4896</v>
      </c>
      <c r="B117" s="14" t="s">
        <v>4897</v>
      </c>
      <c r="C117" s="14" t="s">
        <v>3875</v>
      </c>
    </row>
    <row r="118" customFormat="false" ht="22.35" hidden="false" customHeight="false" outlineLevel="0" collapsed="false">
      <c r="A118" s="14" t="s">
        <v>4898</v>
      </c>
      <c r="B118" s="14" t="s">
        <v>4899</v>
      </c>
      <c r="C118" s="14" t="s">
        <v>3875</v>
      </c>
    </row>
    <row r="119" customFormat="false" ht="22.35" hidden="false" customHeight="false" outlineLevel="0" collapsed="false">
      <c r="A119" s="14" t="s">
        <v>4900</v>
      </c>
      <c r="B119" s="14" t="s">
        <v>4901</v>
      </c>
      <c r="C119" s="14" t="s">
        <v>3875</v>
      </c>
    </row>
    <row r="120" customFormat="false" ht="15" hidden="false" customHeight="false" outlineLevel="0" collapsed="false">
      <c r="A120" s="14" t="s">
        <v>4902</v>
      </c>
      <c r="B120" s="14" t="s">
        <v>4903</v>
      </c>
      <c r="C120" s="14" t="s">
        <v>3875</v>
      </c>
    </row>
    <row r="121" customFormat="false" ht="15" hidden="false" customHeight="false" outlineLevel="0" collapsed="false">
      <c r="A121" s="14" t="s">
        <v>4904</v>
      </c>
      <c r="B121" s="14" t="s">
        <v>4905</v>
      </c>
      <c r="C121" s="14" t="s">
        <v>4847</v>
      </c>
    </row>
    <row r="123" customFormat="false" ht="15" hidden="false" customHeight="false" outlineLevel="0" collapsed="false">
      <c r="A123" s="3" t="s">
        <v>4906</v>
      </c>
    </row>
    <row r="124" customFormat="false" ht="15" hidden="false" customHeight="false" outlineLevel="0" collapsed="false">
      <c r="A124" s="10" t="s">
        <v>4844</v>
      </c>
      <c r="B124" s="10" t="s">
        <v>4748</v>
      </c>
      <c r="C124" s="10" t="s">
        <v>3728</v>
      </c>
    </row>
    <row r="125" customFormat="false" ht="22.35" hidden="false" customHeight="false" outlineLevel="0" collapsed="false">
      <c r="A125" s="14" t="s">
        <v>4907</v>
      </c>
      <c r="B125" s="14" t="s">
        <v>4908</v>
      </c>
      <c r="C125" s="14" t="s">
        <v>4909</v>
      </c>
    </row>
    <row r="126" customFormat="false" ht="15" hidden="false" customHeight="false" outlineLevel="0" collapsed="false">
      <c r="A126" s="14" t="s">
        <v>4910</v>
      </c>
      <c r="B126" s="14" t="s">
        <v>4911</v>
      </c>
      <c r="C126" s="14" t="s">
        <v>4909</v>
      </c>
    </row>
    <row r="127" customFormat="false" ht="15" hidden="false" customHeight="false" outlineLevel="0" collapsed="false">
      <c r="A127" s="14" t="s">
        <v>4912</v>
      </c>
      <c r="B127" s="14" t="s">
        <v>4913</v>
      </c>
      <c r="C127" s="14" t="s">
        <v>4914</v>
      </c>
    </row>
    <row r="128" customFormat="false" ht="15" hidden="false" customHeight="false" outlineLevel="0" collapsed="false">
      <c r="A128" s="14" t="s">
        <v>4915</v>
      </c>
      <c r="B128" s="14" t="s">
        <v>4916</v>
      </c>
      <c r="C128" s="14" t="s">
        <v>4909</v>
      </c>
    </row>
    <row r="129" customFormat="false" ht="15" hidden="false" customHeight="false" outlineLevel="0" collapsed="false">
      <c r="A129" s="14" t="s">
        <v>4917</v>
      </c>
      <c r="B129" s="14" t="s">
        <v>4918</v>
      </c>
      <c r="C129" s="14" t="s">
        <v>4919</v>
      </c>
    </row>
    <row r="130" customFormat="false" ht="22.35" hidden="false" customHeight="false" outlineLevel="0" collapsed="false">
      <c r="A130" s="14" t="s">
        <v>4920</v>
      </c>
      <c r="B130" s="14" t="s">
        <v>4921</v>
      </c>
      <c r="C130" s="14" t="s">
        <v>4922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9" min="3" style="0" width="13"/>
    <col collapsed="false" customWidth="true" hidden="false" outlineLevel="0" max="10" min="10" style="0" width="30"/>
    <col collapsed="false" customWidth="true" hidden="false" outlineLevel="0" max="14" min="11" style="0" width="13"/>
    <col collapsed="false" customWidth="true" hidden="false" outlineLevel="0" max="15" min="15" style="0" width="70"/>
    <col collapsed="false" customWidth="true" hidden="false" outlineLevel="0" max="16" min="16" style="0" width="13"/>
  </cols>
  <sheetData>
    <row r="1" customFormat="false" ht="15" hidden="false" customHeight="false" outlineLevel="0" collapsed="false">
      <c r="A1" s="30" t="s">
        <v>4923</v>
      </c>
    </row>
    <row r="2" customFormat="false" ht="30" hidden="false" customHeight="true" outlineLevel="0" collapsed="false">
      <c r="A2" s="31" t="s">
        <v>4924</v>
      </c>
      <c r="B2" s="31"/>
      <c r="C2" s="31"/>
      <c r="D2" s="31"/>
      <c r="E2" s="31"/>
      <c r="F2" s="31"/>
      <c r="G2" s="31"/>
      <c r="H2" s="31"/>
      <c r="I2" s="31"/>
      <c r="J2" s="31"/>
      <c r="K2" s="31"/>
      <c r="L2" s="31"/>
      <c r="M2" s="31"/>
      <c r="N2" s="31"/>
      <c r="O2" s="31"/>
      <c r="P2" s="31"/>
    </row>
    <row r="3" customFormat="false" ht="15" hidden="false" customHeight="false" outlineLevel="0" collapsed="false">
      <c r="A3" s="31"/>
      <c r="B3" s="31"/>
      <c r="C3" s="31"/>
      <c r="D3" s="31"/>
      <c r="E3" s="31"/>
      <c r="F3" s="31"/>
      <c r="G3" s="31"/>
      <c r="H3" s="31"/>
      <c r="I3" s="31"/>
      <c r="J3" s="31"/>
      <c r="K3" s="31"/>
      <c r="L3" s="31"/>
      <c r="M3" s="31"/>
      <c r="N3" s="31"/>
      <c r="O3" s="31"/>
      <c r="P3" s="31"/>
    </row>
    <row r="5" customFormat="false" ht="35.05" hidden="false" customHeight="false" outlineLevel="0" collapsed="false">
      <c r="A5" s="10" t="s">
        <v>86</v>
      </c>
      <c r="B5" s="10" t="s">
        <v>4925</v>
      </c>
      <c r="C5" s="10" t="s">
        <v>4926</v>
      </c>
      <c r="D5" s="10" t="s">
        <v>4927</v>
      </c>
      <c r="E5" s="10" t="s">
        <v>4928</v>
      </c>
      <c r="F5" s="10" t="s">
        <v>4929</v>
      </c>
      <c r="G5" s="10" t="s">
        <v>4930</v>
      </c>
      <c r="H5" s="10" t="s">
        <v>4931</v>
      </c>
      <c r="I5" s="10" t="s">
        <v>4932</v>
      </c>
      <c r="J5" s="10" t="s">
        <v>4933</v>
      </c>
      <c r="K5" s="10" t="s">
        <v>4934</v>
      </c>
      <c r="L5" s="10" t="s">
        <v>4935</v>
      </c>
      <c r="M5" s="10" t="s">
        <v>4936</v>
      </c>
      <c r="N5" s="10" t="s">
        <v>4937</v>
      </c>
      <c r="O5" s="10" t="s">
        <v>4938</v>
      </c>
      <c r="P5" s="10" t="s">
        <v>4134</v>
      </c>
    </row>
    <row r="6" customFormat="false" ht="22.35" hidden="false" customHeight="false" outlineLevel="0" collapsed="false">
      <c r="A6" s="14" t="s">
        <v>484</v>
      </c>
      <c r="B6" s="14" t="s">
        <v>4939</v>
      </c>
      <c r="C6" s="32"/>
      <c r="D6" s="32"/>
      <c r="E6" s="32"/>
      <c r="F6" s="33"/>
      <c r="G6" s="33"/>
      <c r="H6" s="33"/>
      <c r="I6" s="33"/>
      <c r="J6" s="14" t="s">
        <v>3771</v>
      </c>
      <c r="K6" s="32"/>
      <c r="L6" s="14"/>
      <c r="M6" s="14"/>
      <c r="N6" s="33"/>
      <c r="O6" s="14" t="s">
        <v>4940</v>
      </c>
      <c r="P6" s="14" t="s">
        <v>188</v>
      </c>
    </row>
    <row r="7" customFormat="false" ht="32.8" hidden="false" customHeight="false" outlineLevel="0" collapsed="false">
      <c r="A7" s="14" t="s">
        <v>1147</v>
      </c>
      <c r="B7" s="14" t="s">
        <v>4941</v>
      </c>
      <c r="C7" s="34" t="n">
        <v>1</v>
      </c>
      <c r="D7" s="34" t="n">
        <v>1.5</v>
      </c>
      <c r="E7" s="34" t="n">
        <v>2</v>
      </c>
      <c r="F7" s="35" t="n">
        <v>75</v>
      </c>
      <c r="G7" s="35" t="n">
        <v>200</v>
      </c>
      <c r="H7" s="35" t="n">
        <v>400</v>
      </c>
      <c r="I7" s="33"/>
      <c r="J7" s="14" t="s">
        <v>3771</v>
      </c>
      <c r="K7" s="32"/>
      <c r="L7" s="14"/>
      <c r="M7" s="14"/>
      <c r="N7" s="33"/>
      <c r="O7" s="14" t="s">
        <v>4942</v>
      </c>
      <c r="P7" s="14" t="s">
        <v>193</v>
      </c>
    </row>
    <row r="8" customFormat="false" ht="22.35" hidden="false" customHeight="false" outlineLevel="0" collapsed="false">
      <c r="A8" s="14" t="s">
        <v>195</v>
      </c>
      <c r="B8" s="14" t="s">
        <v>4943</v>
      </c>
      <c r="C8" s="34" t="n">
        <v>1</v>
      </c>
      <c r="D8" s="34" t="n">
        <v>1.5</v>
      </c>
      <c r="E8" s="34" t="n">
        <v>2</v>
      </c>
      <c r="F8" s="35" t="n">
        <v>200</v>
      </c>
      <c r="G8" s="35" t="n">
        <v>500</v>
      </c>
      <c r="H8" s="35" t="n">
        <v>800</v>
      </c>
      <c r="I8" s="33"/>
      <c r="J8" s="14" t="s">
        <v>3771</v>
      </c>
      <c r="K8" s="32"/>
      <c r="L8" s="14"/>
      <c r="M8" s="14"/>
      <c r="N8" s="33"/>
      <c r="O8" s="14" t="s">
        <v>4944</v>
      </c>
      <c r="P8" s="14" t="s">
        <v>192</v>
      </c>
    </row>
    <row r="9" customFormat="false" ht="22.35" hidden="false" customHeight="false" outlineLevel="0" collapsed="false">
      <c r="A9" s="14" t="s">
        <v>507</v>
      </c>
      <c r="B9" s="14" t="s">
        <v>4945</v>
      </c>
      <c r="C9" s="34" t="n">
        <v>2</v>
      </c>
      <c r="D9" s="34" t="n">
        <v>2.75</v>
      </c>
      <c r="E9" s="34" t="n">
        <v>3.5</v>
      </c>
      <c r="F9" s="35" t="n">
        <v>300</v>
      </c>
      <c r="G9" s="35" t="n">
        <v>400</v>
      </c>
      <c r="H9" s="35" t="n">
        <v>500</v>
      </c>
      <c r="I9" s="33"/>
      <c r="J9" s="14" t="s">
        <v>3771</v>
      </c>
      <c r="K9" s="32"/>
      <c r="L9" s="14"/>
      <c r="M9" s="14"/>
      <c r="N9" s="33"/>
      <c r="O9" s="14" t="s">
        <v>4946</v>
      </c>
      <c r="P9" s="14" t="s">
        <v>192</v>
      </c>
    </row>
    <row r="10" customFormat="false" ht="22.35" hidden="false" customHeight="false" outlineLevel="0" collapsed="false">
      <c r="A10" s="14" t="s">
        <v>216</v>
      </c>
      <c r="B10" s="14" t="s">
        <v>4947</v>
      </c>
      <c r="C10" s="34" t="n">
        <v>3.5</v>
      </c>
      <c r="D10" s="34" t="n">
        <v>4.75</v>
      </c>
      <c r="E10" s="34" t="n">
        <v>6</v>
      </c>
      <c r="F10" s="35" t="n">
        <v>300</v>
      </c>
      <c r="G10" s="35" t="n">
        <v>550</v>
      </c>
      <c r="H10" s="35" t="n">
        <v>800</v>
      </c>
      <c r="I10" s="33"/>
      <c r="J10" s="14" t="s">
        <v>3771</v>
      </c>
      <c r="K10" s="32"/>
      <c r="L10" s="14"/>
      <c r="M10" s="14"/>
      <c r="N10" s="33"/>
      <c r="O10" s="14" t="s">
        <v>4948</v>
      </c>
      <c r="P10" s="14" t="s">
        <v>192</v>
      </c>
    </row>
    <row r="11" customFormat="false" ht="32.8" hidden="false" customHeight="false" outlineLevel="0" collapsed="false">
      <c r="A11" s="14" t="s">
        <v>268</v>
      </c>
      <c r="B11" s="14" t="s">
        <v>4949</v>
      </c>
      <c r="C11" s="34" t="n">
        <v>5</v>
      </c>
      <c r="D11" s="34" t="n">
        <v>6.5</v>
      </c>
      <c r="E11" s="34" t="n">
        <v>12</v>
      </c>
      <c r="F11" s="35" t="n">
        <v>800</v>
      </c>
      <c r="G11" s="35" t="n">
        <v>1650</v>
      </c>
      <c r="H11" s="35" t="n">
        <v>2500</v>
      </c>
      <c r="I11" s="35" t="n">
        <v>150</v>
      </c>
      <c r="J11" s="14" t="s">
        <v>4950</v>
      </c>
      <c r="K11" s="34" t="n">
        <v>2.25</v>
      </c>
      <c r="L11" s="29" t="n">
        <v>0</v>
      </c>
      <c r="M11" s="14"/>
      <c r="N11" s="33"/>
      <c r="O11" s="14" t="s">
        <v>4951</v>
      </c>
      <c r="P11" s="14" t="s">
        <v>192</v>
      </c>
    </row>
    <row r="12" customFormat="false" ht="32.8" hidden="false" customHeight="false" outlineLevel="0" collapsed="false">
      <c r="A12" s="14" t="s">
        <v>286</v>
      </c>
      <c r="B12" s="14" t="s">
        <v>4952</v>
      </c>
      <c r="C12" s="34" t="n">
        <v>8</v>
      </c>
      <c r="D12" s="34" t="n">
        <v>11.5</v>
      </c>
      <c r="E12" s="34" t="n">
        <v>15</v>
      </c>
      <c r="F12" s="35" t="n">
        <v>800</v>
      </c>
      <c r="G12" s="35" t="n">
        <v>1650</v>
      </c>
      <c r="H12" s="35" t="n">
        <v>2500</v>
      </c>
      <c r="I12" s="35" t="n">
        <v>150</v>
      </c>
      <c r="J12" s="14" t="s">
        <v>4953</v>
      </c>
      <c r="K12" s="34" t="n">
        <v>2.25</v>
      </c>
      <c r="L12" s="29" t="n">
        <v>1</v>
      </c>
      <c r="M12" s="14"/>
      <c r="N12" s="33"/>
      <c r="O12" s="14" t="s">
        <v>4954</v>
      </c>
      <c r="P12" s="14" t="s">
        <v>193</v>
      </c>
    </row>
    <row r="13" customFormat="false" ht="22.35" hidden="false" customHeight="false" outlineLevel="0" collapsed="false">
      <c r="A13" s="14" t="s">
        <v>2388</v>
      </c>
      <c r="B13" s="14" t="s">
        <v>4955</v>
      </c>
      <c r="C13" s="32"/>
      <c r="D13" s="32"/>
      <c r="E13" s="32"/>
      <c r="F13" s="33"/>
      <c r="G13" s="33"/>
      <c r="H13" s="33"/>
      <c r="I13" s="33"/>
      <c r="J13" s="14" t="s">
        <v>4956</v>
      </c>
      <c r="K13" s="32"/>
      <c r="L13" s="14"/>
      <c r="M13" s="14"/>
      <c r="N13" s="33"/>
      <c r="O13" s="14" t="s">
        <v>4957</v>
      </c>
      <c r="P13" s="14" t="s">
        <v>188</v>
      </c>
    </row>
    <row r="14" customFormat="false" ht="22.35" hidden="false" customHeight="false" outlineLevel="0" collapsed="false">
      <c r="A14" s="14" t="s">
        <v>1155</v>
      </c>
      <c r="B14" s="14" t="s">
        <v>4958</v>
      </c>
      <c r="C14" s="32"/>
      <c r="D14" s="32"/>
      <c r="E14" s="32"/>
      <c r="F14" s="35" t="n">
        <v>75</v>
      </c>
      <c r="G14" s="35" t="n">
        <v>200</v>
      </c>
      <c r="H14" s="35" t="n">
        <v>350</v>
      </c>
      <c r="I14" s="33"/>
      <c r="J14" s="14" t="s">
        <v>3771</v>
      </c>
      <c r="K14" s="32"/>
      <c r="L14" s="14"/>
      <c r="M14" s="14"/>
      <c r="N14" s="33"/>
      <c r="O14" s="14" t="s">
        <v>4959</v>
      </c>
      <c r="P14" s="14" t="s">
        <v>192</v>
      </c>
    </row>
    <row r="15" customFormat="false" ht="15" hidden="false" customHeight="false" outlineLevel="0" collapsed="false">
      <c r="A15" s="28" t="s">
        <v>4960</v>
      </c>
    </row>
    <row r="17" customFormat="false" ht="15" hidden="false" customHeight="false" outlineLevel="0" collapsed="false">
      <c r="A17" s="3" t="s">
        <v>4961</v>
      </c>
    </row>
    <row r="18" customFormat="false" ht="15" hidden="false" customHeight="false" outlineLevel="0" collapsed="false">
      <c r="A18" s="36" t="s">
        <v>4962</v>
      </c>
      <c r="B18" s="37" t="s">
        <v>268</v>
      </c>
    </row>
    <row r="19" customFormat="false" ht="15" hidden="false" customHeight="false" outlineLevel="0" collapsed="false">
      <c r="A19" s="36" t="s">
        <v>4963</v>
      </c>
      <c r="B19" s="38" t="n">
        <f aca="false">Settings!$B$6</f>
        <v>50</v>
      </c>
    </row>
    <row r="20" customFormat="false" ht="15" hidden="false" customHeight="false" outlineLevel="0" collapsed="false">
      <c r="A20" s="36" t="s">
        <v>4964</v>
      </c>
      <c r="B20" s="39" t="n">
        <f aca="false">Settings!$B$19</f>
        <v>1</v>
      </c>
    </row>
    <row r="21" customFormat="false" ht="15" hidden="false" customHeight="false" outlineLevel="0" collapsed="false">
      <c r="A21" s="36" t="s">
        <v>4965</v>
      </c>
      <c r="B21" s="37" t="s">
        <v>269</v>
      </c>
    </row>
    <row r="22" customFormat="false" ht="15" hidden="false" customHeight="false" outlineLevel="0" collapsed="false">
      <c r="A22" s="36" t="s">
        <v>4966</v>
      </c>
      <c r="B22" s="37" t="n">
        <v>1</v>
      </c>
    </row>
    <row r="23" customFormat="false" ht="15" hidden="false" customHeight="false" outlineLevel="0" collapsed="false">
      <c r="A23" s="36" t="s">
        <v>4967</v>
      </c>
      <c r="B23" s="37"/>
    </row>
    <row r="24" customFormat="false" ht="15" hidden="false" customHeight="false" outlineLevel="0" collapsed="false">
      <c r="A24" s="36" t="s">
        <v>4937</v>
      </c>
      <c r="B24" s="37"/>
    </row>
    <row r="26" customFormat="false" ht="15" hidden="false" customHeight="false" outlineLevel="0" collapsed="false">
      <c r="A26" s="36" t="s">
        <v>4968</v>
      </c>
      <c r="B26" s="40" t="n">
        <f aca="false">IFERROR(MAX(N(INDEX($G$6:$G$14,MATCH($B$18,$A$6:$A$14,0))),N(INDEX($D$6:$D$14,MATCH($B$18,$A$6:$A$14,0)))*$B$19),"")</f>
        <v>1650</v>
      </c>
    </row>
    <row r="27" customFormat="false" ht="15" hidden="false" customHeight="false" outlineLevel="0" collapsed="false">
      <c r="A27" s="36" t="s">
        <v>4969</v>
      </c>
      <c r="B27" s="40" t="n">
        <f aca="false">IF($B$21="Y",N(INDEX($I$6:$I$14,MATCH($B$18,$A$6:$A$14,0)))*$B$20,0)</f>
        <v>150</v>
      </c>
    </row>
    <row r="28" customFormat="false" ht="15" hidden="false" customHeight="false" outlineLevel="0" collapsed="false">
      <c r="A28" s="36" t="s">
        <v>4970</v>
      </c>
      <c r="B28" s="40" t="n">
        <f aca="false">N(INDEX($K$6:$K$14,MATCH($B$18,$A$6:$A$14,0)))*$B$22*$B$19</f>
        <v>112.5</v>
      </c>
    </row>
    <row r="29" customFormat="false" ht="15" hidden="false" customHeight="false" outlineLevel="0" collapsed="false">
      <c r="A29" s="36" t="s">
        <v>4971</v>
      </c>
      <c r="B29" s="40" t="n">
        <f aca="false">N($B$23)*N($B$24)</f>
        <v>0</v>
      </c>
    </row>
    <row r="30" customFormat="false" ht="15" hidden="false" customHeight="false" outlineLevel="0" collapsed="false">
      <c r="A30" s="41" t="s">
        <v>4972</v>
      </c>
      <c r="B30" s="42" t="n">
        <f aca="false">IFERROR(B26+B27+B28+B29,"")</f>
        <v>1912.5</v>
      </c>
    </row>
    <row r="31" customFormat="false" ht="15" hidden="false" customHeight="false" outlineLevel="0" collapsed="false">
      <c r="A31" s="41" t="s">
        <v>4973</v>
      </c>
      <c r="B31" s="42" t="n">
        <f aca="false">IFERROR(B30*Settings!$B$18,"")</f>
        <v>1912.5</v>
      </c>
    </row>
    <row r="32" customFormat="false" ht="15" hidden="false" customHeight="false" outlineLevel="0" collapsed="false">
      <c r="A32" s="41" t="s">
        <v>4974</v>
      </c>
      <c r="B32" s="42" t="n">
        <f aca="false">IFERROR(B30+B31,"")</f>
        <v>3825</v>
      </c>
    </row>
    <row r="35" customFormat="false" ht="15" hidden="false" customHeight="false" outlineLevel="0" collapsed="false">
      <c r="A35" s="3" t="s">
        <v>4975</v>
      </c>
    </row>
    <row r="36" customFormat="false" ht="15" hidden="false" customHeight="false" outlineLevel="0" collapsed="false">
      <c r="A36" s="10" t="s">
        <v>4844</v>
      </c>
      <c r="B36" s="10" t="s">
        <v>4748</v>
      </c>
      <c r="C36" s="10" t="s">
        <v>3728</v>
      </c>
    </row>
    <row r="37" customFormat="false" ht="22.35" hidden="false" customHeight="false" outlineLevel="0" collapsed="false">
      <c r="A37" s="14" t="s">
        <v>4976</v>
      </c>
      <c r="B37" s="14" t="s">
        <v>4977</v>
      </c>
      <c r="C37" s="14" t="s">
        <v>4978</v>
      </c>
    </row>
    <row r="38" customFormat="false" ht="22.35" hidden="false" customHeight="false" outlineLevel="0" collapsed="false">
      <c r="A38" s="14" t="s">
        <v>4979</v>
      </c>
      <c r="B38" s="14" t="s">
        <v>4980</v>
      </c>
      <c r="C38" s="14" t="s">
        <v>4978</v>
      </c>
    </row>
    <row r="39" customFormat="false" ht="22.35" hidden="false" customHeight="false" outlineLevel="0" collapsed="false">
      <c r="A39" s="14" t="s">
        <v>4981</v>
      </c>
      <c r="B39" s="14" t="s">
        <v>4982</v>
      </c>
      <c r="C39" s="14" t="s">
        <v>4983</v>
      </c>
    </row>
    <row r="40" customFormat="false" ht="15" hidden="false" customHeight="false" outlineLevel="0" collapsed="false">
      <c r="A40" s="14" t="s">
        <v>4984</v>
      </c>
      <c r="B40" s="14" t="s">
        <v>4985</v>
      </c>
      <c r="C40" s="14" t="s">
        <v>4983</v>
      </c>
    </row>
    <row r="41" customFormat="false" ht="22.35" hidden="false" customHeight="false" outlineLevel="0" collapsed="false">
      <c r="A41" s="14" t="s">
        <v>4986</v>
      </c>
      <c r="B41" s="14" t="s">
        <v>4987</v>
      </c>
      <c r="C41" s="14" t="s">
        <v>4988</v>
      </c>
    </row>
    <row r="42" customFormat="false" ht="32.8" hidden="false" customHeight="false" outlineLevel="0" collapsed="false">
      <c r="A42" s="14" t="s">
        <v>4989</v>
      </c>
      <c r="B42" s="14" t="s">
        <v>4990</v>
      </c>
      <c r="C42" s="14" t="s">
        <v>4991</v>
      </c>
    </row>
    <row r="43" customFormat="false" ht="43.25" hidden="false" customHeight="false" outlineLevel="0" collapsed="false">
      <c r="A43" s="14" t="s">
        <v>4992</v>
      </c>
      <c r="B43" s="14" t="s">
        <v>4993</v>
      </c>
      <c r="C43" s="14" t="s">
        <v>4994</v>
      </c>
    </row>
    <row r="44" customFormat="false" ht="32.8" hidden="false" customHeight="false" outlineLevel="0" collapsed="false">
      <c r="A44" s="14" t="s">
        <v>4970</v>
      </c>
      <c r="B44" s="14" t="s">
        <v>4995</v>
      </c>
      <c r="C44" s="14" t="s">
        <v>4996</v>
      </c>
    </row>
    <row r="45" customFormat="false" ht="32.8" hidden="false" customHeight="false" outlineLevel="0" collapsed="false">
      <c r="A45" s="14" t="s">
        <v>4997</v>
      </c>
      <c r="B45" s="14" t="s">
        <v>4998</v>
      </c>
      <c r="C45" s="14" t="s">
        <v>4999</v>
      </c>
    </row>
    <row r="46" customFormat="false" ht="53.7" hidden="false" customHeight="false" outlineLevel="0" collapsed="false">
      <c r="A46" s="14" t="s">
        <v>5000</v>
      </c>
      <c r="B46" s="14" t="s">
        <v>5001</v>
      </c>
      <c r="C46" s="14" t="s">
        <v>5002</v>
      </c>
    </row>
    <row r="48" customFormat="false" ht="15" hidden="false" customHeight="false" outlineLevel="0" collapsed="false">
      <c r="A48" s="3" t="s">
        <v>5003</v>
      </c>
    </row>
    <row r="49" customFormat="false" ht="15" hidden="false" customHeight="false" outlineLevel="0" collapsed="false">
      <c r="A49" s="10" t="s">
        <v>14</v>
      </c>
      <c r="B49" s="10" t="s">
        <v>5004</v>
      </c>
      <c r="C49" s="10" t="s">
        <v>3728</v>
      </c>
      <c r="D49" s="10" t="s">
        <v>5005</v>
      </c>
    </row>
    <row r="50" customFormat="false" ht="15" hidden="false" customHeight="false" outlineLevel="0" collapsed="false">
      <c r="A50" s="14" t="s">
        <v>5006</v>
      </c>
      <c r="B50" s="14" t="s">
        <v>5007</v>
      </c>
      <c r="C50" s="14" t="s">
        <v>5008</v>
      </c>
      <c r="D50" s="14" t="s">
        <v>5009</v>
      </c>
    </row>
    <row r="51" customFormat="false" ht="15" hidden="false" customHeight="false" outlineLevel="0" collapsed="false">
      <c r="A51" s="14" t="s">
        <v>5010</v>
      </c>
      <c r="B51" s="14" t="s">
        <v>5011</v>
      </c>
      <c r="C51" s="14" t="s">
        <v>5008</v>
      </c>
      <c r="D51" s="14" t="s">
        <v>5009</v>
      </c>
    </row>
    <row r="52" customFormat="false" ht="15" hidden="false" customHeight="false" outlineLevel="0" collapsed="false">
      <c r="A52" s="14" t="s">
        <v>5012</v>
      </c>
      <c r="B52" s="14" t="s">
        <v>5013</v>
      </c>
      <c r="C52" s="14" t="s">
        <v>5008</v>
      </c>
      <c r="D52" s="14" t="s">
        <v>5009</v>
      </c>
    </row>
    <row r="53" customFormat="false" ht="15" hidden="false" customHeight="false" outlineLevel="0" collapsed="false">
      <c r="A53" s="14" t="s">
        <v>5014</v>
      </c>
      <c r="B53" s="14" t="s">
        <v>5015</v>
      </c>
      <c r="C53" s="14" t="s">
        <v>5016</v>
      </c>
      <c r="D53" s="14" t="s">
        <v>5017</v>
      </c>
    </row>
    <row r="54" customFormat="false" ht="22.35" hidden="false" customHeight="false" outlineLevel="0" collapsed="false">
      <c r="A54" s="14" t="s">
        <v>5018</v>
      </c>
      <c r="B54" s="14" t="s">
        <v>5019</v>
      </c>
      <c r="C54" s="14" t="s">
        <v>5020</v>
      </c>
      <c r="D54" s="14" t="s">
        <v>5021</v>
      </c>
    </row>
    <row r="55" customFormat="false" ht="15" hidden="false" customHeight="false" outlineLevel="0" collapsed="false">
      <c r="A55" s="14" t="s">
        <v>5022</v>
      </c>
      <c r="B55" s="14" t="s">
        <v>5023</v>
      </c>
      <c r="C55" s="14" t="s">
        <v>4093</v>
      </c>
      <c r="D55" s="14" t="s">
        <v>5009</v>
      </c>
    </row>
    <row r="56" customFormat="false" ht="15" hidden="false" customHeight="false" outlineLevel="0" collapsed="false">
      <c r="A56" s="14" t="s">
        <v>5024</v>
      </c>
      <c r="B56" s="14" t="s">
        <v>5025</v>
      </c>
      <c r="C56" s="14" t="s">
        <v>5026</v>
      </c>
      <c r="D56" s="14" t="s">
        <v>5009</v>
      </c>
    </row>
    <row r="57" customFormat="false" ht="22.35" hidden="false" customHeight="false" outlineLevel="0" collapsed="false">
      <c r="A57" s="14" t="s">
        <v>5027</v>
      </c>
      <c r="B57" s="14" t="s">
        <v>5028</v>
      </c>
      <c r="C57" s="14" t="s">
        <v>2068</v>
      </c>
      <c r="D57" s="14" t="s">
        <v>2069</v>
      </c>
    </row>
    <row r="58" customFormat="false" ht="22.35" hidden="false" customHeight="false" outlineLevel="0" collapsed="false">
      <c r="A58" s="14" t="s">
        <v>5029</v>
      </c>
      <c r="B58" s="14" t="s">
        <v>5030</v>
      </c>
      <c r="C58" s="14" t="s">
        <v>5031</v>
      </c>
      <c r="D58" s="14" t="s">
        <v>5009</v>
      </c>
    </row>
    <row r="59" customFormat="false" ht="22.35" hidden="false" customHeight="false" outlineLevel="0" collapsed="false">
      <c r="A59" s="14" t="s">
        <v>5032</v>
      </c>
      <c r="B59" s="14" t="s">
        <v>5033</v>
      </c>
      <c r="C59" s="14" t="s">
        <v>2068</v>
      </c>
      <c r="D59" s="14" t="s">
        <v>2069</v>
      </c>
    </row>
    <row r="60" customFormat="false" ht="15" hidden="false" customHeight="false" outlineLevel="0" collapsed="false">
      <c r="A60" s="14" t="s">
        <v>5034</v>
      </c>
      <c r="B60" s="14" t="s">
        <v>5035</v>
      </c>
      <c r="C60" s="14" t="s">
        <v>5036</v>
      </c>
      <c r="D60" s="14" t="s">
        <v>2069</v>
      </c>
    </row>
    <row r="61" customFormat="false" ht="15" hidden="false" customHeight="false" outlineLevel="0" collapsed="false">
      <c r="A61" s="14" t="s">
        <v>4601</v>
      </c>
      <c r="B61" s="14" t="s">
        <v>5037</v>
      </c>
      <c r="C61" s="14" t="s">
        <v>3091</v>
      </c>
      <c r="D61" s="14" t="s">
        <v>3092</v>
      </c>
    </row>
    <row r="62" customFormat="false" ht="43.25" hidden="false" customHeight="false" outlineLevel="0" collapsed="false">
      <c r="A62" s="14" t="s">
        <v>5038</v>
      </c>
      <c r="B62" s="14" t="s">
        <v>5039</v>
      </c>
      <c r="C62" s="14" t="s">
        <v>259</v>
      </c>
      <c r="D62" s="14" t="s">
        <v>260</v>
      </c>
    </row>
    <row r="63" customFormat="false" ht="22.35" hidden="false" customHeight="false" outlineLevel="0" collapsed="false">
      <c r="A63" s="14" t="s">
        <v>5040</v>
      </c>
      <c r="B63" s="14" t="s">
        <v>5041</v>
      </c>
      <c r="C63" s="14" t="s">
        <v>259</v>
      </c>
      <c r="D63" s="14" t="s">
        <v>260</v>
      </c>
    </row>
    <row r="64" customFormat="false" ht="22.35" hidden="false" customHeight="false" outlineLevel="0" collapsed="false">
      <c r="A64" s="14" t="s">
        <v>3561</v>
      </c>
      <c r="B64" s="14" t="s">
        <v>5042</v>
      </c>
      <c r="C64" s="14" t="s">
        <v>3565</v>
      </c>
      <c r="D64" s="14" t="s">
        <v>5021</v>
      </c>
    </row>
    <row r="65" customFormat="false" ht="15" hidden="false" customHeight="false" outlineLevel="0" collapsed="false">
      <c r="A65" s="14" t="s">
        <v>3603</v>
      </c>
      <c r="B65" s="14" t="s">
        <v>5043</v>
      </c>
      <c r="C65" s="14" t="s">
        <v>3607</v>
      </c>
      <c r="D65" s="14" t="s">
        <v>723</v>
      </c>
    </row>
    <row r="66" customFormat="false" ht="22.35" hidden="false" customHeight="false" outlineLevel="0" collapsed="false">
      <c r="A66" s="14" t="s">
        <v>3611</v>
      </c>
      <c r="B66" s="14" t="s">
        <v>5044</v>
      </c>
      <c r="C66" s="14" t="s">
        <v>3616</v>
      </c>
      <c r="D66" s="14" t="s">
        <v>5045</v>
      </c>
    </row>
    <row r="68" customFormat="false" ht="15" hidden="false" customHeight="false" outlineLevel="0" collapsed="false">
      <c r="A68" s="28" t="s">
        <v>5046</v>
      </c>
    </row>
  </sheetData>
  <mergeCells count="1">
    <mergeCell ref="A2:P3"/>
  </mergeCells>
  <conditionalFormatting sqref="P6:P14">
    <cfRule type="cellIs" priority="2" operator="equal" aboveAverage="0" equalAverage="0" bottom="0" percent="0" rank="0" text="" dxfId="10">
      <formula>"A"</formula>
    </cfRule>
    <cfRule type="cellIs" priority="3" operator="equal" aboveAverage="0" equalAverage="0" bottom="0" percent="0" rank="0" text="" dxfId="11">
      <formula>"B"</formula>
    </cfRule>
    <cfRule type="cellIs" priority="4" operator="equal" aboveAverage="0" equalAverage="0" bottom="0" percent="0" rank="0" text="" dxfId="12">
      <formula>"C"</formula>
    </cfRule>
    <cfRule type="cellIs" priority="5" operator="equal" aboveAverage="0" equalAverage="0" bottom="0" percent="0" rank="0" text="" dxfId="13">
      <formula>"D"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 collapsed="false" customWidth="true" hidden="false" outlineLevel="0" max="3" min="3" style="0" width="36"/>
    <col collapsed="false" customWidth="true" hidden="false" outlineLevel="0" max="4" min="4" style="0" width="13"/>
    <col collapsed="false" customWidth="true" hidden="false" outlineLevel="0" max="5" min="5" style="0" width="24"/>
  </cols>
  <sheetData>
    <row r="1" customFormat="false" ht="15" hidden="false" customHeight="false" outlineLevel="0" collapsed="false">
      <c r="A1" s="10" t="s">
        <v>5047</v>
      </c>
      <c r="B1" s="10" t="s">
        <v>5048</v>
      </c>
      <c r="C1" s="10" t="s">
        <v>3728</v>
      </c>
      <c r="D1" s="10" t="s">
        <v>5005</v>
      </c>
      <c r="E1" s="10" t="s">
        <v>5049</v>
      </c>
    </row>
    <row r="2" customFormat="false" ht="15" hidden="false" customHeight="false" outlineLevel="0" collapsed="false">
      <c r="A2" s="14" t="s">
        <v>5050</v>
      </c>
      <c r="B2" s="14" t="s">
        <v>5051</v>
      </c>
      <c r="C2" s="14" t="s">
        <v>5052</v>
      </c>
      <c r="D2" s="14" t="s">
        <v>212</v>
      </c>
      <c r="E2" s="14" t="s">
        <v>5053</v>
      </c>
    </row>
    <row r="3" customFormat="false" ht="15" hidden="false" customHeight="false" outlineLevel="0" collapsed="false">
      <c r="A3" s="14" t="s">
        <v>5054</v>
      </c>
      <c r="B3" s="14" t="s">
        <v>5055</v>
      </c>
      <c r="C3" s="14" t="s">
        <v>5056</v>
      </c>
      <c r="D3" s="14" t="s">
        <v>260</v>
      </c>
      <c r="E3" s="14" t="s">
        <v>5057</v>
      </c>
    </row>
    <row r="4" customFormat="false" ht="15" hidden="false" customHeight="false" outlineLevel="0" collapsed="false">
      <c r="A4" s="14" t="s">
        <v>5058</v>
      </c>
      <c r="B4" s="14" t="s">
        <v>5059</v>
      </c>
      <c r="C4" s="14" t="s">
        <v>722</v>
      </c>
      <c r="D4" s="14" t="s">
        <v>723</v>
      </c>
      <c r="E4" s="14"/>
    </row>
    <row r="5" customFormat="false" ht="15" hidden="false" customHeight="false" outlineLevel="0" collapsed="false">
      <c r="A5" s="14" t="s">
        <v>5060</v>
      </c>
      <c r="B5" s="14" t="s">
        <v>5061</v>
      </c>
      <c r="C5" s="14" t="s">
        <v>1001</v>
      </c>
      <c r="D5" s="14" t="s">
        <v>1002</v>
      </c>
      <c r="E5" s="14" t="s">
        <v>5062</v>
      </c>
    </row>
    <row r="6" customFormat="false" ht="15" hidden="false" customHeight="false" outlineLevel="0" collapsed="false">
      <c r="A6" s="14" t="s">
        <v>5063</v>
      </c>
      <c r="B6" s="14" t="s">
        <v>5064</v>
      </c>
      <c r="C6" s="14" t="s">
        <v>5065</v>
      </c>
      <c r="D6" s="14" t="s">
        <v>260</v>
      </c>
      <c r="E6" s="14" t="s">
        <v>5066</v>
      </c>
    </row>
    <row r="7" customFormat="false" ht="22.35" hidden="false" customHeight="false" outlineLevel="0" collapsed="false">
      <c r="A7" s="14" t="s">
        <v>5067</v>
      </c>
      <c r="B7" s="14" t="s">
        <v>5068</v>
      </c>
      <c r="C7" s="14" t="s">
        <v>5069</v>
      </c>
      <c r="D7" s="14" t="s">
        <v>5070</v>
      </c>
      <c r="E7" s="14" t="s">
        <v>5071</v>
      </c>
    </row>
    <row r="8" customFormat="false" ht="15" hidden="false" customHeight="false" outlineLevel="0" collapsed="false">
      <c r="A8" s="14" t="s">
        <v>5072</v>
      </c>
      <c r="B8" s="14" t="s">
        <v>5073</v>
      </c>
      <c r="C8" s="14" t="s">
        <v>5074</v>
      </c>
      <c r="D8" s="14" t="s">
        <v>5021</v>
      </c>
      <c r="E8" s="14"/>
    </row>
    <row r="9" customFormat="false" ht="15" hidden="false" customHeight="false" outlineLevel="0" collapsed="false">
      <c r="A9" s="14" t="s">
        <v>5075</v>
      </c>
      <c r="B9" s="14" t="s">
        <v>5076</v>
      </c>
      <c r="C9" s="14" t="s">
        <v>5074</v>
      </c>
      <c r="D9" s="14" t="s">
        <v>5021</v>
      </c>
      <c r="E9" s="14"/>
    </row>
    <row r="10" customFormat="false" ht="22.35" hidden="false" customHeight="false" outlineLevel="0" collapsed="false">
      <c r="A10" s="14" t="s">
        <v>5077</v>
      </c>
      <c r="B10" s="14" t="s">
        <v>5078</v>
      </c>
      <c r="C10" s="14" t="s">
        <v>5079</v>
      </c>
      <c r="D10" s="14" t="s">
        <v>212</v>
      </c>
      <c r="E10" s="14" t="s">
        <v>5080</v>
      </c>
    </row>
    <row r="11" customFormat="false" ht="22.35" hidden="false" customHeight="false" outlineLevel="0" collapsed="false">
      <c r="A11" s="14" t="s">
        <v>5081</v>
      </c>
      <c r="B11" s="14" t="s">
        <v>5082</v>
      </c>
      <c r="C11" s="14" t="s">
        <v>5079</v>
      </c>
      <c r="D11" s="14" t="s">
        <v>212</v>
      </c>
      <c r="E11" s="14" t="s">
        <v>5083</v>
      </c>
    </row>
    <row r="12" customFormat="false" ht="15" hidden="false" customHeight="false" outlineLevel="0" collapsed="false">
      <c r="A12" s="14" t="s">
        <v>5084</v>
      </c>
      <c r="B12" s="14" t="s">
        <v>5085</v>
      </c>
      <c r="C12" s="14" t="s">
        <v>5086</v>
      </c>
      <c r="D12" s="14"/>
      <c r="E12" s="14" t="s">
        <v>5087</v>
      </c>
    </row>
    <row r="13" customFormat="false" ht="15" hidden="false" customHeight="false" outlineLevel="0" collapsed="false">
      <c r="A13" s="14" t="s">
        <v>5088</v>
      </c>
      <c r="B13" s="14" t="s">
        <v>5089</v>
      </c>
      <c r="C13" s="14" t="s">
        <v>1001</v>
      </c>
      <c r="D13" s="14" t="s">
        <v>1002</v>
      </c>
      <c r="E13" s="14"/>
    </row>
    <row r="14" customFormat="false" ht="22.35" hidden="false" customHeight="false" outlineLevel="0" collapsed="false">
      <c r="A14" s="14" t="s">
        <v>5090</v>
      </c>
      <c r="B14" s="14" t="s">
        <v>5091</v>
      </c>
      <c r="C14" s="14" t="s">
        <v>5092</v>
      </c>
      <c r="D14" s="14" t="s">
        <v>212</v>
      </c>
      <c r="E14" s="14" t="s">
        <v>5093</v>
      </c>
    </row>
    <row r="15" customFormat="false" ht="15" hidden="false" customHeight="false" outlineLevel="0" collapsed="false">
      <c r="A15" s="14" t="s">
        <v>5094</v>
      </c>
      <c r="B15" s="14" t="s">
        <v>5095</v>
      </c>
      <c r="C15" s="14" t="s">
        <v>5074</v>
      </c>
      <c r="D15" s="14" t="s">
        <v>5021</v>
      </c>
      <c r="E15" s="14" t="s">
        <v>5096</v>
      </c>
    </row>
    <row r="16" customFormat="false" ht="15" hidden="false" customHeight="false" outlineLevel="0" collapsed="false">
      <c r="A16" s="14" t="s">
        <v>5097</v>
      </c>
      <c r="B16" s="14" t="s">
        <v>5098</v>
      </c>
      <c r="C16" s="14" t="s">
        <v>5099</v>
      </c>
      <c r="D16" s="14" t="s">
        <v>212</v>
      </c>
      <c r="E16" s="14" t="s">
        <v>5100</v>
      </c>
    </row>
    <row r="17" customFormat="false" ht="15" hidden="false" customHeight="false" outlineLevel="0" collapsed="false">
      <c r="A17" s="14" t="s">
        <v>5101</v>
      </c>
      <c r="B17" s="14" t="s">
        <v>5102</v>
      </c>
      <c r="C17" s="14" t="s">
        <v>5103</v>
      </c>
      <c r="D17" s="14"/>
      <c r="E17" s="14" t="s">
        <v>5104</v>
      </c>
    </row>
    <row r="18" customFormat="false" ht="15" hidden="false" customHeight="false" outlineLevel="0" collapsed="false">
      <c r="A18" s="14" t="s">
        <v>5105</v>
      </c>
      <c r="B18" s="14" t="s">
        <v>5106</v>
      </c>
      <c r="C18" s="14" t="s">
        <v>5107</v>
      </c>
      <c r="D18" s="14"/>
      <c r="E18" s="14"/>
    </row>
    <row r="19" customFormat="false" ht="22.35" hidden="false" customHeight="false" outlineLevel="0" collapsed="false">
      <c r="A19" s="14" t="s">
        <v>5108</v>
      </c>
      <c r="B19" s="14" t="s">
        <v>5109</v>
      </c>
      <c r="C19" s="14" t="s">
        <v>5110</v>
      </c>
      <c r="D19" s="14"/>
      <c r="E19" s="14"/>
    </row>
    <row r="20" customFormat="false" ht="15" hidden="false" customHeight="false" outlineLevel="0" collapsed="false">
      <c r="A20" s="14" t="s">
        <v>5111</v>
      </c>
      <c r="B20" s="14" t="s">
        <v>5112</v>
      </c>
      <c r="C20" s="14" t="s">
        <v>722</v>
      </c>
      <c r="D20" s="14" t="s">
        <v>723</v>
      </c>
      <c r="E20" s="14"/>
    </row>
    <row r="21" customFormat="false" ht="15" hidden="false" customHeight="false" outlineLevel="0" collapsed="false">
      <c r="A21" s="14" t="s">
        <v>5113</v>
      </c>
      <c r="B21" s="14" t="s">
        <v>5114</v>
      </c>
      <c r="C21" s="14" t="s">
        <v>1001</v>
      </c>
      <c r="D21" s="14" t="s">
        <v>1002</v>
      </c>
      <c r="E21" s="14"/>
    </row>
    <row r="22" customFormat="false" ht="15" hidden="false" customHeight="false" outlineLevel="0" collapsed="false">
      <c r="A22" s="14" t="s">
        <v>5115</v>
      </c>
      <c r="B22" s="14" t="s">
        <v>5116</v>
      </c>
      <c r="C22" s="14" t="s">
        <v>5117</v>
      </c>
      <c r="D22" s="14"/>
      <c r="E22" s="14"/>
    </row>
    <row r="23" customFormat="false" ht="15" hidden="false" customHeight="false" outlineLevel="0" collapsed="false">
      <c r="A23" s="14" t="s">
        <v>5118</v>
      </c>
      <c r="B23" s="14" t="s">
        <v>5119</v>
      </c>
      <c r="C23" s="14" t="s">
        <v>1001</v>
      </c>
      <c r="D23" s="14" t="s">
        <v>1002</v>
      </c>
      <c r="E23" s="14"/>
    </row>
    <row r="24" customFormat="false" ht="15" hidden="false" customHeight="false" outlineLevel="0" collapsed="false">
      <c r="A24" s="14" t="s">
        <v>5120</v>
      </c>
      <c r="B24" s="14" t="s">
        <v>5121</v>
      </c>
      <c r="C24" s="14" t="s">
        <v>259</v>
      </c>
      <c r="D24" s="14" t="s">
        <v>260</v>
      </c>
      <c r="E24" s="14"/>
    </row>
    <row r="25" customFormat="false" ht="15" hidden="false" customHeight="false" outlineLevel="0" collapsed="false">
      <c r="A25" s="14" t="s">
        <v>5122</v>
      </c>
      <c r="B25" s="14" t="s">
        <v>5123</v>
      </c>
      <c r="C25" s="14" t="s">
        <v>4088</v>
      </c>
      <c r="D25" s="14" t="s">
        <v>212</v>
      </c>
      <c r="E25" s="14"/>
    </row>
    <row r="26" customFormat="false" ht="15" hidden="false" customHeight="false" outlineLevel="0" collapsed="false">
      <c r="A26" s="14" t="s">
        <v>5124</v>
      </c>
      <c r="B26" s="14" t="s">
        <v>5125</v>
      </c>
      <c r="C26" s="14" t="s">
        <v>5126</v>
      </c>
      <c r="D26" s="14" t="s">
        <v>5127</v>
      </c>
      <c r="E26" s="14"/>
    </row>
    <row r="27" customFormat="false" ht="22.35" hidden="false" customHeight="false" outlineLevel="0" collapsed="false">
      <c r="A27" s="14" t="s">
        <v>5128</v>
      </c>
      <c r="B27" s="14" t="s">
        <v>5129</v>
      </c>
      <c r="C27" s="14" t="s">
        <v>5130</v>
      </c>
      <c r="D27" s="14" t="s">
        <v>5131</v>
      </c>
      <c r="E27" s="14" t="s">
        <v>5132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16"/>
    <col collapsed="false" customWidth="true" hidden="false" outlineLevel="0" max="4" min="4" style="0" width="18"/>
    <col collapsed="false" customWidth="true" hidden="false" outlineLevel="0" max="5" min="5" style="0" width="16"/>
  </cols>
  <sheetData>
    <row r="1" customFormat="false" ht="15" hidden="false" customHeight="false" outlineLevel="0" collapsed="false">
      <c r="A1" s="30" t="s">
        <v>5133</v>
      </c>
    </row>
    <row r="2" customFormat="false" ht="15" hidden="false" customHeight="false" outlineLevel="0" collapsed="false">
      <c r="A2" s="43" t="s">
        <v>5134</v>
      </c>
    </row>
    <row r="3" customFormat="false" ht="15" hidden="false" customHeight="false" outlineLevel="0" collapsed="false">
      <c r="A3" s="43" t="s">
        <v>5135</v>
      </c>
    </row>
    <row r="4" customFormat="false" ht="15" hidden="false" customHeight="false" outlineLevel="0" collapsed="false">
      <c r="A4" s="43" t="s">
        <v>5136</v>
      </c>
    </row>
    <row r="5" customFormat="false" ht="15" hidden="false" customHeight="false" outlineLevel="0" collapsed="false">
      <c r="A5" s="43" t="s">
        <v>5137</v>
      </c>
    </row>
    <row r="6" customFormat="false" ht="15" hidden="false" customHeight="false" outlineLevel="0" collapsed="false">
      <c r="A6" s="44" t="s">
        <v>5138</v>
      </c>
    </row>
    <row r="7" customFormat="false" ht="15" hidden="false" customHeight="false" outlineLevel="0" collapsed="false">
      <c r="A7" s="43" t="s">
        <v>5139</v>
      </c>
    </row>
    <row r="10" customFormat="false" ht="15" hidden="false" customHeight="false" outlineLevel="0" collapsed="false">
      <c r="A10" s="3" t="s">
        <v>5140</v>
      </c>
    </row>
    <row r="11" customFormat="false" ht="23.85" hidden="false" customHeight="false" outlineLevel="0" collapsed="false">
      <c r="A11" s="10" t="s">
        <v>5141</v>
      </c>
      <c r="B11" s="10" t="s">
        <v>5142</v>
      </c>
      <c r="C11" s="10" t="s">
        <v>5143</v>
      </c>
      <c r="D11" s="10" t="s">
        <v>5144</v>
      </c>
      <c r="E11" s="10" t="s">
        <v>5145</v>
      </c>
    </row>
    <row r="12" customFormat="false" ht="15" hidden="false" customHeight="false" outlineLevel="0" collapsed="false">
      <c r="A12" s="14" t="s">
        <v>5146</v>
      </c>
      <c r="B12" s="29" t="n">
        <v>96.1</v>
      </c>
      <c r="C12" s="29" t="n">
        <v>98.2</v>
      </c>
      <c r="D12" s="29" t="n">
        <v>144.2</v>
      </c>
      <c r="E12" s="29" t="n">
        <v>116.1</v>
      </c>
    </row>
    <row r="13" customFormat="false" ht="15" hidden="false" customHeight="false" outlineLevel="0" collapsed="false">
      <c r="A13" s="14" t="s">
        <v>5147</v>
      </c>
      <c r="B13" s="29" t="n">
        <v>89.9</v>
      </c>
      <c r="C13" s="29" t="n">
        <v>97.3</v>
      </c>
      <c r="D13" s="29" t="n">
        <v>141.4</v>
      </c>
      <c r="E13" s="29" t="n">
        <v>114.5</v>
      </c>
    </row>
    <row r="14" customFormat="false" ht="15" hidden="false" customHeight="false" outlineLevel="0" collapsed="false">
      <c r="A14" s="14" t="s">
        <v>5148</v>
      </c>
      <c r="B14" s="29" t="n">
        <v>89.9</v>
      </c>
      <c r="C14" s="29" t="n">
        <v>96.4</v>
      </c>
      <c r="D14" s="29" t="n">
        <v>140.1</v>
      </c>
      <c r="E14" s="29" t="n">
        <v>113.4</v>
      </c>
    </row>
    <row r="15" customFormat="false" ht="15" hidden="false" customHeight="false" outlineLevel="0" collapsed="false">
      <c r="A15" s="14" t="s">
        <v>5149</v>
      </c>
      <c r="B15" s="29" t="n">
        <v>105.1</v>
      </c>
      <c r="C15" s="29" t="n">
        <v>93.7</v>
      </c>
      <c r="D15" s="29" t="n">
        <v>102.6</v>
      </c>
      <c r="E15" s="29" t="n">
        <v>97.2</v>
      </c>
    </row>
    <row r="16" customFormat="false" ht="15" hidden="false" customHeight="false" outlineLevel="0" collapsed="false">
      <c r="A16" s="14" t="s">
        <v>5150</v>
      </c>
      <c r="B16" s="29" t="n">
        <v>105.1</v>
      </c>
      <c r="C16" s="29" t="n">
        <v>93.9</v>
      </c>
      <c r="D16" s="29" t="n">
        <v>104.4</v>
      </c>
      <c r="E16" s="29" t="n">
        <v>98</v>
      </c>
    </row>
    <row r="17" customFormat="false" ht="15" hidden="false" customHeight="false" outlineLevel="0" collapsed="false">
      <c r="A17" s="14" t="s">
        <v>5151</v>
      </c>
      <c r="B17" s="29" t="n">
        <v>96.7</v>
      </c>
      <c r="C17" s="29" t="n">
        <v>95.4</v>
      </c>
      <c r="D17" s="29" t="n">
        <v>99.3</v>
      </c>
      <c r="E17" s="29" t="n">
        <v>96.9</v>
      </c>
    </row>
    <row r="18" customFormat="false" ht="15" hidden="false" customHeight="false" outlineLevel="0" collapsed="false">
      <c r="A18" s="14" t="s">
        <v>5152</v>
      </c>
      <c r="B18" s="29" t="n">
        <v>93.8</v>
      </c>
      <c r="C18" s="14"/>
      <c r="D18" s="29" t="n">
        <v>106.1</v>
      </c>
      <c r="E18" s="14"/>
    </row>
    <row r="19" customFormat="false" ht="15" hidden="false" customHeight="false" outlineLevel="0" collapsed="false">
      <c r="A19" s="14" t="s">
        <v>5153</v>
      </c>
      <c r="B19" s="29" t="n">
        <v>101.7</v>
      </c>
      <c r="C19" s="14"/>
      <c r="D19" s="29" t="n">
        <v>104.7</v>
      </c>
      <c r="E19" s="14"/>
    </row>
    <row r="20" customFormat="false" ht="15" hidden="false" customHeight="false" outlineLevel="0" collapsed="false">
      <c r="A20" s="36" t="s">
        <v>5154</v>
      </c>
      <c r="B20" s="45" t="n">
        <f aca="false">MAX(B12:B19)-MIN(B12:B19)</f>
        <v>15.2</v>
      </c>
      <c r="D20" s="45" t="n">
        <f aca="false">MAX(D12:D19)-MIN(D12:D19)</f>
        <v>44.9</v>
      </c>
    </row>
    <row r="21" customFormat="false" ht="15" hidden="false" customHeight="false" outlineLevel="0" collapsed="false">
      <c r="A21" s="36" t="s">
        <v>5155</v>
      </c>
      <c r="B21" s="46" t="n">
        <f aca="false">B20/D20</f>
        <v>0.338530066815145</v>
      </c>
    </row>
    <row r="23" customFormat="false" ht="15" hidden="false" customHeight="false" outlineLevel="0" collapsed="false">
      <c r="A23" s="3" t="s">
        <v>5156</v>
      </c>
    </row>
    <row r="24" customFormat="false" ht="15" hidden="false" customHeight="false" outlineLevel="0" collapsed="false">
      <c r="A24" s="10" t="s">
        <v>4844</v>
      </c>
      <c r="B24" s="10" t="s">
        <v>4748</v>
      </c>
    </row>
    <row r="25" customFormat="false" ht="22.35" hidden="false" customHeight="false" outlineLevel="0" collapsed="false">
      <c r="A25" s="14" t="s">
        <v>5157</v>
      </c>
      <c r="B25" s="14" t="s">
        <v>5158</v>
      </c>
    </row>
    <row r="26" customFormat="false" ht="22.35" hidden="false" customHeight="false" outlineLevel="0" collapsed="false">
      <c r="A26" s="14" t="s">
        <v>5159</v>
      </c>
      <c r="B26" s="14" t="s">
        <v>5160</v>
      </c>
    </row>
    <row r="27" customFormat="false" ht="22.35" hidden="false" customHeight="false" outlineLevel="0" collapsed="false">
      <c r="A27" s="14" t="s">
        <v>5161</v>
      </c>
      <c r="B27" s="14" t="s">
        <v>5162</v>
      </c>
    </row>
    <row r="28" customFormat="false" ht="32.8" hidden="false" customHeight="false" outlineLevel="0" collapsed="false">
      <c r="A28" s="14" t="s">
        <v>5163</v>
      </c>
      <c r="B28" s="14" t="s">
        <v>5164</v>
      </c>
    </row>
    <row r="29" customFormat="false" ht="22.35" hidden="false" customHeight="false" outlineLevel="0" collapsed="false">
      <c r="A29" s="14" t="s">
        <v>5165</v>
      </c>
      <c r="B29" s="14" t="s">
        <v>5166</v>
      </c>
    </row>
    <row r="30" customFormat="false" ht="74.6" hidden="false" customHeight="false" outlineLevel="0" collapsed="false">
      <c r="A30" s="14" t="s">
        <v>5167</v>
      </c>
      <c r="B30" s="14" t="s">
        <v>5168</v>
      </c>
    </row>
    <row r="31" customFormat="false" ht="32.8" hidden="false" customHeight="false" outlineLevel="0" collapsed="false">
      <c r="A31" s="14" t="s">
        <v>5169</v>
      </c>
      <c r="B31" s="14" t="s">
        <v>5170</v>
      </c>
    </row>
    <row r="33" customFormat="false" ht="15" hidden="false" customHeight="false" outlineLevel="0" collapsed="false">
      <c r="A33" s="3" t="s">
        <v>5171</v>
      </c>
    </row>
    <row r="34" customFormat="false" ht="15" hidden="false" customHeight="false" outlineLevel="0" collapsed="false">
      <c r="A34" s="47" t="s">
        <v>5172</v>
      </c>
      <c r="B34" s="47" t="s">
        <v>5173</v>
      </c>
      <c r="C34" s="47" t="s">
        <v>5174</v>
      </c>
      <c r="D34" s="47" t="s">
        <v>5175</v>
      </c>
    </row>
    <row r="35" customFormat="false" ht="15" hidden="false" customHeight="false" outlineLevel="0" collapsed="false">
      <c r="A35" s="36" t="s">
        <v>5176</v>
      </c>
      <c r="B35" s="48" t="n">
        <v>6.276</v>
      </c>
      <c r="C35" s="48" t="n">
        <v>4.284</v>
      </c>
      <c r="D35" s="49" t="n">
        <f aca="false">B35/$B$35</f>
        <v>1</v>
      </c>
    </row>
    <row r="36" customFormat="false" ht="15" hidden="false" customHeight="false" outlineLevel="0" collapsed="false">
      <c r="A36" s="36" t="s">
        <v>5177</v>
      </c>
      <c r="B36" s="48" t="n">
        <v>5.984</v>
      </c>
      <c r="C36" s="48"/>
      <c r="D36" s="49" t="n">
        <f aca="false">B36/$B$35</f>
        <v>0.953473550031868</v>
      </c>
    </row>
    <row r="37" customFormat="false" ht="15" hidden="false" customHeight="false" outlineLevel="0" collapsed="false">
      <c r="A37" s="36" t="s">
        <v>5178</v>
      </c>
      <c r="B37" s="48" t="n">
        <v>6.47</v>
      </c>
      <c r="C37" s="48"/>
      <c r="D37" s="49" t="n">
        <f aca="false">B37/$B$35</f>
        <v>1.03091140854047</v>
      </c>
    </row>
    <row r="38" customFormat="false" ht="15" hidden="false" customHeight="false" outlineLevel="0" collapsed="false">
      <c r="A38" s="36" t="s">
        <v>5179</v>
      </c>
      <c r="B38" s="48" t="n">
        <v>6.508</v>
      </c>
      <c r="C38" s="48"/>
      <c r="D38" s="49" t="n">
        <f aca="false">B38/$B$35</f>
        <v>1.03696622052263</v>
      </c>
    </row>
    <row r="39" customFormat="false" ht="15" hidden="false" customHeight="false" outlineLevel="0" collapsed="false">
      <c r="A39" s="36" t="s">
        <v>5180</v>
      </c>
      <c r="B39" s="48" t="n">
        <v>5.74</v>
      </c>
      <c r="C39" s="48" t="n">
        <v>3.86</v>
      </c>
      <c r="D39" s="49" t="n">
        <f aca="false">B39/$B$35</f>
        <v>0.91459528362014</v>
      </c>
    </row>
    <row r="40" customFormat="false" ht="15" hidden="false" customHeight="false" outlineLevel="0" collapsed="false">
      <c r="A40" s="36" t="s">
        <v>5181</v>
      </c>
      <c r="B40" s="48" t="n">
        <v>6.352</v>
      </c>
      <c r="C40" s="48"/>
      <c r="D40" s="49" t="n">
        <f aca="false">B40/$B$35</f>
        <v>1.01210962396431</v>
      </c>
    </row>
    <row r="41" customFormat="false" ht="15" hidden="false" customHeight="false" outlineLevel="0" collapsed="false">
      <c r="A41" s="36" t="s">
        <v>5182</v>
      </c>
      <c r="B41" s="48" t="n">
        <v>5.903</v>
      </c>
      <c r="C41" s="48" t="n">
        <v>3.784</v>
      </c>
      <c r="D41" s="49" t="n">
        <f aca="false">B41/$B$35</f>
        <v>0.940567240280433</v>
      </c>
    </row>
    <row r="42" customFormat="false" ht="15" hidden="false" customHeight="false" outlineLevel="0" collapsed="false">
      <c r="A42" s="36" t="s">
        <v>5183</v>
      </c>
      <c r="B42" s="48" t="n">
        <v>6.422</v>
      </c>
      <c r="C42" s="48"/>
      <c r="D42" s="49" t="n">
        <f aca="false">B42/$B$35</f>
        <v>1.02326322498407</v>
      </c>
    </row>
    <row r="43" customFormat="false" ht="15" hidden="false" customHeight="false" outlineLevel="0" collapsed="false">
      <c r="A43" s="36" t="s">
        <v>5184</v>
      </c>
      <c r="B43" s="48" t="n">
        <v>7.394</v>
      </c>
      <c r="C43" s="48"/>
      <c r="D43" s="49" t="n">
        <f aca="false">B43/$B$35</f>
        <v>1.17813894200127</v>
      </c>
    </row>
    <row r="44" customFormat="false" ht="15" hidden="false" customHeight="false" outlineLevel="0" collapsed="false">
      <c r="A44" s="36" t="s">
        <v>5185</v>
      </c>
      <c r="B44" s="48" t="n">
        <v>6.659</v>
      </c>
      <c r="C44" s="48"/>
      <c r="D44" s="49" t="n">
        <f aca="false">B44/$B$35</f>
        <v>1.06102613129382</v>
      </c>
    </row>
    <row r="45" customFormat="false" ht="15" hidden="false" customHeight="false" outlineLevel="0" collapsed="false">
      <c r="A45" s="36" t="s">
        <v>5186</v>
      </c>
      <c r="B45" s="48" t="n">
        <v>8.242</v>
      </c>
      <c r="C45" s="48" t="n">
        <v>6.031</v>
      </c>
      <c r="D45" s="49" t="n">
        <f aca="false">B45/$B$35</f>
        <v>1.31325685149777</v>
      </c>
    </row>
    <row r="47" customFormat="false" ht="15" hidden="false" customHeight="false" outlineLevel="0" collapsed="false">
      <c r="A47" s="36" t="s">
        <v>5187</v>
      </c>
      <c r="B47" s="50" t="n">
        <f aca="false">MAX(B35:B45)-MIN(B35:B45)</f>
        <v>2.502</v>
      </c>
    </row>
    <row r="48" customFormat="false" ht="15" hidden="false" customHeight="false" outlineLevel="0" collapsed="false">
      <c r="A48" s="28" t="s">
        <v>5188</v>
      </c>
    </row>
    <row r="49" customFormat="false" ht="15" hidden="false" customHeight="false" outlineLevel="0" collapsed="false">
      <c r="A49" s="28" t="s">
        <v>5189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0"/>
    <col collapsed="false" customWidth="true" hidden="false" outlineLevel="0" max="4" min="3" style="0" width="26"/>
    <col collapsed="false" customWidth="true" hidden="false" outlineLevel="0" max="5" min="5" style="0" width="70"/>
    <col collapsed="false" customWidth="true" hidden="false" outlineLevel="0" max="6" min="6" style="0" width="60"/>
  </cols>
  <sheetData>
    <row r="1" customFormat="false" ht="30" hidden="false" customHeight="true" outlineLevel="0" collapsed="false">
      <c r="A1" s="10" t="s">
        <v>5190</v>
      </c>
      <c r="B1" s="10" t="s">
        <v>5191</v>
      </c>
      <c r="C1" s="10" t="s">
        <v>5192</v>
      </c>
      <c r="D1" s="10" t="s">
        <v>5193</v>
      </c>
      <c r="E1" s="10" t="s">
        <v>5194</v>
      </c>
      <c r="F1" s="10" t="s">
        <v>5195</v>
      </c>
    </row>
    <row r="2" customFormat="false" ht="15" hidden="false" customHeight="false" outlineLevel="0" collapsed="false">
      <c r="A2" s="13" t="s">
        <v>5196</v>
      </c>
      <c r="B2" s="14" t="s">
        <v>5197</v>
      </c>
      <c r="C2" s="13" t="s">
        <v>3586</v>
      </c>
      <c r="D2" s="13" t="s">
        <v>5198</v>
      </c>
      <c r="E2" s="51" t="s">
        <v>5199</v>
      </c>
      <c r="F2" s="14" t="s">
        <v>5200</v>
      </c>
    </row>
    <row r="3" customFormat="false" ht="15" hidden="false" customHeight="false" outlineLevel="0" collapsed="false">
      <c r="A3" s="13" t="s">
        <v>5201</v>
      </c>
      <c r="B3" s="14" t="s">
        <v>5202</v>
      </c>
      <c r="C3" s="13" t="s">
        <v>3586</v>
      </c>
      <c r="D3" s="13" t="s">
        <v>260</v>
      </c>
      <c r="E3" s="51" t="s">
        <v>5203</v>
      </c>
      <c r="F3" s="14" t="s">
        <v>5204</v>
      </c>
    </row>
    <row r="4" customFormat="false" ht="15" hidden="false" customHeight="false" outlineLevel="0" collapsed="false">
      <c r="A4" s="13" t="s">
        <v>5205</v>
      </c>
      <c r="B4" s="14" t="s">
        <v>5206</v>
      </c>
      <c r="C4" s="13" t="s">
        <v>5207</v>
      </c>
      <c r="D4" s="13" t="s">
        <v>5208</v>
      </c>
      <c r="E4" s="51" t="s">
        <v>5209</v>
      </c>
      <c r="F4" s="14" t="s">
        <v>5210</v>
      </c>
    </row>
    <row r="5" customFormat="false" ht="22.35" hidden="false" customHeight="false" outlineLevel="0" collapsed="false">
      <c r="A5" s="13" t="s">
        <v>4909</v>
      </c>
      <c r="B5" s="14" t="s">
        <v>5211</v>
      </c>
      <c r="C5" s="13" t="s">
        <v>5212</v>
      </c>
      <c r="D5" s="13" t="s">
        <v>5213</v>
      </c>
      <c r="E5" s="51" t="s">
        <v>5214</v>
      </c>
      <c r="F5" s="14" t="s">
        <v>5215</v>
      </c>
    </row>
    <row r="6" customFormat="false" ht="15" hidden="false" customHeight="false" outlineLevel="0" collapsed="false">
      <c r="A6" s="13" t="s">
        <v>5216</v>
      </c>
      <c r="B6" s="14" t="s">
        <v>5217</v>
      </c>
      <c r="C6" s="13" t="s">
        <v>5218</v>
      </c>
      <c r="D6" s="13" t="s">
        <v>5219</v>
      </c>
      <c r="E6" s="51" t="s">
        <v>5220</v>
      </c>
      <c r="F6" s="14" t="s">
        <v>5221</v>
      </c>
    </row>
    <row r="7" customFormat="false" ht="15" hidden="false" customHeight="false" outlineLevel="0" collapsed="false">
      <c r="A7" s="13" t="s">
        <v>5222</v>
      </c>
      <c r="B7" s="14" t="s">
        <v>5223</v>
      </c>
      <c r="C7" s="13" t="s">
        <v>5218</v>
      </c>
      <c r="D7" s="13" t="s">
        <v>5224</v>
      </c>
      <c r="E7" s="51" t="s">
        <v>5225</v>
      </c>
      <c r="F7" s="14" t="s">
        <v>5226</v>
      </c>
    </row>
    <row r="8" customFormat="false" ht="15" hidden="false" customHeight="false" outlineLevel="0" collapsed="false">
      <c r="A8" s="13" t="s">
        <v>5227</v>
      </c>
      <c r="B8" s="14" t="s">
        <v>5228</v>
      </c>
      <c r="C8" s="13" t="s">
        <v>5218</v>
      </c>
      <c r="D8" s="13" t="s">
        <v>5229</v>
      </c>
      <c r="E8" s="51" t="s">
        <v>5230</v>
      </c>
      <c r="F8" s="14" t="s">
        <v>5231</v>
      </c>
    </row>
    <row r="9" customFormat="false" ht="15" hidden="false" customHeight="false" outlineLevel="0" collapsed="false">
      <c r="A9" s="13" t="s">
        <v>4919</v>
      </c>
      <c r="B9" s="14" t="s">
        <v>5232</v>
      </c>
      <c r="C9" s="13" t="s">
        <v>5233</v>
      </c>
      <c r="D9" s="13" t="s">
        <v>5234</v>
      </c>
      <c r="E9" s="51" t="s">
        <v>5235</v>
      </c>
      <c r="F9" s="14" t="s">
        <v>5236</v>
      </c>
    </row>
    <row r="10" customFormat="false" ht="15" hidden="false" customHeight="false" outlineLevel="0" collapsed="false">
      <c r="A10" s="13" t="s">
        <v>5237</v>
      </c>
      <c r="B10" s="14" t="s">
        <v>5238</v>
      </c>
      <c r="C10" s="13" t="s">
        <v>5239</v>
      </c>
      <c r="D10" s="13" t="s">
        <v>5240</v>
      </c>
      <c r="E10" s="51" t="s">
        <v>5241</v>
      </c>
      <c r="F10" s="14" t="s">
        <v>5242</v>
      </c>
    </row>
    <row r="11" customFormat="false" ht="15" hidden="false" customHeight="false" outlineLevel="0" collapsed="false">
      <c r="A11" s="13" t="s">
        <v>5243</v>
      </c>
      <c r="B11" s="14" t="s">
        <v>5244</v>
      </c>
      <c r="C11" s="13" t="s">
        <v>5239</v>
      </c>
      <c r="D11" s="13" t="s">
        <v>5245</v>
      </c>
      <c r="E11" s="51" t="s">
        <v>5246</v>
      </c>
      <c r="F11" s="14" t="s">
        <v>5247</v>
      </c>
    </row>
    <row r="12" customFormat="false" ht="15" hidden="false" customHeight="false" outlineLevel="0" collapsed="false">
      <c r="A12" s="13" t="s">
        <v>5248</v>
      </c>
      <c r="B12" s="14" t="s">
        <v>5249</v>
      </c>
      <c r="C12" s="13" t="s">
        <v>5250</v>
      </c>
      <c r="D12" s="13" t="s">
        <v>5251</v>
      </c>
      <c r="E12" s="51" t="s">
        <v>5252</v>
      </c>
      <c r="F12" s="14" t="s">
        <v>5253</v>
      </c>
    </row>
    <row r="13" customFormat="false" ht="15" hidden="false" customHeight="false" outlineLevel="0" collapsed="false">
      <c r="A13" s="13" t="s">
        <v>5254</v>
      </c>
      <c r="B13" s="14" t="s">
        <v>5255</v>
      </c>
      <c r="C13" s="13" t="s">
        <v>5250</v>
      </c>
      <c r="D13" s="13" t="s">
        <v>5256</v>
      </c>
      <c r="E13" s="51" t="s">
        <v>5257</v>
      </c>
      <c r="F13" s="14" t="s">
        <v>5258</v>
      </c>
    </row>
    <row r="14" customFormat="false" ht="15" hidden="false" customHeight="false" outlineLevel="0" collapsed="false">
      <c r="A14" s="13" t="s">
        <v>5259</v>
      </c>
      <c r="B14" s="14" t="s">
        <v>5260</v>
      </c>
      <c r="C14" s="13" t="s">
        <v>5261</v>
      </c>
      <c r="D14" s="13" t="s">
        <v>5208</v>
      </c>
      <c r="E14" s="51" t="s">
        <v>5262</v>
      </c>
      <c r="F14" s="14" t="s">
        <v>5263</v>
      </c>
    </row>
    <row r="15" customFormat="false" ht="15" hidden="false" customHeight="false" outlineLevel="0" collapsed="false">
      <c r="A15" s="13" t="s">
        <v>4116</v>
      </c>
      <c r="B15" s="14" t="s">
        <v>5264</v>
      </c>
      <c r="C15" s="13" t="s">
        <v>5261</v>
      </c>
      <c r="D15" s="13" t="s">
        <v>5208</v>
      </c>
      <c r="E15" s="51" t="s">
        <v>5265</v>
      </c>
      <c r="F15" s="14" t="s">
        <v>5266</v>
      </c>
    </row>
    <row r="16" customFormat="false" ht="15" hidden="false" customHeight="false" outlineLevel="0" collapsed="false">
      <c r="A16" s="13" t="s">
        <v>5267</v>
      </c>
      <c r="B16" s="14" t="s">
        <v>5268</v>
      </c>
      <c r="C16" s="13" t="s">
        <v>5261</v>
      </c>
      <c r="D16" s="13" t="s">
        <v>5269</v>
      </c>
      <c r="E16" s="51" t="s">
        <v>5270</v>
      </c>
      <c r="F16" s="14" t="s">
        <v>5271</v>
      </c>
    </row>
    <row r="17" customFormat="false" ht="15" hidden="false" customHeight="false" outlineLevel="0" collapsed="false">
      <c r="A17" s="13" t="s">
        <v>5272</v>
      </c>
      <c r="B17" s="14" t="s">
        <v>5273</v>
      </c>
      <c r="C17" s="13" t="s">
        <v>5261</v>
      </c>
      <c r="D17" s="13" t="s">
        <v>5274</v>
      </c>
      <c r="E17" s="51" t="s">
        <v>5275</v>
      </c>
      <c r="F17" s="14" t="s">
        <v>5276</v>
      </c>
    </row>
    <row r="18" customFormat="false" ht="15" hidden="false" customHeight="false" outlineLevel="0" collapsed="false">
      <c r="A18" s="13" t="s">
        <v>259</v>
      </c>
      <c r="B18" s="14" t="s">
        <v>5277</v>
      </c>
      <c r="C18" s="13" t="s">
        <v>5278</v>
      </c>
      <c r="D18" s="13" t="s">
        <v>5279</v>
      </c>
      <c r="E18" s="51" t="s">
        <v>5280</v>
      </c>
      <c r="F18" s="14" t="s">
        <v>5281</v>
      </c>
    </row>
    <row r="19" customFormat="false" ht="15" hidden="false" customHeight="false" outlineLevel="0" collapsed="false">
      <c r="A19" s="13" t="s">
        <v>1001</v>
      </c>
      <c r="B19" s="14" t="s">
        <v>5282</v>
      </c>
      <c r="C19" s="13" t="s">
        <v>5283</v>
      </c>
      <c r="D19" s="13" t="s">
        <v>1002</v>
      </c>
      <c r="E19" s="51" t="s">
        <v>5284</v>
      </c>
      <c r="F19" s="14" t="s">
        <v>5285</v>
      </c>
    </row>
    <row r="20" customFormat="false" ht="15" hidden="false" customHeight="false" outlineLevel="0" collapsed="false">
      <c r="A20" s="13" t="s">
        <v>722</v>
      </c>
      <c r="B20" s="14" t="s">
        <v>5286</v>
      </c>
      <c r="C20" s="13" t="s">
        <v>5287</v>
      </c>
      <c r="D20" s="13" t="s">
        <v>723</v>
      </c>
      <c r="E20" s="51" t="s">
        <v>5288</v>
      </c>
      <c r="F20" s="14" t="s">
        <v>5289</v>
      </c>
    </row>
    <row r="21" customFormat="false" ht="15" hidden="false" customHeight="false" outlineLevel="0" collapsed="false">
      <c r="A21" s="13" t="s">
        <v>764</v>
      </c>
      <c r="B21" s="14" t="s">
        <v>5290</v>
      </c>
      <c r="C21" s="13" t="s">
        <v>5291</v>
      </c>
      <c r="D21" s="13" t="s">
        <v>765</v>
      </c>
      <c r="E21" s="51" t="s">
        <v>5292</v>
      </c>
      <c r="F21" s="14" t="s">
        <v>5293</v>
      </c>
    </row>
    <row r="22" customFormat="false" ht="15" hidden="false" customHeight="false" outlineLevel="0" collapsed="false">
      <c r="A22" s="13" t="s">
        <v>1755</v>
      </c>
      <c r="B22" s="14" t="s">
        <v>5294</v>
      </c>
      <c r="C22" s="13" t="s">
        <v>5295</v>
      </c>
      <c r="D22" s="13" t="s">
        <v>5296</v>
      </c>
      <c r="E22" s="51" t="s">
        <v>5297</v>
      </c>
      <c r="F22" s="14" t="s">
        <v>5293</v>
      </c>
    </row>
    <row r="23" customFormat="false" ht="15" hidden="false" customHeight="false" outlineLevel="0" collapsed="false">
      <c r="A23" s="13" t="s">
        <v>450</v>
      </c>
      <c r="B23" s="14" t="s">
        <v>5298</v>
      </c>
      <c r="C23" s="13" t="s">
        <v>5299</v>
      </c>
      <c r="D23" s="13" t="s">
        <v>5300</v>
      </c>
      <c r="E23" s="51" t="s">
        <v>5301</v>
      </c>
      <c r="F23" s="14" t="s">
        <v>5293</v>
      </c>
    </row>
    <row r="24" customFormat="false" ht="15" hidden="false" customHeight="false" outlineLevel="0" collapsed="false">
      <c r="A24" s="13" t="s">
        <v>5008</v>
      </c>
      <c r="B24" s="14" t="s">
        <v>5302</v>
      </c>
      <c r="C24" s="13" t="s">
        <v>5303</v>
      </c>
      <c r="D24" s="13" t="s">
        <v>5009</v>
      </c>
      <c r="E24" s="51" t="s">
        <v>5304</v>
      </c>
      <c r="F24" s="14" t="s">
        <v>5305</v>
      </c>
    </row>
    <row r="25" customFormat="false" ht="15" hidden="false" customHeight="false" outlineLevel="0" collapsed="false">
      <c r="A25" s="13" t="s">
        <v>4093</v>
      </c>
      <c r="B25" s="14" t="s">
        <v>5306</v>
      </c>
      <c r="C25" s="13" t="s">
        <v>5303</v>
      </c>
      <c r="D25" s="13" t="s">
        <v>5009</v>
      </c>
      <c r="E25" s="51" t="s">
        <v>5307</v>
      </c>
      <c r="F25" s="14" t="s">
        <v>5308</v>
      </c>
    </row>
    <row r="26" customFormat="false" ht="15" hidden="false" customHeight="false" outlineLevel="0" collapsed="false">
      <c r="A26" s="13" t="s">
        <v>5309</v>
      </c>
      <c r="B26" s="14" t="s">
        <v>5310</v>
      </c>
      <c r="C26" s="13" t="s">
        <v>5303</v>
      </c>
      <c r="D26" s="13" t="s">
        <v>5009</v>
      </c>
      <c r="E26" s="51" t="s">
        <v>5311</v>
      </c>
      <c r="F26" s="14" t="s">
        <v>5312</v>
      </c>
    </row>
    <row r="27" customFormat="false" ht="15" hidden="false" customHeight="false" outlineLevel="0" collapsed="false">
      <c r="A27" s="13" t="s">
        <v>5313</v>
      </c>
      <c r="B27" s="14" t="s">
        <v>5314</v>
      </c>
      <c r="C27" s="13" t="s">
        <v>5303</v>
      </c>
      <c r="D27" s="13" t="s">
        <v>5315</v>
      </c>
      <c r="E27" s="51" t="s">
        <v>5316</v>
      </c>
      <c r="F27" s="14" t="s">
        <v>5317</v>
      </c>
    </row>
    <row r="28" customFormat="false" ht="15" hidden="false" customHeight="false" outlineLevel="0" collapsed="false">
      <c r="A28" s="13" t="s">
        <v>5026</v>
      </c>
      <c r="B28" s="14" t="s">
        <v>5318</v>
      </c>
      <c r="C28" s="13" t="s">
        <v>5303</v>
      </c>
      <c r="D28" s="13" t="s">
        <v>5009</v>
      </c>
      <c r="E28" s="51" t="s">
        <v>5319</v>
      </c>
      <c r="F28" s="14" t="s">
        <v>5320</v>
      </c>
    </row>
    <row r="29" customFormat="false" ht="15" hidden="false" customHeight="false" outlineLevel="0" collapsed="false">
      <c r="A29" s="13" t="s">
        <v>5031</v>
      </c>
      <c r="B29" s="14" t="s">
        <v>5321</v>
      </c>
      <c r="C29" s="13" t="s">
        <v>5303</v>
      </c>
      <c r="D29" s="13" t="s">
        <v>5009</v>
      </c>
      <c r="E29" s="51" t="s">
        <v>5322</v>
      </c>
      <c r="F29" s="14" t="s">
        <v>5323</v>
      </c>
    </row>
    <row r="30" customFormat="false" ht="15" hidden="false" customHeight="false" outlineLevel="0" collapsed="false">
      <c r="A30" s="13" t="s">
        <v>3091</v>
      </c>
      <c r="B30" s="14" t="s">
        <v>5324</v>
      </c>
      <c r="C30" s="13" t="s">
        <v>5325</v>
      </c>
      <c r="D30" s="13" t="s">
        <v>3092</v>
      </c>
      <c r="E30" s="51" t="s">
        <v>5326</v>
      </c>
      <c r="F30" s="14" t="s">
        <v>5327</v>
      </c>
    </row>
    <row r="31" customFormat="false" ht="15" hidden="false" customHeight="false" outlineLevel="0" collapsed="false">
      <c r="A31" s="13" t="s">
        <v>5020</v>
      </c>
      <c r="B31" s="14" t="s">
        <v>5328</v>
      </c>
      <c r="C31" s="13" t="s">
        <v>5329</v>
      </c>
      <c r="D31" s="13" t="s">
        <v>5330</v>
      </c>
      <c r="E31" s="51" t="s">
        <v>5331</v>
      </c>
      <c r="F31" s="14" t="s">
        <v>5332</v>
      </c>
    </row>
    <row r="32" customFormat="false" ht="15" hidden="false" customHeight="false" outlineLevel="0" collapsed="false">
      <c r="A32" s="13" t="s">
        <v>2352</v>
      </c>
      <c r="B32" s="14" t="s">
        <v>5333</v>
      </c>
      <c r="C32" s="13" t="s">
        <v>5334</v>
      </c>
      <c r="D32" s="13" t="s">
        <v>260</v>
      </c>
      <c r="E32" s="51" t="s">
        <v>5335</v>
      </c>
      <c r="F32" s="14" t="s">
        <v>5336</v>
      </c>
    </row>
    <row r="33" customFormat="false" ht="15" hidden="false" customHeight="false" outlineLevel="0" collapsed="false">
      <c r="A33" s="13" t="s">
        <v>5337</v>
      </c>
      <c r="B33" s="14" t="s">
        <v>5338</v>
      </c>
      <c r="C33" s="13" t="s">
        <v>5339</v>
      </c>
      <c r="D33" s="13" t="s">
        <v>5340</v>
      </c>
      <c r="E33" s="51" t="s">
        <v>5341</v>
      </c>
      <c r="F33" s="14" t="s">
        <v>5342</v>
      </c>
    </row>
    <row r="34" customFormat="false" ht="15" hidden="false" customHeight="false" outlineLevel="0" collapsed="false">
      <c r="A34" s="13" t="s">
        <v>2414</v>
      </c>
      <c r="B34" s="14" t="s">
        <v>5343</v>
      </c>
      <c r="C34" s="13" t="s">
        <v>2414</v>
      </c>
      <c r="D34" s="13" t="s">
        <v>2415</v>
      </c>
      <c r="E34" s="51" t="s">
        <v>5344</v>
      </c>
      <c r="F34" s="14" t="s">
        <v>5345</v>
      </c>
    </row>
    <row r="35" customFormat="false" ht="15" hidden="false" customHeight="false" outlineLevel="0" collapsed="false">
      <c r="A35" s="13" t="s">
        <v>2453</v>
      </c>
      <c r="B35" s="14" t="s">
        <v>5346</v>
      </c>
      <c r="C35" s="13" t="s">
        <v>5347</v>
      </c>
      <c r="D35" s="13" t="s">
        <v>2454</v>
      </c>
      <c r="E35" s="51" t="s">
        <v>5348</v>
      </c>
      <c r="F35" s="14" t="s">
        <v>5349</v>
      </c>
    </row>
    <row r="36" customFormat="false" ht="15" hidden="false" customHeight="false" outlineLevel="0" collapsed="false">
      <c r="A36" s="13" t="s">
        <v>1695</v>
      </c>
      <c r="B36" s="14" t="s">
        <v>5350</v>
      </c>
      <c r="C36" s="13" t="s">
        <v>5351</v>
      </c>
      <c r="D36" s="13" t="s">
        <v>5300</v>
      </c>
      <c r="E36" s="51" t="s">
        <v>5352</v>
      </c>
      <c r="F36" s="14" t="s">
        <v>5353</v>
      </c>
    </row>
    <row r="37" customFormat="false" ht="15" hidden="false" customHeight="false" outlineLevel="0" collapsed="false">
      <c r="A37" s="13" t="s">
        <v>5354</v>
      </c>
      <c r="B37" s="14" t="s">
        <v>5355</v>
      </c>
      <c r="C37" s="13" t="s">
        <v>5356</v>
      </c>
      <c r="D37" s="13" t="s">
        <v>5357</v>
      </c>
      <c r="E37" s="51" t="s">
        <v>5358</v>
      </c>
      <c r="F37" s="14" t="s">
        <v>5359</v>
      </c>
    </row>
    <row r="38" customFormat="false" ht="15" hidden="false" customHeight="false" outlineLevel="0" collapsed="false">
      <c r="A38" s="13" t="s">
        <v>1057</v>
      </c>
      <c r="B38" s="14" t="s">
        <v>5360</v>
      </c>
      <c r="C38" s="13" t="s">
        <v>5361</v>
      </c>
      <c r="D38" s="13" t="s">
        <v>5362</v>
      </c>
      <c r="E38" s="51" t="s">
        <v>5363</v>
      </c>
      <c r="F38" s="14" t="s">
        <v>5364</v>
      </c>
    </row>
    <row r="39" customFormat="false" ht="15" hidden="false" customHeight="false" outlineLevel="0" collapsed="false">
      <c r="A39" s="13" t="s">
        <v>5365</v>
      </c>
      <c r="B39" s="14" t="s">
        <v>5366</v>
      </c>
      <c r="C39" s="13" t="s">
        <v>5367</v>
      </c>
      <c r="D39" s="13" t="s">
        <v>5368</v>
      </c>
      <c r="E39" s="51" t="s">
        <v>5369</v>
      </c>
      <c r="F39" s="14" t="s">
        <v>5370</v>
      </c>
    </row>
    <row r="40" customFormat="false" ht="15" hidden="false" customHeight="false" outlineLevel="0" collapsed="false">
      <c r="A40" s="13" t="s">
        <v>3565</v>
      </c>
      <c r="B40" s="14" t="s">
        <v>5371</v>
      </c>
      <c r="C40" s="13" t="s">
        <v>5372</v>
      </c>
      <c r="D40" s="13" t="s">
        <v>3566</v>
      </c>
      <c r="E40" s="51" t="s">
        <v>5373</v>
      </c>
      <c r="F40" s="14" t="s">
        <v>5374</v>
      </c>
    </row>
    <row r="41" customFormat="false" ht="15" hidden="false" customHeight="false" outlineLevel="0" collapsed="false">
      <c r="A41" s="13" t="s">
        <v>3607</v>
      </c>
      <c r="B41" s="14" t="s">
        <v>5375</v>
      </c>
      <c r="C41" s="13" t="s">
        <v>5376</v>
      </c>
      <c r="D41" s="13" t="s">
        <v>3608</v>
      </c>
      <c r="E41" s="51" t="s">
        <v>5377</v>
      </c>
      <c r="F41" s="14" t="s">
        <v>5378</v>
      </c>
    </row>
    <row r="42" customFormat="false" ht="15" hidden="false" customHeight="false" outlineLevel="0" collapsed="false">
      <c r="A42" s="13" t="s">
        <v>3616</v>
      </c>
      <c r="B42" s="14" t="s">
        <v>5379</v>
      </c>
      <c r="C42" s="13" t="s">
        <v>5372</v>
      </c>
      <c r="D42" s="13" t="s">
        <v>3617</v>
      </c>
      <c r="E42" s="51" t="s">
        <v>5380</v>
      </c>
      <c r="F42" s="14" t="s">
        <v>5381</v>
      </c>
    </row>
    <row r="43" customFormat="false" ht="15" hidden="false" customHeight="false" outlineLevel="0" collapsed="false">
      <c r="A43" s="13" t="s">
        <v>5036</v>
      </c>
      <c r="B43" s="14" t="s">
        <v>5382</v>
      </c>
      <c r="C43" s="13" t="s">
        <v>5383</v>
      </c>
      <c r="D43" s="13" t="s">
        <v>5384</v>
      </c>
      <c r="E43" s="51" t="s">
        <v>5385</v>
      </c>
      <c r="F43" s="14" t="s">
        <v>5386</v>
      </c>
    </row>
    <row r="44" customFormat="false" ht="15" hidden="false" customHeight="false" outlineLevel="0" collapsed="false">
      <c r="A44" s="13" t="s">
        <v>5387</v>
      </c>
      <c r="B44" s="14" t="s">
        <v>5388</v>
      </c>
      <c r="C44" s="13" t="s">
        <v>5389</v>
      </c>
      <c r="D44" s="13" t="s">
        <v>5390</v>
      </c>
      <c r="E44" s="51" t="s">
        <v>5391</v>
      </c>
      <c r="F44" s="14" t="s">
        <v>5392</v>
      </c>
    </row>
    <row r="45" customFormat="false" ht="15" hidden="false" customHeight="false" outlineLevel="0" collapsed="false">
      <c r="A45" s="13" t="s">
        <v>5074</v>
      </c>
      <c r="B45" s="14" t="s">
        <v>5393</v>
      </c>
      <c r="C45" s="13" t="s">
        <v>5394</v>
      </c>
      <c r="D45" s="13" t="s">
        <v>5208</v>
      </c>
      <c r="E45" s="51" t="s">
        <v>5395</v>
      </c>
      <c r="F45" s="14" t="s">
        <v>5396</v>
      </c>
    </row>
    <row r="46" customFormat="false" ht="15" hidden="false" customHeight="false" outlineLevel="0" collapsed="false">
      <c r="A46" s="13" t="s">
        <v>1853</v>
      </c>
      <c r="B46" s="14" t="s">
        <v>5397</v>
      </c>
      <c r="C46" s="13" t="s">
        <v>5398</v>
      </c>
      <c r="D46" s="13" t="s">
        <v>5399</v>
      </c>
      <c r="E46" s="51" t="s">
        <v>5400</v>
      </c>
      <c r="F46" s="14" t="s">
        <v>5401</v>
      </c>
    </row>
    <row r="47" customFormat="false" ht="15" hidden="false" customHeight="false" outlineLevel="0" collapsed="false">
      <c r="A47" s="13" t="s">
        <v>5402</v>
      </c>
      <c r="B47" s="14" t="s">
        <v>5403</v>
      </c>
      <c r="C47" s="13" t="s">
        <v>5404</v>
      </c>
      <c r="D47" s="13" t="s">
        <v>5405</v>
      </c>
      <c r="E47" s="51" t="s">
        <v>5406</v>
      </c>
      <c r="F47" s="14" t="s">
        <v>5407</v>
      </c>
    </row>
    <row r="48" customFormat="false" ht="15" hidden="false" customHeight="false" outlineLevel="0" collapsed="false">
      <c r="A48" s="13" t="s">
        <v>5408</v>
      </c>
      <c r="B48" s="14" t="s">
        <v>5409</v>
      </c>
      <c r="C48" s="13" t="s">
        <v>5347</v>
      </c>
      <c r="D48" s="13" t="s">
        <v>5410</v>
      </c>
      <c r="E48" s="51" t="s">
        <v>5411</v>
      </c>
      <c r="F48" s="14" t="s">
        <v>5412</v>
      </c>
    </row>
    <row r="49" customFormat="false" ht="15" hidden="false" customHeight="false" outlineLevel="0" collapsed="false">
      <c r="A49" s="13" t="s">
        <v>5413</v>
      </c>
      <c r="B49" s="14" t="s">
        <v>5414</v>
      </c>
      <c r="C49" s="13" t="s">
        <v>5347</v>
      </c>
      <c r="D49" s="13" t="s">
        <v>5410</v>
      </c>
      <c r="E49" s="51" t="s">
        <v>5415</v>
      </c>
      <c r="F49" s="14" t="s">
        <v>5416</v>
      </c>
    </row>
    <row r="50" customFormat="false" ht="15" hidden="false" customHeight="false" outlineLevel="0" collapsed="false">
      <c r="A50" s="13" t="s">
        <v>2068</v>
      </c>
      <c r="B50" s="14" t="s">
        <v>5417</v>
      </c>
      <c r="C50" s="13" t="s">
        <v>5418</v>
      </c>
      <c r="D50" s="13" t="s">
        <v>5419</v>
      </c>
      <c r="E50" s="51" t="s">
        <v>5420</v>
      </c>
      <c r="F50" s="14" t="s">
        <v>5421</v>
      </c>
    </row>
    <row r="51" customFormat="false" ht="15" hidden="false" customHeight="false" outlineLevel="0" collapsed="false">
      <c r="A51" s="13" t="s">
        <v>5422</v>
      </c>
      <c r="B51" s="14" t="s">
        <v>5423</v>
      </c>
      <c r="C51" s="13" t="s">
        <v>5424</v>
      </c>
      <c r="D51" s="13" t="s">
        <v>5208</v>
      </c>
      <c r="E51" s="51" t="s">
        <v>5425</v>
      </c>
      <c r="F51" s="14" t="s">
        <v>5426</v>
      </c>
    </row>
    <row r="52" customFormat="false" ht="15" hidden="false" customHeight="false" outlineLevel="0" collapsed="false">
      <c r="A52" s="13" t="s">
        <v>5427</v>
      </c>
      <c r="B52" s="14" t="s">
        <v>5428</v>
      </c>
      <c r="C52" s="13" t="s">
        <v>5429</v>
      </c>
      <c r="D52" s="13" t="s">
        <v>5208</v>
      </c>
      <c r="E52" s="51" t="s">
        <v>5430</v>
      </c>
      <c r="F52" s="14" t="s">
        <v>5431</v>
      </c>
    </row>
    <row r="53" customFormat="false" ht="15" hidden="false" customHeight="false" outlineLevel="0" collapsed="false">
      <c r="A53" s="13" t="s">
        <v>5432</v>
      </c>
      <c r="B53" s="14" t="s">
        <v>5433</v>
      </c>
      <c r="C53" s="13" t="s">
        <v>5434</v>
      </c>
      <c r="D53" s="13" t="s">
        <v>5435</v>
      </c>
      <c r="E53" s="51" t="s">
        <v>5436</v>
      </c>
      <c r="F53" s="14" t="s">
        <v>5437</v>
      </c>
    </row>
    <row r="54" customFormat="false" ht="15" hidden="false" customHeight="false" outlineLevel="0" collapsed="false">
      <c r="A54" s="13" t="s">
        <v>5438</v>
      </c>
      <c r="B54" s="14" t="s">
        <v>5439</v>
      </c>
      <c r="C54" s="13" t="s">
        <v>5434</v>
      </c>
      <c r="D54" s="13" t="s">
        <v>5208</v>
      </c>
      <c r="E54" s="51" t="s">
        <v>5440</v>
      </c>
      <c r="F54" s="14" t="s">
        <v>5441</v>
      </c>
    </row>
    <row r="55" customFormat="false" ht="15" hidden="false" customHeight="false" outlineLevel="0" collapsed="false">
      <c r="A55" s="13" t="s">
        <v>3742</v>
      </c>
      <c r="B55" s="14" t="s">
        <v>5442</v>
      </c>
      <c r="C55" s="13" t="s">
        <v>5443</v>
      </c>
      <c r="D55" s="13" t="s">
        <v>5444</v>
      </c>
      <c r="E55" s="51" t="s">
        <v>5445</v>
      </c>
      <c r="F55" s="14" t="s">
        <v>5446</v>
      </c>
    </row>
    <row r="56" customFormat="false" ht="15" hidden="false" customHeight="false" outlineLevel="0" collapsed="false">
      <c r="A56" s="13" t="s">
        <v>4718</v>
      </c>
      <c r="B56" s="14" t="s">
        <v>5447</v>
      </c>
      <c r="C56" s="13" t="s">
        <v>5443</v>
      </c>
      <c r="D56" s="13" t="s">
        <v>5444</v>
      </c>
      <c r="E56" s="51" t="s">
        <v>5448</v>
      </c>
      <c r="F56" s="14" t="s">
        <v>5449</v>
      </c>
    </row>
    <row r="57" customFormat="false" ht="15" hidden="false" customHeight="false" outlineLevel="0" collapsed="false">
      <c r="A57" s="13" t="s">
        <v>4884</v>
      </c>
      <c r="B57" s="14" t="s">
        <v>5450</v>
      </c>
      <c r="C57" s="13" t="s">
        <v>5443</v>
      </c>
      <c r="D57" s="13" t="s">
        <v>5444</v>
      </c>
      <c r="E57" s="51" t="s">
        <v>5451</v>
      </c>
      <c r="F57" s="14" t="s">
        <v>5452</v>
      </c>
    </row>
    <row r="58" customFormat="false" ht="15" hidden="false" customHeight="false" outlineLevel="0" collapsed="false">
      <c r="A58" s="13" t="s">
        <v>4771</v>
      </c>
      <c r="B58" s="14" t="s">
        <v>5453</v>
      </c>
      <c r="C58" s="13" t="s">
        <v>5454</v>
      </c>
      <c r="D58" s="13" t="s">
        <v>5208</v>
      </c>
      <c r="E58" s="51" t="s">
        <v>5455</v>
      </c>
      <c r="F58" s="14" t="s">
        <v>5456</v>
      </c>
    </row>
    <row r="59" customFormat="false" ht="15" hidden="false" customHeight="false" outlineLevel="0" collapsed="false">
      <c r="A59" s="13" t="s">
        <v>4713</v>
      </c>
      <c r="B59" s="14" t="s">
        <v>5457</v>
      </c>
      <c r="C59" s="13" t="s">
        <v>5458</v>
      </c>
      <c r="D59" s="13" t="s">
        <v>5208</v>
      </c>
      <c r="E59" s="51" t="s">
        <v>5459</v>
      </c>
      <c r="F59" s="14" t="s">
        <v>5460</v>
      </c>
    </row>
    <row r="60" customFormat="false" ht="15" hidden="false" customHeight="false" outlineLevel="0" collapsed="false">
      <c r="A60" s="13" t="s">
        <v>5461</v>
      </c>
      <c r="B60" s="14" t="s">
        <v>5462</v>
      </c>
      <c r="C60" s="13" t="s">
        <v>5458</v>
      </c>
      <c r="D60" s="13" t="s">
        <v>5208</v>
      </c>
      <c r="E60" s="51" t="s">
        <v>5463</v>
      </c>
      <c r="F60" s="14" t="s">
        <v>5464</v>
      </c>
    </row>
    <row r="61" customFormat="false" ht="15" hidden="false" customHeight="false" outlineLevel="0" collapsed="false">
      <c r="A61" s="13" t="s">
        <v>4792</v>
      </c>
      <c r="B61" s="14" t="s">
        <v>5465</v>
      </c>
      <c r="C61" s="13" t="s">
        <v>5458</v>
      </c>
      <c r="D61" s="13" t="s">
        <v>5208</v>
      </c>
      <c r="E61" s="51" t="s">
        <v>5466</v>
      </c>
      <c r="F61" s="14" t="s">
        <v>5467</v>
      </c>
    </row>
    <row r="62" customFormat="false" ht="15" hidden="false" customHeight="false" outlineLevel="0" collapsed="false">
      <c r="A62" s="13" t="s">
        <v>4818</v>
      </c>
      <c r="B62" s="14" t="s">
        <v>5468</v>
      </c>
      <c r="C62" s="13" t="s">
        <v>5458</v>
      </c>
      <c r="D62" s="13" t="s">
        <v>5208</v>
      </c>
      <c r="E62" s="51" t="s">
        <v>5469</v>
      </c>
      <c r="F62" s="14" t="s">
        <v>5470</v>
      </c>
    </row>
    <row r="63" customFormat="false" ht="15" hidden="false" customHeight="false" outlineLevel="0" collapsed="false">
      <c r="A63" s="13" t="s">
        <v>4829</v>
      </c>
      <c r="B63" s="14" t="s">
        <v>5471</v>
      </c>
      <c r="C63" s="13" t="s">
        <v>5458</v>
      </c>
      <c r="D63" s="13" t="s">
        <v>5208</v>
      </c>
      <c r="E63" s="51" t="s">
        <v>5472</v>
      </c>
      <c r="F63" s="14" t="s">
        <v>5473</v>
      </c>
    </row>
    <row r="64" customFormat="false" ht="15" hidden="false" customHeight="false" outlineLevel="0" collapsed="false">
      <c r="A64" s="13" t="s">
        <v>5474</v>
      </c>
      <c r="B64" s="14" t="s">
        <v>5475</v>
      </c>
      <c r="C64" s="13" t="s">
        <v>5458</v>
      </c>
      <c r="D64" s="13" t="s">
        <v>5208</v>
      </c>
      <c r="E64" s="51" t="s">
        <v>5476</v>
      </c>
      <c r="F64" s="14" t="s">
        <v>5477</v>
      </c>
    </row>
    <row r="65" customFormat="false" ht="15" hidden="false" customHeight="false" outlineLevel="0" collapsed="false">
      <c r="A65" s="13" t="s">
        <v>4847</v>
      </c>
      <c r="B65" s="14" t="s">
        <v>5478</v>
      </c>
      <c r="C65" s="13" t="s">
        <v>5458</v>
      </c>
      <c r="D65" s="13" t="s">
        <v>5208</v>
      </c>
      <c r="E65" s="51" t="s">
        <v>5479</v>
      </c>
      <c r="F65" s="14" t="s">
        <v>5480</v>
      </c>
    </row>
    <row r="66" customFormat="false" ht="15" hidden="false" customHeight="false" outlineLevel="0" collapsed="false">
      <c r="A66" s="13" t="s">
        <v>5481</v>
      </c>
      <c r="B66" s="14" t="s">
        <v>5482</v>
      </c>
      <c r="C66" s="13" t="s">
        <v>5458</v>
      </c>
      <c r="D66" s="13" t="s">
        <v>5208</v>
      </c>
      <c r="E66" s="51" t="s">
        <v>5483</v>
      </c>
      <c r="F66" s="14" t="s">
        <v>5484</v>
      </c>
    </row>
    <row r="67" customFormat="false" ht="15" hidden="false" customHeight="false" outlineLevel="0" collapsed="false">
      <c r="A67" s="13" t="s">
        <v>4729</v>
      </c>
      <c r="B67" s="14" t="s">
        <v>5485</v>
      </c>
      <c r="C67" s="13" t="s">
        <v>5239</v>
      </c>
      <c r="D67" s="13" t="s">
        <v>5208</v>
      </c>
      <c r="E67" s="51" t="s">
        <v>5486</v>
      </c>
      <c r="F67" s="14" t="s">
        <v>5487</v>
      </c>
    </row>
    <row r="68" customFormat="false" ht="15" hidden="false" customHeight="false" outlineLevel="0" collapsed="false">
      <c r="A68" s="13" t="s">
        <v>4823</v>
      </c>
      <c r="B68" s="14" t="s">
        <v>5488</v>
      </c>
      <c r="C68" s="13" t="s">
        <v>5239</v>
      </c>
      <c r="D68" s="13" t="s">
        <v>5208</v>
      </c>
      <c r="E68" s="51" t="s">
        <v>5489</v>
      </c>
      <c r="F68" s="14" t="s">
        <v>5490</v>
      </c>
    </row>
    <row r="69" customFormat="false" ht="15" hidden="false" customHeight="false" outlineLevel="0" collapsed="false">
      <c r="A69" s="13" t="s">
        <v>3875</v>
      </c>
      <c r="B69" s="14" t="s">
        <v>5491</v>
      </c>
      <c r="C69" s="13" t="s">
        <v>5239</v>
      </c>
      <c r="D69" s="13" t="s">
        <v>5208</v>
      </c>
      <c r="E69" s="51" t="s">
        <v>5492</v>
      </c>
      <c r="F69" s="14" t="s">
        <v>5493</v>
      </c>
    </row>
    <row r="70" customFormat="false" ht="15" hidden="false" customHeight="false" outlineLevel="0" collapsed="false">
      <c r="A70" s="13" t="s">
        <v>4826</v>
      </c>
      <c r="B70" s="14" t="s">
        <v>5494</v>
      </c>
      <c r="C70" s="13" t="s">
        <v>5495</v>
      </c>
      <c r="D70" s="13" t="s">
        <v>5208</v>
      </c>
      <c r="E70" s="51" t="s">
        <v>5496</v>
      </c>
      <c r="F70" s="14" t="s">
        <v>5497</v>
      </c>
    </row>
    <row r="71" customFormat="false" ht="15" hidden="false" customHeight="false" outlineLevel="0" collapsed="false">
      <c r="A71" s="13" t="s">
        <v>5498</v>
      </c>
      <c r="B71" s="14" t="s">
        <v>5499</v>
      </c>
      <c r="C71" s="13" t="s">
        <v>5500</v>
      </c>
      <c r="D71" s="13" t="s">
        <v>5208</v>
      </c>
      <c r="E71" s="51" t="s">
        <v>5501</v>
      </c>
      <c r="F71" s="14" t="s">
        <v>5502</v>
      </c>
    </row>
    <row r="72" customFormat="false" ht="15" hidden="false" customHeight="false" outlineLevel="0" collapsed="false">
      <c r="A72" s="13" t="s">
        <v>4862</v>
      </c>
      <c r="B72" s="14" t="s">
        <v>5503</v>
      </c>
      <c r="C72" s="13" t="s">
        <v>5504</v>
      </c>
      <c r="D72" s="13" t="s">
        <v>5208</v>
      </c>
      <c r="E72" s="51" t="s">
        <v>5505</v>
      </c>
      <c r="F72" s="14" t="s">
        <v>5506</v>
      </c>
    </row>
    <row r="73" customFormat="false" ht="15" hidden="false" customHeight="false" outlineLevel="0" collapsed="false">
      <c r="A73" s="13" t="s">
        <v>5507</v>
      </c>
      <c r="B73" s="14" t="s">
        <v>5508</v>
      </c>
      <c r="C73" s="13" t="s">
        <v>5509</v>
      </c>
      <c r="D73" s="13" t="s">
        <v>5208</v>
      </c>
      <c r="E73" s="51" t="s">
        <v>5510</v>
      </c>
      <c r="F73" s="14" t="s">
        <v>5511</v>
      </c>
    </row>
    <row r="74" customFormat="false" ht="15" hidden="false" customHeight="false" outlineLevel="0" collapsed="false">
      <c r="A74" s="13" t="s">
        <v>5512</v>
      </c>
      <c r="B74" s="14" t="s">
        <v>5513</v>
      </c>
      <c r="C74" s="13" t="s">
        <v>5514</v>
      </c>
      <c r="D74" s="13" t="s">
        <v>5208</v>
      </c>
      <c r="E74" s="51" t="s">
        <v>5515</v>
      </c>
      <c r="F74" s="14" t="s">
        <v>5516</v>
      </c>
    </row>
    <row r="75" customFormat="false" ht="15" hidden="false" customHeight="false" outlineLevel="0" collapsed="false">
      <c r="A75" s="13" t="s">
        <v>3920</v>
      </c>
      <c r="B75" s="14" t="s">
        <v>5517</v>
      </c>
      <c r="C75" s="13" t="s">
        <v>5518</v>
      </c>
      <c r="D75" s="13" t="s">
        <v>5208</v>
      </c>
      <c r="E75" s="51" t="s">
        <v>5519</v>
      </c>
      <c r="F75" s="14" t="s">
        <v>5520</v>
      </c>
    </row>
    <row r="76" customFormat="false" ht="15" hidden="false" customHeight="false" outlineLevel="0" collapsed="false">
      <c r="A76" s="13" t="s">
        <v>4758</v>
      </c>
      <c r="B76" s="14" t="s">
        <v>5521</v>
      </c>
      <c r="C76" s="13" t="s">
        <v>5522</v>
      </c>
      <c r="D76" s="13" t="s">
        <v>5208</v>
      </c>
      <c r="E76" s="51" t="s">
        <v>5523</v>
      </c>
      <c r="F76" s="14" t="s">
        <v>5524</v>
      </c>
    </row>
    <row r="77" customFormat="false" ht="15" hidden="false" customHeight="false" outlineLevel="0" collapsed="false">
      <c r="A77" s="13" t="s">
        <v>4705</v>
      </c>
      <c r="B77" s="14" t="s">
        <v>5525</v>
      </c>
      <c r="C77" s="13" t="s">
        <v>5526</v>
      </c>
      <c r="D77" s="13" t="s">
        <v>5208</v>
      </c>
      <c r="E77" s="51" t="s">
        <v>5527</v>
      </c>
      <c r="F77" s="14" t="s">
        <v>5528</v>
      </c>
    </row>
    <row r="78" customFormat="false" ht="15" hidden="false" customHeight="false" outlineLevel="0" collapsed="false">
      <c r="A78" s="13" t="s">
        <v>4076</v>
      </c>
      <c r="B78" s="14" t="s">
        <v>5529</v>
      </c>
      <c r="C78" s="13" t="s">
        <v>5530</v>
      </c>
      <c r="D78" s="13" t="s">
        <v>5531</v>
      </c>
      <c r="E78" s="51" t="s">
        <v>5532</v>
      </c>
      <c r="F78" s="14" t="s">
        <v>5533</v>
      </c>
    </row>
    <row r="79" customFormat="false" ht="15" hidden="false" customHeight="false" outlineLevel="0" collapsed="false">
      <c r="A79" s="13" t="s">
        <v>3964</v>
      </c>
      <c r="B79" s="14" t="s">
        <v>5534</v>
      </c>
      <c r="C79" s="13" t="s">
        <v>5535</v>
      </c>
      <c r="D79" s="13" t="s">
        <v>5536</v>
      </c>
      <c r="E79" s="51" t="s">
        <v>5537</v>
      </c>
      <c r="F79" s="14" t="s">
        <v>5538</v>
      </c>
    </row>
    <row r="80" customFormat="false" ht="15" hidden="false" customHeight="false" outlineLevel="0" collapsed="false">
      <c r="A80" s="13" t="s">
        <v>3977</v>
      </c>
      <c r="B80" s="14" t="s">
        <v>5539</v>
      </c>
      <c r="C80" s="13" t="s">
        <v>3977</v>
      </c>
      <c r="D80" s="13" t="s">
        <v>5540</v>
      </c>
      <c r="E80" s="51" t="s">
        <v>5541</v>
      </c>
      <c r="F80" s="14" t="s">
        <v>5542</v>
      </c>
    </row>
    <row r="81" customFormat="false" ht="15" hidden="false" customHeight="false" outlineLevel="0" collapsed="false">
      <c r="A81" s="13" t="s">
        <v>4070</v>
      </c>
      <c r="B81" s="14" t="s">
        <v>5543</v>
      </c>
      <c r="C81" s="13" t="s">
        <v>4070</v>
      </c>
      <c r="D81" s="13" t="s">
        <v>5544</v>
      </c>
      <c r="E81" s="51" t="s">
        <v>5545</v>
      </c>
      <c r="F81" s="14" t="s">
        <v>5546</v>
      </c>
    </row>
    <row r="82" customFormat="false" ht="15" hidden="false" customHeight="false" outlineLevel="0" collapsed="false">
      <c r="A82" s="13" t="s">
        <v>5547</v>
      </c>
      <c r="B82" s="14" t="s">
        <v>5548</v>
      </c>
      <c r="C82" s="13" t="s">
        <v>5549</v>
      </c>
      <c r="D82" s="13" t="s">
        <v>5208</v>
      </c>
      <c r="E82" s="51" t="s">
        <v>5550</v>
      </c>
      <c r="F82" s="14" t="s">
        <v>5551</v>
      </c>
    </row>
    <row r="83" customFormat="false" ht="15" hidden="false" customHeight="false" outlineLevel="0" collapsed="false">
      <c r="A83" s="13" t="s">
        <v>3959</v>
      </c>
      <c r="B83" s="14" t="s">
        <v>5552</v>
      </c>
      <c r="C83" s="13" t="s">
        <v>5553</v>
      </c>
      <c r="D83" s="13" t="s">
        <v>260</v>
      </c>
      <c r="E83" s="51" t="s">
        <v>5554</v>
      </c>
      <c r="F83" s="14" t="s">
        <v>5555</v>
      </c>
    </row>
    <row r="84" customFormat="false" ht="15" hidden="false" customHeight="false" outlineLevel="0" collapsed="false">
      <c r="A84" s="13" t="s">
        <v>5556</v>
      </c>
      <c r="B84" s="14" t="s">
        <v>5557</v>
      </c>
      <c r="C84" s="13" t="s">
        <v>5558</v>
      </c>
      <c r="D84" s="13" t="s">
        <v>5208</v>
      </c>
      <c r="E84" s="51" t="s">
        <v>5559</v>
      </c>
      <c r="F84" s="14" t="s">
        <v>5560</v>
      </c>
    </row>
    <row r="85" customFormat="false" ht="15" hidden="false" customHeight="false" outlineLevel="0" collapsed="false">
      <c r="A85" s="13" t="s">
        <v>3951</v>
      </c>
      <c r="B85" s="14" t="s">
        <v>5561</v>
      </c>
      <c r="C85" s="13" t="s">
        <v>5239</v>
      </c>
      <c r="D85" s="13" t="s">
        <v>5208</v>
      </c>
      <c r="E85" s="51" t="s">
        <v>5562</v>
      </c>
      <c r="F85" s="14" t="s">
        <v>5563</v>
      </c>
    </row>
    <row r="86" customFormat="false" ht="15" hidden="false" customHeight="false" outlineLevel="0" collapsed="false">
      <c r="A86" s="13" t="s">
        <v>3987</v>
      </c>
      <c r="B86" s="14" t="s">
        <v>5564</v>
      </c>
      <c r="C86" s="13" t="s">
        <v>5565</v>
      </c>
      <c r="D86" s="13" t="s">
        <v>5208</v>
      </c>
      <c r="E86" s="51" t="s">
        <v>5566</v>
      </c>
      <c r="F86" s="14" t="s">
        <v>5567</v>
      </c>
    </row>
    <row r="87" customFormat="false" ht="15" hidden="false" customHeight="false" outlineLevel="0" collapsed="false">
      <c r="A87" s="13" t="s">
        <v>5568</v>
      </c>
      <c r="B87" s="14" t="s">
        <v>5569</v>
      </c>
      <c r="C87" s="13" t="s">
        <v>5570</v>
      </c>
      <c r="D87" s="13" t="s">
        <v>5208</v>
      </c>
      <c r="E87" s="51" t="s">
        <v>5571</v>
      </c>
      <c r="F87" s="14" t="s">
        <v>5572</v>
      </c>
    </row>
    <row r="88" customFormat="false" ht="15" hidden="false" customHeight="false" outlineLevel="0" collapsed="false">
      <c r="A88" s="13" t="s">
        <v>3996</v>
      </c>
      <c r="B88" s="14" t="s">
        <v>5573</v>
      </c>
      <c r="C88" s="13" t="s">
        <v>5574</v>
      </c>
      <c r="D88" s="13" t="s">
        <v>5575</v>
      </c>
      <c r="E88" s="51" t="s">
        <v>5576</v>
      </c>
      <c r="F88" s="14" t="s">
        <v>5577</v>
      </c>
    </row>
    <row r="89" customFormat="false" ht="15" hidden="false" customHeight="false" outlineLevel="0" collapsed="false">
      <c r="A89" s="13" t="s">
        <v>4033</v>
      </c>
      <c r="B89" s="14" t="s">
        <v>5578</v>
      </c>
      <c r="C89" s="13" t="s">
        <v>5579</v>
      </c>
      <c r="D89" s="13" t="s">
        <v>5208</v>
      </c>
      <c r="E89" s="51" t="s">
        <v>5580</v>
      </c>
      <c r="F89" s="14" t="s">
        <v>5581</v>
      </c>
    </row>
    <row r="90" customFormat="false" ht="15" hidden="false" customHeight="false" outlineLevel="0" collapsed="false">
      <c r="A90" s="13" t="s">
        <v>5582</v>
      </c>
      <c r="B90" s="14" t="s">
        <v>5583</v>
      </c>
      <c r="C90" s="13" t="s">
        <v>5579</v>
      </c>
      <c r="D90" s="13" t="s">
        <v>5208</v>
      </c>
      <c r="E90" s="51" t="s">
        <v>5584</v>
      </c>
      <c r="F90" s="14" t="s">
        <v>5585</v>
      </c>
    </row>
    <row r="91" customFormat="false" ht="15" hidden="false" customHeight="false" outlineLevel="0" collapsed="false">
      <c r="A91" s="13" t="s">
        <v>4045</v>
      </c>
      <c r="B91" s="14" t="s">
        <v>5586</v>
      </c>
      <c r="C91" s="13" t="s">
        <v>5587</v>
      </c>
      <c r="D91" s="13" t="s">
        <v>5588</v>
      </c>
      <c r="E91" s="51" t="s">
        <v>5589</v>
      </c>
      <c r="F91" s="14" t="s">
        <v>5590</v>
      </c>
    </row>
    <row r="92" customFormat="false" ht="15" hidden="false" customHeight="false" outlineLevel="0" collapsed="false">
      <c r="A92" s="13" t="s">
        <v>4039</v>
      </c>
      <c r="B92" s="14" t="s">
        <v>5591</v>
      </c>
      <c r="C92" s="13" t="s">
        <v>5592</v>
      </c>
      <c r="D92" s="13" t="s">
        <v>5593</v>
      </c>
      <c r="E92" s="51" t="s">
        <v>5594</v>
      </c>
      <c r="F92" s="14" t="s">
        <v>5595</v>
      </c>
    </row>
    <row r="93" customFormat="false" ht="15" hidden="false" customHeight="false" outlineLevel="0" collapsed="false">
      <c r="A93" s="13" t="s">
        <v>4084</v>
      </c>
      <c r="B93" s="14" t="s">
        <v>5596</v>
      </c>
      <c r="C93" s="13" t="s">
        <v>5597</v>
      </c>
      <c r="D93" s="13" t="s">
        <v>5208</v>
      </c>
      <c r="E93" s="51" t="s">
        <v>5598</v>
      </c>
      <c r="F93" s="14" t="s">
        <v>5599</v>
      </c>
    </row>
    <row r="94" customFormat="false" ht="15" hidden="false" customHeight="false" outlineLevel="0" collapsed="false">
      <c r="A94" s="13" t="s">
        <v>4983</v>
      </c>
      <c r="B94" s="14" t="s">
        <v>5600</v>
      </c>
      <c r="C94" s="13" t="s">
        <v>5601</v>
      </c>
      <c r="D94" s="13" t="s">
        <v>5602</v>
      </c>
      <c r="E94" s="51" t="s">
        <v>5603</v>
      </c>
      <c r="F94" s="14" t="s">
        <v>5604</v>
      </c>
    </row>
    <row r="95" customFormat="false" ht="15" hidden="false" customHeight="false" outlineLevel="0" collapsed="false">
      <c r="A95" s="13" t="s">
        <v>5605</v>
      </c>
      <c r="B95" s="14" t="s">
        <v>5606</v>
      </c>
      <c r="C95" s="13" t="s">
        <v>5607</v>
      </c>
      <c r="D95" s="13" t="s">
        <v>5608</v>
      </c>
      <c r="E95" s="51" t="s">
        <v>5609</v>
      </c>
      <c r="F95" s="14" t="s">
        <v>5610</v>
      </c>
    </row>
    <row r="96" customFormat="false" ht="15" hidden="false" customHeight="false" outlineLevel="0" collapsed="false">
      <c r="A96" s="13" t="s">
        <v>5611</v>
      </c>
      <c r="B96" s="14" t="s">
        <v>5612</v>
      </c>
      <c r="C96" s="13" t="s">
        <v>5607</v>
      </c>
      <c r="D96" s="13" t="s">
        <v>5608</v>
      </c>
      <c r="E96" s="51" t="s">
        <v>5613</v>
      </c>
      <c r="F96" s="14" t="s">
        <v>5614</v>
      </c>
    </row>
    <row r="97" customFormat="false" ht="15" hidden="false" customHeight="false" outlineLevel="0" collapsed="false">
      <c r="A97" s="13" t="s">
        <v>5615</v>
      </c>
      <c r="B97" s="14" t="s">
        <v>5616</v>
      </c>
      <c r="C97" s="13" t="s">
        <v>5607</v>
      </c>
      <c r="D97" s="13" t="s">
        <v>5617</v>
      </c>
      <c r="E97" s="51" t="s">
        <v>5618</v>
      </c>
      <c r="F97" s="14" t="s">
        <v>5619</v>
      </c>
    </row>
    <row r="98" customFormat="false" ht="15" hidden="false" customHeight="false" outlineLevel="0" collapsed="false">
      <c r="A98" s="13" t="s">
        <v>5620</v>
      </c>
      <c r="B98" s="14" t="s">
        <v>5621</v>
      </c>
      <c r="C98" s="13" t="s">
        <v>5622</v>
      </c>
      <c r="D98" s="13" t="s">
        <v>5623</v>
      </c>
      <c r="E98" s="51" t="s">
        <v>5624</v>
      </c>
      <c r="F98" s="14" t="s">
        <v>5625</v>
      </c>
    </row>
    <row r="99" customFormat="false" ht="15" hidden="false" customHeight="false" outlineLevel="0" collapsed="false">
      <c r="A99" s="13" t="s">
        <v>4994</v>
      </c>
      <c r="B99" s="14" t="s">
        <v>5626</v>
      </c>
      <c r="C99" s="13" t="s">
        <v>5627</v>
      </c>
      <c r="D99" s="13" t="s">
        <v>5208</v>
      </c>
      <c r="E99" s="51" t="s">
        <v>5628</v>
      </c>
      <c r="F99" s="14" t="s">
        <v>5629</v>
      </c>
    </row>
    <row r="100" customFormat="false" ht="15" hidden="false" customHeight="false" outlineLevel="0" collapsed="false">
      <c r="A100" s="13" t="s">
        <v>4978</v>
      </c>
      <c r="B100" s="14" t="s">
        <v>5630</v>
      </c>
      <c r="C100" s="13" t="s">
        <v>5631</v>
      </c>
      <c r="D100" s="13" t="s">
        <v>5632</v>
      </c>
      <c r="E100" s="51" t="s">
        <v>5633</v>
      </c>
      <c r="F100" s="14" t="s">
        <v>5634</v>
      </c>
    </row>
    <row r="101" customFormat="false" ht="15" hidden="false" customHeight="false" outlineLevel="0" collapsed="false">
      <c r="A101" s="13" t="s">
        <v>4999</v>
      </c>
      <c r="B101" s="14" t="s">
        <v>5635</v>
      </c>
      <c r="C101" s="13" t="s">
        <v>5636</v>
      </c>
      <c r="D101" s="13" t="s">
        <v>5208</v>
      </c>
      <c r="E101" s="51" t="s">
        <v>5637</v>
      </c>
      <c r="F101" s="14" t="s">
        <v>5638</v>
      </c>
    </row>
    <row r="102" customFormat="false" ht="15" hidden="false" customHeight="false" outlineLevel="0" collapsed="false">
      <c r="A102" s="13" t="s">
        <v>5639</v>
      </c>
      <c r="B102" s="14" t="s">
        <v>5640</v>
      </c>
      <c r="C102" s="13" t="s">
        <v>5218</v>
      </c>
      <c r="D102" s="13" t="s">
        <v>5641</v>
      </c>
      <c r="E102" s="51" t="s">
        <v>5642</v>
      </c>
      <c r="F102" s="14" t="s">
        <v>5643</v>
      </c>
    </row>
    <row r="103" customFormat="false" ht="15" hidden="false" customHeight="false" outlineLevel="0" collapsed="false">
      <c r="A103" s="13" t="s">
        <v>5644</v>
      </c>
      <c r="B103" s="14" t="s">
        <v>5645</v>
      </c>
      <c r="C103" s="13" t="s">
        <v>5646</v>
      </c>
      <c r="D103" s="13" t="s">
        <v>260</v>
      </c>
      <c r="E103" s="51" t="s">
        <v>5647</v>
      </c>
      <c r="F103" s="14" t="s">
        <v>5648</v>
      </c>
    </row>
    <row r="104" customFormat="false" ht="15" hidden="false" customHeight="false" outlineLevel="0" collapsed="false">
      <c r="A104" s="13" t="s">
        <v>5649</v>
      </c>
      <c r="B104" s="14" t="s">
        <v>5650</v>
      </c>
      <c r="C104" s="13" t="s">
        <v>5651</v>
      </c>
      <c r="D104" s="13" t="s">
        <v>5208</v>
      </c>
      <c r="E104" s="51" t="s">
        <v>5652</v>
      </c>
      <c r="F104" s="14" t="s">
        <v>5653</v>
      </c>
    </row>
    <row r="105" customFormat="false" ht="15" hidden="false" customHeight="false" outlineLevel="0" collapsed="false">
      <c r="A105" s="13" t="s">
        <v>5654</v>
      </c>
      <c r="B105" s="14" t="s">
        <v>5655</v>
      </c>
      <c r="C105" s="13" t="s">
        <v>5656</v>
      </c>
      <c r="D105" s="13" t="s">
        <v>5208</v>
      </c>
      <c r="E105" s="51" t="s">
        <v>5657</v>
      </c>
      <c r="F105" s="14" t="s">
        <v>5658</v>
      </c>
    </row>
    <row r="106" customFormat="false" ht="22.35" hidden="false" customHeight="false" outlineLevel="0" collapsed="false">
      <c r="A106" s="13" t="s">
        <v>4875</v>
      </c>
      <c r="B106" s="14" t="s">
        <v>5659</v>
      </c>
      <c r="C106" s="13" t="s">
        <v>5660</v>
      </c>
      <c r="D106" s="13" t="s">
        <v>5208</v>
      </c>
      <c r="E106" s="51" t="s">
        <v>5661</v>
      </c>
      <c r="F106" s="14" t="s">
        <v>5662</v>
      </c>
    </row>
    <row r="107" customFormat="false" ht="15" hidden="false" customHeight="false" outlineLevel="0" collapsed="false">
      <c r="A107" s="13" t="s">
        <v>5663</v>
      </c>
      <c r="B107" s="14" t="s">
        <v>5664</v>
      </c>
      <c r="C107" s="13" t="s">
        <v>5239</v>
      </c>
      <c r="D107" s="13" t="s">
        <v>5208</v>
      </c>
      <c r="E107" s="51" t="s">
        <v>5665</v>
      </c>
      <c r="F107" s="14" t="s">
        <v>5666</v>
      </c>
    </row>
    <row r="108" customFormat="false" ht="15" hidden="false" customHeight="false" outlineLevel="0" collapsed="false">
      <c r="A108" s="13" t="s">
        <v>5667</v>
      </c>
      <c r="B108" s="14" t="s">
        <v>5668</v>
      </c>
      <c r="C108" s="13" t="s">
        <v>5669</v>
      </c>
      <c r="D108" s="13" t="s">
        <v>5208</v>
      </c>
      <c r="E108" s="51" t="s">
        <v>5670</v>
      </c>
      <c r="F108" s="14" t="s">
        <v>5671</v>
      </c>
    </row>
    <row r="109" customFormat="false" ht="22.35" hidden="false" customHeight="false" outlineLevel="0" collapsed="false">
      <c r="A109" s="13" t="s">
        <v>5672</v>
      </c>
      <c r="B109" s="14" t="s">
        <v>5673</v>
      </c>
      <c r="C109" s="13" t="s">
        <v>5394</v>
      </c>
      <c r="D109" s="13" t="s">
        <v>5208</v>
      </c>
      <c r="E109" s="51" t="s">
        <v>5674</v>
      </c>
      <c r="F109" s="14" t="s">
        <v>5675</v>
      </c>
    </row>
    <row r="110" customFormat="false" ht="15" hidden="false" customHeight="false" outlineLevel="0" collapsed="false">
      <c r="A110" s="13" t="s">
        <v>5676</v>
      </c>
      <c r="B110" s="14" t="s">
        <v>5677</v>
      </c>
      <c r="C110" s="13" t="s">
        <v>5678</v>
      </c>
      <c r="D110" s="13" t="s">
        <v>5208</v>
      </c>
      <c r="E110" s="51" t="s">
        <v>5679</v>
      </c>
      <c r="F110" s="14" t="s">
        <v>5680</v>
      </c>
    </row>
    <row r="111" customFormat="false" ht="15" hidden="false" customHeight="false" outlineLevel="0" collapsed="false">
      <c r="A111" s="13" t="s">
        <v>5681</v>
      </c>
      <c r="B111" s="14" t="s">
        <v>5682</v>
      </c>
      <c r="C111" s="13" t="s">
        <v>5683</v>
      </c>
      <c r="D111" s="13" t="s">
        <v>5208</v>
      </c>
      <c r="E111" s="51" t="s">
        <v>5684</v>
      </c>
      <c r="F111" s="14" t="s">
        <v>5685</v>
      </c>
    </row>
    <row r="112" customFormat="false" ht="15" hidden="false" customHeight="false" outlineLevel="0" collapsed="false">
      <c r="A112" s="13" t="s">
        <v>5686</v>
      </c>
      <c r="B112" s="14" t="s">
        <v>5687</v>
      </c>
      <c r="C112" s="13" t="s">
        <v>5688</v>
      </c>
      <c r="D112" s="13" t="s">
        <v>5208</v>
      </c>
      <c r="E112" s="51" t="s">
        <v>5689</v>
      </c>
      <c r="F112" s="14" t="s">
        <v>5690</v>
      </c>
    </row>
    <row r="113" customFormat="false" ht="15" hidden="false" customHeight="false" outlineLevel="0" collapsed="false">
      <c r="A113" s="13" t="s">
        <v>5691</v>
      </c>
      <c r="B113" s="14" t="s">
        <v>5692</v>
      </c>
      <c r="C113" s="13" t="s">
        <v>5693</v>
      </c>
      <c r="D113" s="13" t="s">
        <v>5208</v>
      </c>
      <c r="E113" s="51" t="s">
        <v>5694</v>
      </c>
      <c r="F113" s="14" t="s">
        <v>5695</v>
      </c>
    </row>
    <row r="114" customFormat="false" ht="15" hidden="false" customHeight="false" outlineLevel="0" collapsed="false">
      <c r="A114" s="13" t="s">
        <v>5696</v>
      </c>
      <c r="B114" s="14" t="s">
        <v>5697</v>
      </c>
      <c r="C114" s="13" t="s">
        <v>5698</v>
      </c>
      <c r="D114" s="13" t="s">
        <v>5208</v>
      </c>
      <c r="E114" s="51" t="s">
        <v>5699</v>
      </c>
      <c r="F114" s="14" t="s">
        <v>5700</v>
      </c>
    </row>
    <row r="115" customFormat="false" ht="15" hidden="false" customHeight="false" outlineLevel="0" collapsed="false">
      <c r="A115" s="13" t="s">
        <v>5701</v>
      </c>
      <c r="B115" s="14" t="s">
        <v>5702</v>
      </c>
      <c r="C115" s="13" t="s">
        <v>5703</v>
      </c>
      <c r="D115" s="13" t="s">
        <v>5208</v>
      </c>
      <c r="E115" s="51" t="s">
        <v>5704</v>
      </c>
      <c r="F115" s="14" t="s">
        <v>5705</v>
      </c>
    </row>
    <row r="116" customFormat="false" ht="15" hidden="false" customHeight="false" outlineLevel="0" collapsed="false">
      <c r="A116" s="13" t="s">
        <v>5706</v>
      </c>
      <c r="B116" s="14" t="s">
        <v>5707</v>
      </c>
      <c r="C116" s="13" t="s">
        <v>5708</v>
      </c>
      <c r="D116" s="13" t="s">
        <v>5208</v>
      </c>
      <c r="E116" s="51" t="s">
        <v>5709</v>
      </c>
      <c r="F116" s="14" t="s">
        <v>5710</v>
      </c>
    </row>
    <row r="117" customFormat="false" ht="15" hidden="false" customHeight="false" outlineLevel="0" collapsed="false">
      <c r="A117" s="13" t="s">
        <v>5711</v>
      </c>
      <c r="B117" s="14" t="s">
        <v>5712</v>
      </c>
      <c r="C117" s="13" t="s">
        <v>5713</v>
      </c>
      <c r="D117" s="13" t="s">
        <v>5009</v>
      </c>
      <c r="E117" s="51" t="s">
        <v>5714</v>
      </c>
      <c r="F117" s="14" t="s">
        <v>5715</v>
      </c>
    </row>
    <row r="118" customFormat="false" ht="15" hidden="false" customHeight="false" outlineLevel="0" collapsed="false">
      <c r="A118" s="13" t="s">
        <v>5016</v>
      </c>
      <c r="B118" s="14" t="s">
        <v>5716</v>
      </c>
      <c r="C118" s="13" t="s">
        <v>5717</v>
      </c>
      <c r="D118" s="13" t="s">
        <v>5718</v>
      </c>
      <c r="E118" s="51" t="s">
        <v>5719</v>
      </c>
      <c r="F118" s="14" t="s">
        <v>5720</v>
      </c>
    </row>
    <row r="119" customFormat="false" ht="15" hidden="false" customHeight="false" outlineLevel="0" collapsed="false">
      <c r="A119" s="13" t="s">
        <v>5721</v>
      </c>
      <c r="B119" s="14" t="s">
        <v>5722</v>
      </c>
      <c r="C119" s="13" t="s">
        <v>5549</v>
      </c>
      <c r="D119" s="13" t="s">
        <v>5723</v>
      </c>
      <c r="E119" s="51" t="s">
        <v>5724</v>
      </c>
      <c r="F119" s="14" t="s">
        <v>5725</v>
      </c>
    </row>
    <row r="120" customFormat="false" ht="15" hidden="false" customHeight="false" outlineLevel="0" collapsed="false">
      <c r="A120" s="13" t="s">
        <v>5130</v>
      </c>
      <c r="B120" s="14" t="s">
        <v>5726</v>
      </c>
      <c r="C120" s="13" t="s">
        <v>5574</v>
      </c>
      <c r="D120" s="13" t="s">
        <v>5727</v>
      </c>
      <c r="E120" s="51" t="s">
        <v>5728</v>
      </c>
      <c r="F120" s="14" t="s">
        <v>5729</v>
      </c>
    </row>
    <row r="121" customFormat="false" ht="15" hidden="false" customHeight="false" outlineLevel="0" collapsed="false">
      <c r="A121" s="13" t="s">
        <v>5730</v>
      </c>
      <c r="B121" s="14" t="s">
        <v>5731</v>
      </c>
      <c r="C121" s="13" t="s">
        <v>5732</v>
      </c>
      <c r="D121" s="13" t="s">
        <v>5733</v>
      </c>
      <c r="E121" s="51" t="s">
        <v>5734</v>
      </c>
      <c r="F121" s="14" t="s">
        <v>5735</v>
      </c>
    </row>
    <row r="122" customFormat="false" ht="15" hidden="false" customHeight="false" outlineLevel="0" collapsed="false">
      <c r="A122" s="13" t="s">
        <v>5736</v>
      </c>
      <c r="B122" s="14" t="s">
        <v>5737</v>
      </c>
      <c r="C122" s="13" t="s">
        <v>5738</v>
      </c>
      <c r="D122" s="13" t="s">
        <v>5739</v>
      </c>
      <c r="E122" s="51" t="s">
        <v>5740</v>
      </c>
      <c r="F122" s="14" t="s">
        <v>5741</v>
      </c>
    </row>
    <row r="123" customFormat="false" ht="15" hidden="false" customHeight="false" outlineLevel="0" collapsed="false">
      <c r="A123" s="13" t="s">
        <v>5742</v>
      </c>
      <c r="B123" s="14" t="s">
        <v>5743</v>
      </c>
      <c r="C123" s="13" t="s">
        <v>5744</v>
      </c>
      <c r="D123" s="13" t="s">
        <v>3771</v>
      </c>
      <c r="E123" s="51" t="s">
        <v>5745</v>
      </c>
      <c r="F123" s="14" t="s">
        <v>5746</v>
      </c>
    </row>
    <row r="124" customFormat="false" ht="15" hidden="false" customHeight="false" outlineLevel="0" collapsed="false">
      <c r="A124" s="13" t="s">
        <v>5747</v>
      </c>
      <c r="B124" s="14" t="s">
        <v>5748</v>
      </c>
      <c r="C124" s="13" t="s">
        <v>5749</v>
      </c>
      <c r="D124" s="13" t="s">
        <v>5208</v>
      </c>
      <c r="E124" s="51" t="s">
        <v>5750</v>
      </c>
      <c r="F124" s="14" t="s">
        <v>5751</v>
      </c>
    </row>
    <row r="125" customFormat="false" ht="15" hidden="false" customHeight="false" outlineLevel="0" collapsed="false">
      <c r="A125" s="13" t="s">
        <v>4048</v>
      </c>
      <c r="B125" s="14" t="s">
        <v>5752</v>
      </c>
      <c r="C125" s="13" t="s">
        <v>5753</v>
      </c>
      <c r="D125" s="13" t="s">
        <v>5208</v>
      </c>
      <c r="E125" s="51" t="s">
        <v>5754</v>
      </c>
      <c r="F125" s="14" t="s">
        <v>5755</v>
      </c>
    </row>
    <row r="126" customFormat="false" ht="15" hidden="false" customHeight="false" outlineLevel="0" collapsed="false">
      <c r="A126" s="13" t="s">
        <v>5756</v>
      </c>
      <c r="B126" s="14" t="s">
        <v>5757</v>
      </c>
      <c r="C126" s="13" t="s">
        <v>5758</v>
      </c>
      <c r="D126" s="13" t="s">
        <v>5208</v>
      </c>
      <c r="E126" s="51" t="s">
        <v>5759</v>
      </c>
      <c r="F126" s="14" t="s">
        <v>5760</v>
      </c>
    </row>
    <row r="127" customFormat="false" ht="15" hidden="false" customHeight="false" outlineLevel="0" collapsed="false">
      <c r="A127" s="13" t="s">
        <v>4859</v>
      </c>
      <c r="B127" s="14" t="s">
        <v>5761</v>
      </c>
      <c r="C127" s="13" t="s">
        <v>4859</v>
      </c>
      <c r="D127" s="13" t="s">
        <v>5208</v>
      </c>
      <c r="E127" s="51" t="s">
        <v>5762</v>
      </c>
      <c r="F127" s="14" t="s">
        <v>5763</v>
      </c>
    </row>
    <row r="128" customFormat="false" ht="15" hidden="false" customHeight="false" outlineLevel="0" collapsed="false">
      <c r="A128" s="13" t="s">
        <v>5764</v>
      </c>
      <c r="B128" s="14" t="s">
        <v>5765</v>
      </c>
      <c r="C128" s="13" t="s">
        <v>5766</v>
      </c>
      <c r="D128" s="13" t="s">
        <v>5767</v>
      </c>
      <c r="E128" s="51" t="s">
        <v>5768</v>
      </c>
      <c r="F128" s="14" t="s">
        <v>5769</v>
      </c>
    </row>
    <row r="129" customFormat="false" ht="15" hidden="false" customHeight="false" outlineLevel="0" collapsed="false">
      <c r="A129" s="13" t="s">
        <v>5770</v>
      </c>
      <c r="B129" s="14" t="s">
        <v>5771</v>
      </c>
      <c r="C129" s="13" t="s">
        <v>5772</v>
      </c>
      <c r="D129" s="13" t="s">
        <v>5208</v>
      </c>
      <c r="E129" s="51" t="s">
        <v>5773</v>
      </c>
      <c r="F129" s="14" t="s">
        <v>5774</v>
      </c>
    </row>
    <row r="130" customFormat="false" ht="15" hidden="false" customHeight="false" outlineLevel="0" collapsed="false">
      <c r="A130" s="13" t="s">
        <v>5775</v>
      </c>
      <c r="B130" s="14" t="s">
        <v>5776</v>
      </c>
      <c r="C130" s="13" t="s">
        <v>5772</v>
      </c>
      <c r="D130" s="13" t="s">
        <v>5208</v>
      </c>
      <c r="E130" s="51" t="s">
        <v>5777</v>
      </c>
      <c r="F130" s="14" t="s">
        <v>5778</v>
      </c>
    </row>
    <row r="131" customFormat="false" ht="15" hidden="false" customHeight="false" outlineLevel="0" collapsed="false">
      <c r="A131" s="13" t="s">
        <v>5779</v>
      </c>
      <c r="B131" s="14" t="s">
        <v>5780</v>
      </c>
      <c r="C131" s="13" t="s">
        <v>5772</v>
      </c>
      <c r="D131" s="13" t="s">
        <v>5208</v>
      </c>
      <c r="E131" s="51" t="s">
        <v>5781</v>
      </c>
      <c r="F131" s="14" t="s">
        <v>5782</v>
      </c>
    </row>
    <row r="132" customFormat="false" ht="15" hidden="false" customHeight="false" outlineLevel="0" collapsed="false">
      <c r="A132" s="13" t="s">
        <v>5783</v>
      </c>
      <c r="B132" s="14" t="s">
        <v>5784</v>
      </c>
      <c r="C132" s="13" t="s">
        <v>5772</v>
      </c>
      <c r="D132" s="13" t="s">
        <v>5208</v>
      </c>
      <c r="E132" s="51" t="s">
        <v>5785</v>
      </c>
      <c r="F132" s="14" t="s">
        <v>5786</v>
      </c>
    </row>
    <row r="133" customFormat="false" ht="15" hidden="false" customHeight="false" outlineLevel="0" collapsed="false">
      <c r="A133" s="13" t="s">
        <v>5787</v>
      </c>
      <c r="B133" s="14" t="s">
        <v>5788</v>
      </c>
      <c r="C133" s="13" t="s">
        <v>5789</v>
      </c>
      <c r="D133" s="13" t="s">
        <v>5208</v>
      </c>
      <c r="E133" s="51" t="s">
        <v>5790</v>
      </c>
      <c r="F133" s="14" t="s">
        <v>5791</v>
      </c>
    </row>
    <row r="134" customFormat="false" ht="15" hidden="false" customHeight="false" outlineLevel="0" collapsed="false">
      <c r="A134" s="13" t="s">
        <v>5792</v>
      </c>
      <c r="B134" s="14" t="s">
        <v>5793</v>
      </c>
      <c r="C134" s="13" t="s">
        <v>5794</v>
      </c>
      <c r="D134" s="13" t="s">
        <v>5208</v>
      </c>
      <c r="E134" s="51" t="s">
        <v>5795</v>
      </c>
      <c r="F134" s="14" t="s">
        <v>5796</v>
      </c>
    </row>
    <row r="135" customFormat="false" ht="15" hidden="false" customHeight="false" outlineLevel="0" collapsed="false">
      <c r="A135" s="13" t="s">
        <v>5797</v>
      </c>
      <c r="B135" s="14" t="s">
        <v>5798</v>
      </c>
      <c r="C135" s="13" t="s">
        <v>5772</v>
      </c>
      <c r="D135" s="13" t="s">
        <v>5208</v>
      </c>
      <c r="E135" s="51" t="s">
        <v>5799</v>
      </c>
      <c r="F135" s="14" t="s">
        <v>5800</v>
      </c>
    </row>
    <row r="136" customFormat="false" ht="15" hidden="false" customHeight="false" outlineLevel="0" collapsed="false">
      <c r="A136" s="13" t="s">
        <v>5801</v>
      </c>
      <c r="B136" s="14" t="s">
        <v>5802</v>
      </c>
      <c r="C136" s="13" t="s">
        <v>5772</v>
      </c>
      <c r="D136" s="13" t="s">
        <v>5208</v>
      </c>
      <c r="E136" s="51" t="s">
        <v>5803</v>
      </c>
      <c r="F136" s="14" t="s">
        <v>5804</v>
      </c>
    </row>
    <row r="137" customFormat="false" ht="15" hidden="false" customHeight="false" outlineLevel="0" collapsed="false">
      <c r="A137" s="13" t="s">
        <v>5805</v>
      </c>
      <c r="B137" s="14" t="s">
        <v>5806</v>
      </c>
      <c r="C137" s="13" t="s">
        <v>5772</v>
      </c>
      <c r="D137" s="13" t="s">
        <v>5208</v>
      </c>
      <c r="E137" s="51" t="s">
        <v>5807</v>
      </c>
      <c r="F137" s="14" t="s">
        <v>5808</v>
      </c>
    </row>
    <row r="138" customFormat="false" ht="15" hidden="false" customHeight="false" outlineLevel="0" collapsed="false">
      <c r="A138" s="13" t="s">
        <v>5809</v>
      </c>
      <c r="B138" s="14" t="s">
        <v>5810</v>
      </c>
      <c r="C138" s="13" t="s">
        <v>5239</v>
      </c>
      <c r="D138" s="13" t="s">
        <v>5208</v>
      </c>
      <c r="E138" s="51" t="s">
        <v>5811</v>
      </c>
      <c r="F138" s="14" t="s">
        <v>5812</v>
      </c>
    </row>
    <row r="139" customFormat="false" ht="15" hidden="false" customHeight="false" outlineLevel="0" collapsed="false">
      <c r="A139" s="13" t="s">
        <v>5813</v>
      </c>
      <c r="B139" s="14" t="s">
        <v>5814</v>
      </c>
      <c r="C139" s="13" t="s">
        <v>5239</v>
      </c>
      <c r="D139" s="13" t="s">
        <v>5208</v>
      </c>
      <c r="E139" s="51" t="s">
        <v>5815</v>
      </c>
      <c r="F139" s="14" t="s">
        <v>5816</v>
      </c>
    </row>
    <row r="140" customFormat="false" ht="15" hidden="false" customHeight="false" outlineLevel="0" collapsed="false">
      <c r="A140" s="13" t="s">
        <v>5817</v>
      </c>
      <c r="B140" s="14" t="s">
        <v>5818</v>
      </c>
      <c r="C140" s="13" t="s">
        <v>5239</v>
      </c>
      <c r="D140" s="13" t="s">
        <v>5208</v>
      </c>
      <c r="E140" s="51" t="s">
        <v>5819</v>
      </c>
      <c r="F140" s="14" t="s">
        <v>5820</v>
      </c>
    </row>
    <row r="141" customFormat="false" ht="15" hidden="false" customHeight="false" outlineLevel="0" collapsed="false">
      <c r="A141" s="13" t="s">
        <v>5821</v>
      </c>
      <c r="B141" s="14" t="s">
        <v>5822</v>
      </c>
      <c r="C141" s="13" t="s">
        <v>5239</v>
      </c>
      <c r="D141" s="13" t="s">
        <v>5208</v>
      </c>
      <c r="E141" s="51" t="s">
        <v>5823</v>
      </c>
      <c r="F141" s="14" t="s">
        <v>5824</v>
      </c>
    </row>
    <row r="142" customFormat="false" ht="15" hidden="false" customHeight="false" outlineLevel="0" collapsed="false">
      <c r="A142" s="13" t="s">
        <v>5825</v>
      </c>
      <c r="B142" s="14" t="s">
        <v>5826</v>
      </c>
      <c r="C142" s="13" t="s">
        <v>5827</v>
      </c>
      <c r="D142" s="13" t="s">
        <v>5208</v>
      </c>
      <c r="E142" s="51" t="s">
        <v>5828</v>
      </c>
      <c r="F142" s="14" t="s">
        <v>5829</v>
      </c>
    </row>
    <row r="143" customFormat="false" ht="15" hidden="false" customHeight="false" outlineLevel="0" collapsed="false">
      <c r="A143" s="13" t="s">
        <v>5830</v>
      </c>
      <c r="B143" s="14" t="s">
        <v>5831</v>
      </c>
      <c r="C143" s="13" t="s">
        <v>5239</v>
      </c>
      <c r="D143" s="13" t="s">
        <v>5208</v>
      </c>
      <c r="E143" s="51" t="s">
        <v>5832</v>
      </c>
      <c r="F143" s="14" t="s">
        <v>5833</v>
      </c>
    </row>
    <row r="144" customFormat="false" ht="15" hidden="false" customHeight="false" outlineLevel="0" collapsed="false">
      <c r="A144" s="13" t="s">
        <v>5834</v>
      </c>
      <c r="B144" s="14" t="s">
        <v>5835</v>
      </c>
      <c r="C144" s="13" t="s">
        <v>5239</v>
      </c>
      <c r="D144" s="13" t="s">
        <v>5208</v>
      </c>
      <c r="E144" s="51" t="s">
        <v>5836</v>
      </c>
      <c r="F144" s="14" t="s">
        <v>5837</v>
      </c>
    </row>
    <row r="145" customFormat="false" ht="15" hidden="false" customHeight="false" outlineLevel="0" collapsed="false">
      <c r="A145" s="13" t="s">
        <v>5838</v>
      </c>
      <c r="B145" s="14" t="s">
        <v>5839</v>
      </c>
      <c r="C145" s="13" t="s">
        <v>5840</v>
      </c>
      <c r="D145" s="13" t="s">
        <v>5208</v>
      </c>
      <c r="E145" s="51" t="s">
        <v>5841</v>
      </c>
      <c r="F145" s="14" t="s">
        <v>5842</v>
      </c>
    </row>
    <row r="146" customFormat="false" ht="15" hidden="false" customHeight="false" outlineLevel="0" collapsed="false">
      <c r="A146" s="13" t="s">
        <v>5843</v>
      </c>
      <c r="B146" s="14" t="s">
        <v>5844</v>
      </c>
      <c r="C146" s="13" t="s">
        <v>5845</v>
      </c>
      <c r="D146" s="13" t="s">
        <v>5208</v>
      </c>
      <c r="E146" s="51" t="s">
        <v>5846</v>
      </c>
      <c r="F146" s="14" t="s">
        <v>5847</v>
      </c>
    </row>
    <row r="147" customFormat="false" ht="15" hidden="false" customHeight="false" outlineLevel="0" collapsed="false">
      <c r="A147" s="13" t="s">
        <v>5848</v>
      </c>
      <c r="B147" s="14" t="s">
        <v>5849</v>
      </c>
      <c r="C147" s="13" t="s">
        <v>5850</v>
      </c>
      <c r="D147" s="13" t="s">
        <v>5208</v>
      </c>
      <c r="E147" s="51" t="s">
        <v>5851</v>
      </c>
      <c r="F147" s="14" t="s">
        <v>5852</v>
      </c>
    </row>
    <row r="148" customFormat="false" ht="15" hidden="false" customHeight="false" outlineLevel="0" collapsed="false">
      <c r="A148" s="13" t="s">
        <v>5853</v>
      </c>
      <c r="B148" s="14" t="s">
        <v>5854</v>
      </c>
      <c r="C148" s="13" t="s">
        <v>5239</v>
      </c>
      <c r="D148" s="13" t="s">
        <v>5208</v>
      </c>
      <c r="E148" s="51" t="s">
        <v>5855</v>
      </c>
      <c r="F148" s="14" t="s">
        <v>5856</v>
      </c>
    </row>
    <row r="149" customFormat="false" ht="22.35" hidden="false" customHeight="false" outlineLevel="0" collapsed="false">
      <c r="A149" s="13" t="s">
        <v>5857</v>
      </c>
      <c r="B149" s="14" t="s">
        <v>5858</v>
      </c>
      <c r="C149" s="13" t="s">
        <v>5239</v>
      </c>
      <c r="D149" s="13" t="s">
        <v>5208</v>
      </c>
      <c r="E149" s="51" t="s">
        <v>5859</v>
      </c>
      <c r="F149" s="14" t="s">
        <v>5860</v>
      </c>
    </row>
    <row r="150" customFormat="false" ht="15" hidden="false" customHeight="false" outlineLevel="0" collapsed="false">
      <c r="A150" s="13" t="s">
        <v>5861</v>
      </c>
      <c r="B150" s="14" t="s">
        <v>5862</v>
      </c>
      <c r="C150" s="13" t="s">
        <v>5863</v>
      </c>
      <c r="D150" s="13" t="s">
        <v>5208</v>
      </c>
      <c r="E150" s="51" t="s">
        <v>5864</v>
      </c>
      <c r="F150" s="14" t="s">
        <v>5865</v>
      </c>
    </row>
    <row r="151" customFormat="false" ht="15" hidden="false" customHeight="false" outlineLevel="0" collapsed="false">
      <c r="A151" s="13" t="s">
        <v>5866</v>
      </c>
      <c r="B151" s="14" t="s">
        <v>5867</v>
      </c>
      <c r="C151" s="13" t="s">
        <v>5868</v>
      </c>
      <c r="D151" s="13" t="s">
        <v>5208</v>
      </c>
      <c r="E151" s="51" t="s">
        <v>5869</v>
      </c>
      <c r="F151" s="14" t="s">
        <v>5870</v>
      </c>
    </row>
    <row r="152" customFormat="false" ht="15" hidden="false" customHeight="false" outlineLevel="0" collapsed="false">
      <c r="A152" s="13" t="s">
        <v>5871</v>
      </c>
      <c r="B152" s="14" t="s">
        <v>5872</v>
      </c>
      <c r="C152" s="13" t="s">
        <v>5868</v>
      </c>
      <c r="D152" s="13" t="s">
        <v>5208</v>
      </c>
      <c r="E152" s="51" t="s">
        <v>5873</v>
      </c>
      <c r="F152" s="14" t="s">
        <v>5874</v>
      </c>
    </row>
    <row r="153" customFormat="false" ht="22.35" hidden="false" customHeight="false" outlineLevel="0" collapsed="false">
      <c r="A153" s="13" t="s">
        <v>5875</v>
      </c>
      <c r="B153" s="14" t="s">
        <v>5876</v>
      </c>
      <c r="C153" s="13" t="s">
        <v>5877</v>
      </c>
      <c r="D153" s="13" t="s">
        <v>5208</v>
      </c>
      <c r="E153" s="51" t="s">
        <v>5878</v>
      </c>
      <c r="F153" s="14" t="s">
        <v>5879</v>
      </c>
    </row>
    <row r="154" customFormat="false" ht="22.35" hidden="false" customHeight="false" outlineLevel="0" collapsed="false">
      <c r="A154" s="13" t="s">
        <v>5880</v>
      </c>
      <c r="B154" s="14" t="s">
        <v>5881</v>
      </c>
      <c r="C154" s="13" t="s">
        <v>5882</v>
      </c>
      <c r="D154" s="13" t="s">
        <v>5208</v>
      </c>
      <c r="E154" s="51" t="s">
        <v>5883</v>
      </c>
      <c r="F154" s="14" t="s">
        <v>5884</v>
      </c>
    </row>
    <row r="155" customFormat="false" ht="15" hidden="false" customHeight="false" outlineLevel="0" collapsed="false">
      <c r="A155" s="13" t="s">
        <v>5885</v>
      </c>
      <c r="B155" s="14" t="s">
        <v>5886</v>
      </c>
      <c r="C155" s="13" t="s">
        <v>5887</v>
      </c>
      <c r="D155" s="13" t="s">
        <v>5208</v>
      </c>
      <c r="E155" s="51" t="s">
        <v>5888</v>
      </c>
      <c r="F155" s="14" t="s">
        <v>5889</v>
      </c>
    </row>
    <row r="156" customFormat="false" ht="15" hidden="false" customHeight="false" outlineLevel="0" collapsed="false">
      <c r="A156" s="13" t="s">
        <v>5890</v>
      </c>
      <c r="B156" s="14" t="s">
        <v>5891</v>
      </c>
      <c r="C156" s="13" t="s">
        <v>5892</v>
      </c>
      <c r="D156" s="13" t="s">
        <v>5208</v>
      </c>
      <c r="E156" s="51" t="s">
        <v>5893</v>
      </c>
      <c r="F156" s="14" t="s">
        <v>5894</v>
      </c>
    </row>
    <row r="157" customFormat="false" ht="15" hidden="false" customHeight="false" outlineLevel="0" collapsed="false">
      <c r="A157" s="13" t="s">
        <v>5895</v>
      </c>
      <c r="B157" s="14" t="s">
        <v>5896</v>
      </c>
      <c r="C157" s="13" t="s">
        <v>5239</v>
      </c>
      <c r="D157" s="13" t="s">
        <v>5897</v>
      </c>
      <c r="E157" s="51" t="s">
        <v>5898</v>
      </c>
      <c r="F157" s="14" t="s">
        <v>5899</v>
      </c>
    </row>
    <row r="158" customFormat="false" ht="15" hidden="false" customHeight="false" outlineLevel="0" collapsed="false">
      <c r="A158" s="13" t="s">
        <v>5900</v>
      </c>
      <c r="B158" s="14" t="s">
        <v>5901</v>
      </c>
      <c r="C158" s="13" t="s">
        <v>5758</v>
      </c>
      <c r="D158" s="13" t="s">
        <v>5208</v>
      </c>
      <c r="E158" s="51" t="s">
        <v>5759</v>
      </c>
      <c r="F158" s="14" t="s">
        <v>5902</v>
      </c>
    </row>
  </sheetData>
  <autoFilter ref="A1:F158"/>
  <hyperlinks>
    <hyperlink ref="E2" r:id="rId1" display="https://www.fema.gov/sites/default/files/documents/fema_pa_schedule-equipment-rates_2025.pdf"/>
    <hyperlink ref="E3" r:id="rId2" display="https://www.fema.gov/sr/node/500264"/>
    <hyperlink ref="E4" r:id="rId3" display="https://emilms.fema.gov/is_1000/groups/247.html"/>
    <hyperlink ref="E5" r:id="rId4" display="https://www.publications.usace.army.mil/Portals/76/Users/182/86/2486/EP%201110-1-8_RV1-12.pdf"/>
    <hyperlink ref="E6" r:id="rId5" display="https://dot.ca.gov/-/media/dot-media/programs/construction/documents/equipment-rental-rates-and-labor-surcharge/book_26_27.pdf"/>
    <hyperlink ref="E7" r:id="rId6" display="https://dot.ca.gov/-/media/dot-media/programs/construction/documents/equipment-rental-rates-and-labor-surcharge/book_26_27_intv2.pdf"/>
    <hyperlink ref="E8" r:id="rId7" display="https://dot.ca.gov/-/media/dot-media/programs/construction/documents/equipment-rental-rates-and-labor-surcharge/book_26v3.pdf"/>
    <hyperlink ref="E9" r:id="rId8" display="https://wheelercat.com/wp-content/uploads/2023/01/Cat-Performance-Handbook-from-VST-fuel-consumption-2022-12-09T21-20-09.pdf"/>
    <hyperlink ref="E10" r:id="rId9" display="https://static1.squarespace.com/static/58877529414fb5283ed14a6b/t/58921922893fc04d5f058f32/1485969698763/Fuel+Table+-+Dozers.pdf"/>
    <hyperlink ref="E11" r:id="rId10" display="https://wheelercat.com/wp-content/uploads/2025/03/Cat-Performance-Handbook-Edition-50-June-2022.pdf"/>
    <hyperlink ref="E12" r:id="rId11" display="https://www.eia.gov/dnav/pet/hist/LeafHandler.ashx?n=PET&amp;s=EMD_EPD2D_PTE_NUS_DPG&amp;f=A"/>
    <hyperlink ref="E13" r:id="rId12" display="https://www.eia.gov/petroleum/gasdiesel/"/>
    <hyperlink ref="E14" r:id="rId13" display="https://equipmentwatch.com/resource/standby-rates/"/>
    <hyperlink ref="E15" r:id="rId14" display="https://equipmentwatch.com/resource/calculating-time-basis-of-rates/"/>
    <hyperlink ref="E16" r:id="rId15" display="https://equipmentwatch.com/resource/fhwa-rate/"/>
    <hyperlink ref="E17" r:id="rId16" display="https://equipmentwatch.com/?p=30581"/>
    <hyperlink ref="E18" r:id="rId17" display="https://wheelercat.com/wp-content/uploads/2025/03/2025-Construction-Equipment-Rental-Rates.pdf"/>
    <hyperlink ref="E19" r:id="rId18" display="https://www.columbusequipment.com/wp-content/uploads/2025/09/CER-Rental-Rate-Sheet-2025_REVISED-6.25.pdf"/>
    <hyperlink ref="E20" r:id="rId19" display="https://burris-media-cloud.s3.us-west-2.amazonaws.com/2025/03/Rental-Rate-Guide-Printable.pdf"/>
    <hyperlink ref="E21" r:id="rId20" display="https://www.rtlequipment.com/fckimages/rtlequipment-RentalRateSheet-2025.pdf"/>
    <hyperlink ref="E22" r:id="rId21" display="https://nuwayinc.com/Uploaded/Catalog/PDF/rentalrates_January2025.pdf"/>
    <hyperlink ref="E23" r:id="rId22" display="https://ahearnrents.com/rates/"/>
    <hyperlink ref="E24" r:id="rId23" display="https://dozr.com/blog/excavator-rental-cost"/>
    <hyperlink ref="E25" r:id="rId24" display="https://dozr.com/blog/telehandler-rental-cost"/>
    <hyperlink ref="E26" r:id="rId25" display="https://dozr.com/blog/dozer-rental-cost"/>
    <hyperlink ref="E27" r:id="rId26" display="https://dozr.com/blog/skid-steer-rental-cost"/>
    <hyperlink ref="E28" r:id="rId27" display="https://dozr.com/blog/scissor-lift-rental-cost"/>
    <hyperlink ref="E29" r:id="rId28" display="https://dozr.com/blog/boom-lift-rental-cost"/>
    <hyperlink ref="E30" r:id="rId29" display="https://www.rentd.com/air-compressor-rental/"/>
    <hyperlink ref="E31" r:id="rId30" display="https://www.angi.com/articles/excavator-rental-prices.htm"/>
    <hyperlink ref="E32" r:id="rId31" display="https://www.northtexascrane.com/siteart/pdf/2025-Crane-Rental-Rate-Sheet-1.pdf"/>
    <hyperlink ref="E33" r:id="rId32" display="https://dependablecrane.com/pricing/"/>
    <hyperlink ref="E34" r:id="rId33" display="https://centralfloridacraneservice.com/feeds/blog/crane-rental-rates-operator"/>
    <hyperlink ref="E35" r:id="rId34" display="https://www.bigrentz.com/blog/crane-rental-cost"/>
    <hyperlink ref="E36" r:id="rId35" display="https://concretepumpingohio.com/rental-rates/"/>
    <hyperlink ref="E37" r:id="rId36" display="https://cceonlinenews.com/concrete/concrete-pump-rental-cost-usa/"/>
    <hyperlink ref="E38" r:id="rId37" display="https://www.dli.mn.gov/business/employment-practices/prevailing-wage-region-1-minimum-truck-rental-rates"/>
    <hyperlink ref="E39" r:id="rId38" display="https://dumptruckrates.com/trucks/tri-axle-dump-truck/"/>
    <hyperlink ref="E40" r:id="rId39" display="https://www.thepricer.org/office-trailer-rental-costs/"/>
    <hyperlink ref="E41" r:id="rId40" display="https://www.boomandbucket.com/es/blog/cost-of-storage-containers"/>
    <hyperlink ref="E42" r:id="rId41" display="https://www.thepricer.org/temporary-fence-rental-cost/"/>
    <hyperlink ref="E43" r:id="rId42" display="https://equipnearby.com/guides/generator-rental-guide/"/>
    <hyperlink ref="E44" r:id="rId43" display="https://floridaairtool.com/rate-sheet/"/>
    <hyperlink ref="E45" r:id="rId44" display="https://www.unitedrentals.com/legal/rental-service-terms-us"/>
    <hyperlink ref="E46" r:id="rId45" display="https://www.dgs.internet.state.pa.us/COSTARSElecBiddAdmin/Supplier/DownloadCustomList/4586"/>
    <hyperlink ref="E47" r:id="rId46" display="https://admin.ks.gov/media/cms/1d10fe2c-549f-493b-939a-45bd1482fc2d.pdf"/>
    <hyperlink ref="E48" r:id="rId47" display="https://www.bigrentz.com/blog/scissor-lift-rental-cost"/>
    <hyperlink ref="E49" r:id="rId48" display="https://www.bigrentz.com/blog/boom-lift-rental-cost"/>
    <hyperlink ref="E50" r:id="rId49" display="https://scaffoldexchange.com/lifts-and-access/aerial-lift-rental-cost"/>
    <hyperlink ref="E51" r:id="rId50" display="https://www.liftincorporated.adpearance.com/catalog/aerial-and-material-handling-equipment/scissor-lifts/slab-scissor-lifts"/>
    <hyperlink ref="E52" r:id="rId51" display="https://lepporents.adpearance.com/catalog/access-equipment/boom-lifts"/>
    <hyperlink ref="E53" r:id="rId52" display="https://cdn2.antbuildz.com/images/600%20Series%20Spec%20Sheet%20A9220%20Compliant.pdf"/>
    <hyperlink ref="E54" r:id="rId53" display="https://www.jlg.com/en/directaccess/new-terminology-in-the-ansi-and-csa-standards"/>
    <hyperlink ref="E55" r:id="rId54" display="https://vulcanhammer.net/wp-content/uploads/2017/01/fm5_434.pdf"/>
    <hyperlink ref="E56" r:id="rId55" display="https://www.globalsecurity.org/military/library/policy/army/fm/5-434/chap8.pdf"/>
    <hyperlink ref="E57" r:id="rId56" display="https://pdf4pro.com/view/soil-processing-and-compaction-sweethaven02-com-152702.html"/>
    <hyperlink ref="E58" r:id="rId57" display="https://www.trngcmd.marines.mil/Portals/207/Docs/FLW/PRODUCTION%20ESTIMATIONS%20(Proposed%20Instructor%20Outline).pdf"/>
    <hyperlink ref="E59" r:id="rId58" display="https://faculty.ksu.edu.sa/sites/default/files/2.CE419_Ch2_0.pdf"/>
    <hyperlink ref="E60" r:id="rId59" display="https://faculty.ksu.edu.sa/sites/default/files/3.CE419-Ch3.1.pdf"/>
    <hyperlink ref="E61" r:id="rId60" display="https://faculty.ksu.edu.sa/sites/default/files/4.CE419-Ch4.2.pdf"/>
    <hyperlink ref="E62" r:id="rId61" display="https://fac.ksu.edu.sa/sites/default/files/Tutorial%203.pdf"/>
    <hyperlink ref="E63" r:id="rId62" display="https://faculty.ksu.edu.sa/sites/default/files/Tutorial%205.pdf"/>
    <hyperlink ref="E64" r:id="rId63" display="https://fac.ksu.edu.sa/sites/default/files/tutorial%206.pdf"/>
    <hyperlink ref="E65" r:id="rId64" display="https://fac.ksu.edu.sa/sites/default/files/Tutorial%207.pdf"/>
    <hyperlink ref="E66" r:id="rId65" display="https://fac.ksu.edu.sa/sites/default/files/list_of_equations_for_ce_417.pdf"/>
    <hyperlink ref="E67" r:id="rId66" display="https://www.cat.com/en_US/articles/ci-articles/bucket-fill-factors.html"/>
    <hyperlink ref="E68" r:id="rId67" display="https://www.cat.com/en_US/articles/for-owners/how-to-calculate-cat-wheel-loader-productivity.html"/>
    <hyperlink ref="E69" r:id="rId68" display="https://cat.com/en_US/articles/for-owners/measure-your-motor-grader-productivity.html"/>
    <hyperlink ref="E70" r:id="rId69" display="https://open-exam-prep.com/study-guides/pe-construction/operations-and-methods/equipment-selection-production"/>
    <hyperlink ref="E71" r:id="rId70" display="https://www.geometrics.com/wp-content/uploads/2018/10/S-TR15.pdf"/>
    <hyperlink ref="E72" r:id="rId71" display="https://web.mst.edu/rogersda/umrcourses/ge441/online_lectures/compaction/GE441-Lecture2-7.pdf"/>
    <hyperlink ref="E73" r:id="rId72" display="https://catalog.jamiesonequipment.com/printitem/all-categories-vibrators-plate-compactor-vibrators/ate-compactors-tp-series-vibrator-plate-compactors/tp-1830h"/>
    <hyperlink ref="E74" r:id="rId73" display="https://stormwater.com/bmps/article/13004765/how-to-select-a-soil-roller"/>
    <hyperlink ref="E75" r:id="rId74" display="https://files.cpuc.ca.gov/Environment/info/aspen/elm/pea/vol8_apx_m_water_usage.pdf"/>
    <hyperlink ref="E76" r:id="rId75" display="https://edurev.in/t/516184/Formula-Sheet-Construction-Methods"/>
    <hyperlink ref="E77" r:id="rId76" display="https://civils.ai/free-construction-estimating-software/soil-bulking-swell-factor"/>
    <hyperlink ref="E78" r:id="rId77" display="https://www.wisconsindot.gov/Documents/doing-bus/eng-consultants/cnslt-rsrces/tools/estimating/production-rate-table.pdf"/>
    <hyperlink ref="E79" r:id="rId78" display="https://ftp.txdot.gov/pub/txdot/cst/cst-production-rates.pdf"/>
    <hyperlink ref="E80" r:id="rId79" display="https://appstest.wsdot.wa.gov/publications/manuals/fulltext/M22-31/Appendix6.pdf"/>
    <hyperlink ref="E81" r:id="rId80" display="https://connect.ncdot.gov/letting/Division%20Letting%20Resources/Contract%20Time%20Guidelines.pdf"/>
    <hyperlink ref="E82" r:id="rId81" display="https://highways.dot.gov/sites/fhwa.dot.gov/files/docs/federal-lands/pddm/cfl/27321/cfl_guidelines.pdf"/>
    <hyperlink ref="E83" r:id="rId82" display="https://www.superpave.psu.edu/assets/docs/2025/Constructing-Quality-Asphalt-Pavements-Checklist-Booklet-2025-FINAL.pdf"/>
    <hyperlink ref="E84" r:id="rId83" display="https://www.asphaltinstitute.org/faq/how-many-rollers-are-required/"/>
    <hyperlink ref="E85" r:id="rId84" display="https://www.cat.com/en_US/products/new/equipment/cold-planers/cold-planer/227227255583048.html"/>
    <hyperlink ref="E86" r:id="rId85" display="https://www.forconstructionpros.com/concrete/article/21006661/placing-concrete-smarter"/>
    <hyperlink ref="E87" r:id="rId86" display="https://www.concrete.org/portals/0/files/pdf/webinars/ws_S21_Connolly.pdf"/>
    <hyperlink ref="E88" r:id="rId87" display="https://www.rermag.com/mag/article/20938274/trowel-power"/>
    <hyperlink ref="E89" r:id="rId88" display="https://thedriller.com/articles/86303-bore-planning"/>
    <hyperlink ref="E90" r:id="rId89" display="https://thedriller.com/articles/85848-what-size-hdd-rig"/>
    <hyperlink ref="E91" r:id="rId90" display="https://www.gti.energy/wp-content/uploads/2019/04/08-KeyholeSpring2019-GTI-OTD-Vacuum-Excavation-Project-Update-Presentation.pdf"/>
    <hyperlink ref="E92" r:id="rId91" display="https://www.cleaner.com/online_exclusives/2016/06/complementary_pipe_bursting_rigs_boost_contractors_productivity"/>
    <hyperlink ref="E93" r:id="rId92" display="https://www.iaarc.org/publications/fulltext/An_integrated_approach_to_the_development_of_construction_site_crane_operations.PDF"/>
    <hyperlink ref="E94" r:id="rId93" display="https://projul.com/blog/construction-heavy-haul-equipment-transport-guide/"/>
    <hyperlink ref="E95" r:id="rId94" display="https://otrucking.com/resources/guides/lowboy-trucking-rates/"/>
    <hyperlink ref="E96" r:id="rId95" display="https://otrucking.com/resources/guides/rgn-trailer-rates/"/>
    <hyperlink ref="E97" r:id="rId96" display="https://otrucking.com/resources/guides/hotshot-trucking-rates-per-mile/"/>
    <hyperlink ref="E98" r:id="rId97" display="https://www.dat.com/company/news-events/news-releases/dat-truckload-rates-rise-in-september-as-diesel-tops-6-a-gallon"/>
    <hyperlink ref="E99" r:id="rId98" display="https://www.txdmv.gov/motor-carriers/oversize-overweight-permits/general-single-trip"/>
    <hyperlink ref="E100" r:id="rId99" display="https://www.law.cornell.edu/cfr/text/23/658.17"/>
    <hyperlink ref="E101" r:id="rId100" display="https://www.ritchiespecs.com/model/caterpillar-336d-l-hydraulic-excavator"/>
    <hyperlink ref="E102" r:id="rId101" display="https://sv08data.dot.ca.gov/contractcost/memo.pdf"/>
    <hyperlink ref="E103" r:id="rId102" display="https://www.cliffsnotes.com/study-notes/28519784"/>
    <hyperlink ref="E104" r:id="rId103" display="https://www.gordian.com/resources/city-cost-index/"/>
    <hyperlink ref="E105" r:id="rId104" display="https://cartermachinery.com/uncategorized/cat-dozers-new-names-same-great-performance/"/>
    <hyperlink ref="E106" r:id="rId105" display="https://www.zieglercat.com/equipment/new/dozers"/>
    <hyperlink ref="E107" r:id="rId106" display="https://www.cat.com/en_US/by-industry/cross-industry-resources/hauling.html"/>
    <hyperlink ref="E108" r:id="rId107" display="https://www.bobcat.com/na/en/buying-resources/excavators/compact-excavator-buyers-guide/sizes-specifications"/>
    <hyperlink ref="E109" r:id="rId108" display="https://www.unitedrentals.com/marketplace/equipment/earthmoving-equipment"/>
    <hyperlink ref="E110" r:id="rId109" display="https://www.skidsteers.com/blog/skid-steer-sizes/"/>
    <hyperlink ref="E111" r:id="rId110" display="https://www.allcrane.com/resources/case-study/article/all-terrain-crane-vs.-truck-crane-vs.-boom-truck"/>
    <hyperlink ref="E112" r:id="rId111" display="https://www.putzmeister.com/web/middle-east/products/-/product-navigation/truck_mounted-concrete-pumps"/>
    <hyperlink ref="E113" r:id="rId112" display="https://www.getonecrew.com/post/asphalt-milling-machine"/>
    <hyperlink ref="E114" r:id="rId113" display="https://diesekogroup.com/vibratory-hammers/"/>
    <hyperlink ref="E115" r:id="rId114" display="https://eiffeltrading.com/blog/post/eiffel-101-4-types-of-pile-driving-hammers"/>
    <hyperlink ref="E116" r:id="rId115" display="https://epgtest.modot.org/files/a/a3/237.8_Contract_Time_Determination.pdf"/>
    <hyperlink ref="E117" r:id="rId116" display="https://www.profileproducts.com/wp-content/uploads/2026/03/hydroseeder-calibration-sheet-800gal.pdf"/>
    <hyperlink ref="E118" r:id="rId117" display="https://www.fjdynamics.com/blog/industry-insights-65/mini-excavator-rental-cost-539"/>
    <hyperlink ref="E119" r:id="rId118" display="https://www.fhwa.dot.gov/construction/contracts/860822.cfm"/>
    <hyperlink ref="E120" r:id="rId119" display="https://www.rermag.com/mag/article/20932580/all-over-the-place"/>
    <hyperlink ref="E121" r:id="rId120" display="https://www.dot.state.oh.us/Divisions/ConstructionMgt/OnlineDocs/Specifications/2013CMS/600/624.htm"/>
    <hyperlink ref="E122" r:id="rId121" display="https://asphaltcalculator.me/cost-estimator/equipment-rental"/>
    <hyperlink ref="E123" r:id="rId122" display="https://library.ctr.utexas.edu/ctr-publications/0-4416-1.pdf"/>
    <hyperlink ref="E124" r:id="rId123" display="https://www.dot.state.wy.us/files/live/sites/wydot/files/shared/Planning/Research/Rock%20Rippability.pdf"/>
    <hyperlink ref="E125" r:id="rId124" display="https://www.constructionequipment.com/refine-set-and-speed-profitable-trencher-production"/>
    <hyperlink ref="E126" r:id="rId125" display="https://www.sunbeltrentals.com/equipment-rental/0070025/19-electric-scissor-lift/"/>
    <hyperlink ref="E127" r:id="rId126" display="https://faculty.kfupm.edu.sa/ce/nshayea/CE353-071/CE353CH4.pdf"/>
    <hyperlink ref="E128" r:id="rId127" display="https://ascelibrary.com/doi/10.1061/9780784412480.079"/>
    <hyperlink ref="E129" r:id="rId128" display="https://www.deere.com/assets/pdfs/common/products/sync/ME135PAJ-135-p-tier-excavator.pdf"/>
    <hyperlink ref="E130" r:id="rId129" display="https://www.deere.com/assets/pdfs/common/products/sync/ME210PAU-210-p-tier-excavator.pdf"/>
    <hyperlink ref="E131" r:id="rId130" display="https://www.deere.com/assets/pdfs/common/products/sync/ME345PAJ-345-p-tier-excavator.pdf"/>
    <hyperlink ref="E132" r:id="rId131" display="https://www.deere.com/assets/pdfs/common/products/excavators/350-p-tier-mid-size-excavator-me350mau.pdf"/>
    <hyperlink ref="E133" r:id="rId132" display="https://www.companywrench.com/PDF/KOMATSU_PC360LC-11_SPECS.pdf"/>
    <hyperlink ref="E134" r:id="rId133" display="https://www.allmachines.com/excavators/komatsu-pc88mr-11"/>
    <hyperlink ref="E135" r:id="rId134" display="https://www.deere.com/assets/pdfs/common/products/sync/DKAXG35-35G-compact-excavator.pdf"/>
    <hyperlink ref="E136" r:id="rId135" display="https://www.deere.com/assets/pdfs/common/products/sync/DKCOMPREN-rental-product-comparison.pdf"/>
    <hyperlink ref="E137" r:id="rId136" display="https://www.deere.com/assets/pdfs/common/industries/construction/john-deere-construction-equipment-fleet-sheet-dkeceflt.pdf"/>
    <hyperlink ref="E138" r:id="rId137" display="https://www.cat.com/en_US/products/new/equipment/excavators/large-excavators/126440.html"/>
    <hyperlink ref="E139" r:id="rId138" display="https://www.cat.com/en_US/products/new/equipment/dozers/large-dozers/115080.html"/>
    <hyperlink ref="E140" r:id="rId139" display="https://www.cat.com/en_US/products/new/equipment/backhoe-loaders/center-pivot-backhoe-loaders/101260.html"/>
    <hyperlink ref="E141" r:id="rId140" display="https://cat.com/en_US/products/new/equipment/wheel-loaders/medium-wheel-loaders/1000029532.html"/>
    <hyperlink ref="E142" r:id="rId141" display="https://carletonequipment.com/products/bucket-heavy-duty-bobcat"/>
    <hyperlink ref="E143" r:id="rId142" display="https://www.cat.com/en_US/products/new/equipment/wheel-tractor-scrapers/open-bowl-scrapers/125862.html"/>
    <hyperlink ref="E144" r:id="rId143" display="https://www.cat.com/en_US/products/new/equipment/articulated-trucks/three-axle-articulated-trucks/1000032934.html"/>
    <hyperlink ref="E145" r:id="rId144" display="https://volvoce.com/united-states/en-us/products/articulated-haulers"/>
    <hyperlink ref="E146" r:id="rId145" display="https://www.customtruck.com/rental/vocational-trucks/dump-trucks/tandem-axle-16-cu-yd-rear-dump-truck/751-0200"/>
    <hyperlink ref="E147" r:id="rId146" display="https://www.truxnow.com/blog/dump-truck-fuel-consumption"/>
    <hyperlink ref="E148" r:id="rId147" display="https://www.cat.com/en_US/products/new/equipment/motor-graders/motor-graders/18346813.html"/>
    <hyperlink ref="E149" r:id="rId148" display="https://www.cat.com/en_US/products/new/equipment/compactors/vibratory-soil-compactors/18558720.html"/>
    <hyperlink ref="E150" r:id="rId149" display="https://www.roadsbridges.com/compacting-hot-mix-asphalt-pavements-part-ii"/>
    <hyperlink ref="E151" r:id="rId150" display="https://www.clevelandbrothers.com/products/753750-wp-1550aw"/>
    <hyperlink ref="E152" r:id="rId151" display="https://wackerneuson.com/media/contentserv/464010.pdf"/>
    <hyperlink ref="E153" r:id="rId152" display="https://www.atlascopco.com/content/dam/atlas-copco/local-countries/united-states/documents/ptna-usa/generators/QAS%20150-200%20JD%20T4F%20Product%20Reference.pdf?.html"/>
    <hyperlink ref="E154" r:id="rId153" display="https://america.sullair.com/sites/default/files/2026-08/LIT_185%20Brochure_en.pdf"/>
    <hyperlink ref="E155" r:id="rId154" display="https://apelectric.com/content/PDF/Generac/mlt6smds_spec_sheet.pdf"/>
    <hyperlink ref="E156" r:id="rId155" display="https://www.depcopump.com/datasheets/amt/5588-D6_Spec_Sheet.pdf"/>
    <hyperlink ref="E157" r:id="rId156" display="https://www.zeppelin.cz/fileadmin/helios_files/JPG/ToM/Cold_Planer_PM/PM620/PM620-02B_QEHQ2722-01_Key_Features_2021.pdf"/>
    <hyperlink ref="E158" r:id="rId157" display="https://www.sunbeltrentals.com/equipment-rental/0070025/19-electric-scissor-lif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8"/>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70"/>
    <col collapsed="false" customWidth="true" hidden="false" outlineLevel="0" max="4" min="4" style="0" width="45"/>
    <col collapsed="false" customWidth="true" hidden="false" outlineLevel="0" max="5" min="5" style="0" width="50"/>
    <col collapsed="false" customWidth="true" hidden="false" outlineLevel="0" max="6" min="6" style="0" width="13"/>
  </cols>
  <sheetData>
    <row r="1" customFormat="false" ht="15" hidden="false" customHeight="false" outlineLevel="0" collapsed="false">
      <c r="A1" s="10" t="s">
        <v>5903</v>
      </c>
      <c r="B1" s="10" t="s">
        <v>5904</v>
      </c>
      <c r="C1" s="10" t="s">
        <v>5905</v>
      </c>
      <c r="D1" s="10" t="s">
        <v>5906</v>
      </c>
      <c r="E1" s="10" t="s">
        <v>5907</v>
      </c>
      <c r="F1" s="10" t="s">
        <v>5908</v>
      </c>
    </row>
    <row r="2" customFormat="false" ht="22.35" hidden="false" customHeight="false" outlineLevel="0" collapsed="false">
      <c r="A2" s="29" t="n">
        <v>1</v>
      </c>
      <c r="B2" s="14" t="s">
        <v>18</v>
      </c>
      <c r="C2" s="14" t="s">
        <v>5909</v>
      </c>
      <c r="D2" s="14" t="s">
        <v>5910</v>
      </c>
      <c r="E2" s="14" t="s">
        <v>5911</v>
      </c>
      <c r="F2" s="14" t="s">
        <v>5912</v>
      </c>
    </row>
    <row r="3" customFormat="false" ht="22.35" hidden="false" customHeight="false" outlineLevel="0" collapsed="false">
      <c r="A3" s="29" t="n">
        <v>2</v>
      </c>
      <c r="B3" s="14" t="s">
        <v>18</v>
      </c>
      <c r="C3" s="14" t="s">
        <v>5913</v>
      </c>
      <c r="D3" s="14" t="s">
        <v>5914</v>
      </c>
      <c r="E3" s="14" t="s">
        <v>5915</v>
      </c>
      <c r="F3" s="14" t="s">
        <v>5912</v>
      </c>
    </row>
    <row r="4" customFormat="false" ht="22.35" hidden="false" customHeight="false" outlineLevel="0" collapsed="false">
      <c r="A4" s="29" t="n">
        <v>3</v>
      </c>
      <c r="B4" s="14" t="s">
        <v>18</v>
      </c>
      <c r="C4" s="14" t="s">
        <v>5916</v>
      </c>
      <c r="D4" s="14" t="s">
        <v>5917</v>
      </c>
      <c r="E4" s="14" t="s">
        <v>5918</v>
      </c>
      <c r="F4" s="14" t="s">
        <v>5912</v>
      </c>
    </row>
    <row r="5" customFormat="false" ht="22.35" hidden="false" customHeight="false" outlineLevel="0" collapsed="false">
      <c r="A5" s="29" t="n">
        <v>4</v>
      </c>
      <c r="B5" s="14" t="s">
        <v>18</v>
      </c>
      <c r="C5" s="14" t="s">
        <v>5919</v>
      </c>
      <c r="D5" s="14" t="s">
        <v>5920</v>
      </c>
      <c r="E5" s="14" t="s">
        <v>5921</v>
      </c>
      <c r="F5" s="14" t="s">
        <v>643</v>
      </c>
    </row>
    <row r="6" customFormat="false" ht="15" hidden="false" customHeight="false" outlineLevel="0" collapsed="false">
      <c r="A6" s="29" t="n">
        <v>5</v>
      </c>
      <c r="B6" s="14" t="s">
        <v>18</v>
      </c>
      <c r="C6" s="14" t="s">
        <v>5922</v>
      </c>
      <c r="D6" s="14" t="s">
        <v>5923</v>
      </c>
      <c r="E6" s="14" t="s">
        <v>5924</v>
      </c>
      <c r="F6" s="14" t="s">
        <v>643</v>
      </c>
    </row>
    <row r="7" customFormat="false" ht="22.35" hidden="false" customHeight="false" outlineLevel="0" collapsed="false">
      <c r="A7" s="29" t="n">
        <v>6</v>
      </c>
      <c r="B7" s="14" t="s">
        <v>5925</v>
      </c>
      <c r="C7" s="14" t="s">
        <v>5926</v>
      </c>
      <c r="D7" s="14" t="s">
        <v>5927</v>
      </c>
      <c r="E7" s="14" t="s">
        <v>5928</v>
      </c>
      <c r="F7" s="14" t="s">
        <v>5912</v>
      </c>
    </row>
    <row r="8" customFormat="false" ht="22.35" hidden="false" customHeight="false" outlineLevel="0" collapsed="false">
      <c r="A8" s="29" t="n">
        <v>7</v>
      </c>
      <c r="B8" s="14" t="s">
        <v>5925</v>
      </c>
      <c r="C8" s="14" t="s">
        <v>5929</v>
      </c>
      <c r="D8" s="14" t="s">
        <v>5930</v>
      </c>
      <c r="E8" s="14" t="s">
        <v>5931</v>
      </c>
      <c r="F8" s="14" t="s">
        <v>5912</v>
      </c>
    </row>
    <row r="9" customFormat="false" ht="32.8" hidden="false" customHeight="false" outlineLevel="0" collapsed="false">
      <c r="A9" s="29" t="n">
        <v>8</v>
      </c>
      <c r="B9" s="14" t="s">
        <v>5925</v>
      </c>
      <c r="C9" s="14" t="s">
        <v>5932</v>
      </c>
      <c r="D9" s="14" t="s">
        <v>5933</v>
      </c>
      <c r="E9" s="14" t="s">
        <v>5934</v>
      </c>
      <c r="F9" s="14" t="s">
        <v>5912</v>
      </c>
    </row>
    <row r="10" customFormat="false" ht="32.8" hidden="false" customHeight="false" outlineLevel="0" collapsed="false">
      <c r="A10" s="29" t="n">
        <v>9</v>
      </c>
      <c r="B10" s="14" t="s">
        <v>5925</v>
      </c>
      <c r="C10" s="14" t="s">
        <v>5935</v>
      </c>
      <c r="D10" s="14" t="s">
        <v>5936</v>
      </c>
      <c r="E10" s="14" t="s">
        <v>5937</v>
      </c>
      <c r="F10" s="14" t="s">
        <v>5912</v>
      </c>
    </row>
    <row r="11" customFormat="false" ht="15" hidden="false" customHeight="false" outlineLevel="0" collapsed="false">
      <c r="A11" s="29" t="n">
        <v>10</v>
      </c>
      <c r="B11" s="14" t="s">
        <v>5925</v>
      </c>
      <c r="C11" s="14" t="s">
        <v>5938</v>
      </c>
      <c r="D11" s="14" t="s">
        <v>5939</v>
      </c>
      <c r="E11" s="14" t="s">
        <v>5940</v>
      </c>
      <c r="F11" s="14" t="s">
        <v>643</v>
      </c>
    </row>
    <row r="12" customFormat="false" ht="22.35" hidden="false" customHeight="false" outlineLevel="0" collapsed="false">
      <c r="A12" s="29" t="n">
        <v>11</v>
      </c>
      <c r="B12" s="14" t="s">
        <v>5941</v>
      </c>
      <c r="C12" s="14" t="s">
        <v>5942</v>
      </c>
      <c r="D12" s="14" t="s">
        <v>5943</v>
      </c>
      <c r="E12" s="14" t="s">
        <v>5944</v>
      </c>
      <c r="F12" s="14" t="s">
        <v>5912</v>
      </c>
    </row>
    <row r="13" customFormat="false" ht="32.8" hidden="false" customHeight="false" outlineLevel="0" collapsed="false">
      <c r="A13" s="29" t="n">
        <v>12</v>
      </c>
      <c r="B13" s="14" t="s">
        <v>5941</v>
      </c>
      <c r="C13" s="14" t="s">
        <v>5945</v>
      </c>
      <c r="D13" s="14" t="s">
        <v>5946</v>
      </c>
      <c r="E13" s="14" t="s">
        <v>5947</v>
      </c>
      <c r="F13" s="14" t="s">
        <v>643</v>
      </c>
    </row>
    <row r="14" customFormat="false" ht="15" hidden="false" customHeight="false" outlineLevel="0" collapsed="false">
      <c r="A14" s="29" t="n">
        <v>13</v>
      </c>
      <c r="B14" s="14" t="s">
        <v>5941</v>
      </c>
      <c r="C14" s="14" t="s">
        <v>5948</v>
      </c>
      <c r="D14" s="14" t="s">
        <v>5949</v>
      </c>
      <c r="E14" s="14" t="s">
        <v>5950</v>
      </c>
      <c r="F14" s="14" t="s">
        <v>643</v>
      </c>
    </row>
    <row r="15" customFormat="false" ht="15" hidden="false" customHeight="false" outlineLevel="0" collapsed="false">
      <c r="A15" s="29" t="n">
        <v>14</v>
      </c>
      <c r="B15" s="14" t="s">
        <v>5941</v>
      </c>
      <c r="C15" s="14" t="s">
        <v>5951</v>
      </c>
      <c r="D15" s="14" t="s">
        <v>5952</v>
      </c>
      <c r="E15" s="14" t="s">
        <v>5953</v>
      </c>
      <c r="F15" s="14" t="s">
        <v>5954</v>
      </c>
    </row>
    <row r="16" customFormat="false" ht="32.8" hidden="false" customHeight="false" outlineLevel="0" collapsed="false">
      <c r="A16" s="29" t="n">
        <v>15</v>
      </c>
      <c r="B16" s="14" t="s">
        <v>5955</v>
      </c>
      <c r="C16" s="14" t="s">
        <v>5956</v>
      </c>
      <c r="D16" s="14" t="s">
        <v>5957</v>
      </c>
      <c r="E16" s="14" t="s">
        <v>5958</v>
      </c>
      <c r="F16" s="14" t="s">
        <v>643</v>
      </c>
    </row>
    <row r="17" customFormat="false" ht="22.35" hidden="false" customHeight="false" outlineLevel="0" collapsed="false">
      <c r="A17" s="29" t="n">
        <v>16</v>
      </c>
      <c r="B17" s="14" t="s">
        <v>5955</v>
      </c>
      <c r="C17" s="14" t="s">
        <v>5959</v>
      </c>
      <c r="D17" s="14" t="s">
        <v>5960</v>
      </c>
      <c r="E17" s="14" t="s">
        <v>5961</v>
      </c>
      <c r="F17" s="14" t="s">
        <v>5954</v>
      </c>
    </row>
    <row r="18" customFormat="false" ht="22.35" hidden="false" customHeight="false" outlineLevel="0" collapsed="false">
      <c r="A18" s="29" t="n">
        <v>17</v>
      </c>
      <c r="B18" s="14" t="s">
        <v>5955</v>
      </c>
      <c r="C18" s="14" t="s">
        <v>5962</v>
      </c>
      <c r="D18" s="14" t="s">
        <v>5963</v>
      </c>
      <c r="E18" s="14" t="s">
        <v>5964</v>
      </c>
      <c r="F18" s="14" t="s">
        <v>5954</v>
      </c>
    </row>
    <row r="19" customFormat="false" ht="43.25" hidden="false" customHeight="false" outlineLevel="0" collapsed="false">
      <c r="A19" s="29" t="n">
        <v>18</v>
      </c>
      <c r="B19" s="14" t="s">
        <v>5965</v>
      </c>
      <c r="C19" s="14" t="s">
        <v>5966</v>
      </c>
      <c r="D19" s="14" t="s">
        <v>5967</v>
      </c>
      <c r="E19" s="14" t="s">
        <v>5968</v>
      </c>
      <c r="F19" s="14" t="s">
        <v>643</v>
      </c>
    </row>
    <row r="20" customFormat="false" ht="15" hidden="false" customHeight="false" outlineLevel="0" collapsed="false">
      <c r="A20" s="29" t="n">
        <v>19</v>
      </c>
      <c r="B20" s="14" t="s">
        <v>5965</v>
      </c>
      <c r="C20" s="14" t="s">
        <v>5969</v>
      </c>
      <c r="D20" s="14" t="s">
        <v>5970</v>
      </c>
      <c r="E20" s="14" t="s">
        <v>5971</v>
      </c>
      <c r="F20" s="14" t="s">
        <v>5954</v>
      </c>
    </row>
    <row r="21" customFormat="false" ht="22.35" hidden="false" customHeight="false" outlineLevel="0" collapsed="false">
      <c r="A21" s="29" t="n">
        <v>20</v>
      </c>
      <c r="B21" s="14" t="s">
        <v>5972</v>
      </c>
      <c r="C21" s="14" t="s">
        <v>5973</v>
      </c>
      <c r="D21" s="14" t="s">
        <v>5974</v>
      </c>
      <c r="E21" s="14" t="s">
        <v>5975</v>
      </c>
      <c r="F21" s="14" t="s">
        <v>643</v>
      </c>
    </row>
    <row r="22" customFormat="false" ht="22.35" hidden="false" customHeight="false" outlineLevel="0" collapsed="false">
      <c r="A22" s="29" t="n">
        <v>21</v>
      </c>
      <c r="B22" s="14" t="s">
        <v>5972</v>
      </c>
      <c r="C22" s="14" t="s">
        <v>5976</v>
      </c>
      <c r="D22" s="14" t="s">
        <v>5977</v>
      </c>
      <c r="E22" s="14" t="s">
        <v>5978</v>
      </c>
      <c r="F22" s="14" t="s">
        <v>643</v>
      </c>
    </row>
    <row r="23" customFormat="false" ht="22.35" hidden="false" customHeight="false" outlineLevel="0" collapsed="false">
      <c r="A23" s="29" t="n">
        <v>22</v>
      </c>
      <c r="B23" s="14" t="s">
        <v>28</v>
      </c>
      <c r="C23" s="14" t="s">
        <v>5979</v>
      </c>
      <c r="D23" s="14" t="s">
        <v>5980</v>
      </c>
      <c r="E23" s="14" t="s">
        <v>5981</v>
      </c>
      <c r="F23" s="14" t="s">
        <v>643</v>
      </c>
    </row>
    <row r="24" customFormat="false" ht="22.35" hidden="false" customHeight="false" outlineLevel="0" collapsed="false">
      <c r="A24" s="29" t="n">
        <v>23</v>
      </c>
      <c r="B24" s="14" t="s">
        <v>4053</v>
      </c>
      <c r="C24" s="14" t="s">
        <v>5982</v>
      </c>
      <c r="D24" s="14" t="s">
        <v>5983</v>
      </c>
      <c r="E24" s="14" t="s">
        <v>5984</v>
      </c>
      <c r="F24" s="14" t="s">
        <v>5954</v>
      </c>
    </row>
    <row r="26" customFormat="false" ht="15" hidden="false" customHeight="false" outlineLevel="0" collapsed="false">
      <c r="A26" s="3" t="s">
        <v>5985</v>
      </c>
    </row>
    <row r="27" customFormat="false" ht="15" hidden="false" customHeight="false" outlineLevel="0" collapsed="false">
      <c r="B27" s="36" t="s">
        <v>5986</v>
      </c>
      <c r="C27" s="36" t="n">
        <f aca="false">COUNTIF(Equipment!AA:AA,"D")</f>
        <v>341</v>
      </c>
    </row>
    <row r="28" customFormat="false" ht="15" hidden="false" customHeight="false" outlineLevel="0" collapsed="false">
      <c r="B28" s="36" t="s">
        <v>5987</v>
      </c>
      <c r="C28" s="36" t="n">
        <f aca="false">COUNTIF(Equipment!AJ:AJ,"D")</f>
        <v>449</v>
      </c>
    </row>
    <row r="29" customFormat="false" ht="15" hidden="false" customHeight="false" outlineLevel="0" collapsed="false">
      <c r="B29" s="36" t="s">
        <v>5988</v>
      </c>
      <c r="C29" s="36" t="n">
        <f aca="false">COUNTIF(Equipment!AU:AU,"*Needs rate*")</f>
        <v>564</v>
      </c>
    </row>
    <row r="30" customFormat="false" ht="15" hidden="false" customHeight="false" outlineLevel="0" collapsed="false">
      <c r="B30" s="36" t="s">
        <v>5989</v>
      </c>
      <c r="C30" s="36" t="n">
        <f aca="false">COUNTIF(Equipment!AU:AU,"*⚠*")</f>
        <v>26</v>
      </c>
    </row>
    <row r="31" customFormat="false" ht="15" hidden="false" customHeight="false" outlineLevel="0" collapsed="false">
      <c r="B31" s="36" t="s">
        <v>5990</v>
      </c>
      <c r="C31" s="36" t="n">
        <f aca="false">COUNTIF(Equipment!AU:AU,"*Needs fuel*")</f>
        <v>289</v>
      </c>
    </row>
    <row r="32" customFormat="false" ht="15" hidden="false" customHeight="false" outlineLevel="0" collapsed="false">
      <c r="B32" s="36" t="s">
        <v>5991</v>
      </c>
      <c r="C32" s="36" t="n">
        <f aca="false">COUNTIF(Equipment!AU:AU,"*Non-monotonic*")</f>
        <v>29</v>
      </c>
    </row>
    <row r="33" customFormat="false" ht="15" hidden="false" customHeight="false" outlineLevel="0" collapsed="false">
      <c r="B33" s="36" t="s">
        <v>5992</v>
      </c>
      <c r="C33" s="36" t="n">
        <f aca="false">COUNTIF(Production!O:O,"D")</f>
        <v>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10"/>
  </cols>
  <sheetData>
    <row r="1" customFormat="false" ht="15" hidden="false" customHeight="false" outlineLevel="0" collapsed="false">
      <c r="A1" s="30" t="s">
        <v>5993</v>
      </c>
    </row>
    <row r="2" customFormat="false" ht="15" hidden="false" customHeight="false" outlineLevel="0" collapsed="false">
      <c r="A2" s="28" t="s">
        <v>5994</v>
      </c>
    </row>
    <row r="3" customFormat="false" ht="15" hidden="false" customHeight="false" outlineLevel="0" collapsed="false">
      <c r="A3" s="47" t="s">
        <v>5995</v>
      </c>
      <c r="B3" s="47" t="s">
        <v>4748</v>
      </c>
      <c r="C3" s="47" t="s">
        <v>5996</v>
      </c>
    </row>
    <row r="4" customFormat="false" ht="15" hidden="false" customHeight="false" outlineLevel="0" collapsed="false">
      <c r="A4" s="36" t="s">
        <v>5997</v>
      </c>
      <c r="B4" s="52" t="n">
        <v>6.276</v>
      </c>
      <c r="C4" s="14" t="s">
        <v>5998</v>
      </c>
    </row>
    <row r="5" customFormat="false" ht="15" hidden="false" customHeight="false" outlineLevel="0" collapsed="false">
      <c r="A5" s="36" t="s">
        <v>5999</v>
      </c>
      <c r="B5" s="52" t="n">
        <v>3.66</v>
      </c>
      <c r="C5" s="14" t="s">
        <v>6000</v>
      </c>
    </row>
    <row r="6" customFormat="false" ht="15" hidden="false" customHeight="false" outlineLevel="0" collapsed="false">
      <c r="A6" s="36" t="s">
        <v>6001</v>
      </c>
      <c r="B6" s="53" t="n">
        <v>50</v>
      </c>
      <c r="C6" s="14" t="s">
        <v>6002</v>
      </c>
    </row>
    <row r="7" customFormat="false" ht="15" hidden="false" customHeight="false" outlineLevel="0" collapsed="false">
      <c r="A7" s="36" t="s">
        <v>6003</v>
      </c>
      <c r="B7" s="54" t="n">
        <v>0.83</v>
      </c>
      <c r="C7" s="14" t="s">
        <v>6004</v>
      </c>
    </row>
    <row r="8" customFormat="false" ht="15" hidden="false" customHeight="false" outlineLevel="0" collapsed="false">
      <c r="A8" s="36" t="s">
        <v>6005</v>
      </c>
      <c r="B8" s="54" t="n">
        <v>1</v>
      </c>
      <c r="C8" s="14" t="s">
        <v>6006</v>
      </c>
    </row>
    <row r="9" customFormat="false" ht="15" hidden="false" customHeight="false" outlineLevel="0" collapsed="false">
      <c r="A9" s="36" t="s">
        <v>6007</v>
      </c>
      <c r="B9" s="52" t="n">
        <v>4.284</v>
      </c>
      <c r="C9" s="14" t="s">
        <v>6008</v>
      </c>
    </row>
    <row r="10" customFormat="false" ht="15" hidden="false" customHeight="false" outlineLevel="0" collapsed="false">
      <c r="A10" s="36" t="s">
        <v>6009</v>
      </c>
      <c r="B10" s="55"/>
      <c r="C10" s="14" t="s">
        <v>6010</v>
      </c>
    </row>
    <row r="11" customFormat="false" ht="15" hidden="false" customHeight="false" outlineLevel="0" collapsed="false">
      <c r="A11" s="36" t="s">
        <v>6011</v>
      </c>
      <c r="B11" s="56" t="n">
        <v>0.0486</v>
      </c>
      <c r="C11" s="14" t="s">
        <v>6012</v>
      </c>
    </row>
    <row r="12" customFormat="false" ht="15" hidden="false" customHeight="false" outlineLevel="0" collapsed="false">
      <c r="A12" s="36" t="s">
        <v>6013</v>
      </c>
      <c r="B12" s="56" t="n">
        <v>0.0917</v>
      </c>
      <c r="C12" s="14" t="s">
        <v>6014</v>
      </c>
    </row>
    <row r="13" customFormat="false" ht="15" hidden="false" customHeight="false" outlineLevel="0" collapsed="false">
      <c r="A13" s="36" t="s">
        <v>6015</v>
      </c>
      <c r="B13" s="54" t="n">
        <v>0.35</v>
      </c>
      <c r="C13" s="14" t="s">
        <v>6016</v>
      </c>
    </row>
    <row r="14" customFormat="false" ht="15" hidden="false" customHeight="false" outlineLevel="0" collapsed="false">
      <c r="A14" s="36" t="s">
        <v>6017</v>
      </c>
      <c r="B14" s="54" t="n">
        <v>0.46</v>
      </c>
      <c r="C14" s="14" t="s">
        <v>6018</v>
      </c>
    </row>
    <row r="15" customFormat="false" ht="15" hidden="false" customHeight="false" outlineLevel="0" collapsed="false">
      <c r="A15" s="36" t="s">
        <v>6019</v>
      </c>
      <c r="B15" s="54" t="n">
        <v>0.6</v>
      </c>
      <c r="C15" s="14" t="s">
        <v>6020</v>
      </c>
    </row>
    <row r="16" customFormat="false" ht="15" hidden="false" customHeight="false" outlineLevel="0" collapsed="false">
      <c r="A16" s="36" t="s">
        <v>6021</v>
      </c>
      <c r="B16" s="54" t="n">
        <v>3</v>
      </c>
      <c r="C16" s="14" t="s">
        <v>6022</v>
      </c>
    </row>
    <row r="17" customFormat="false" ht="15" hidden="false" customHeight="false" outlineLevel="0" collapsed="false">
      <c r="A17" s="36" t="s">
        <v>6023</v>
      </c>
      <c r="B17" s="54" t="n">
        <v>2.9</v>
      </c>
      <c r="C17" s="14" t="s">
        <v>6024</v>
      </c>
    </row>
    <row r="18" customFormat="false" ht="15" hidden="false" customHeight="false" outlineLevel="0" collapsed="false">
      <c r="A18" s="36" t="s">
        <v>6025</v>
      </c>
      <c r="B18" s="54" t="n">
        <v>1</v>
      </c>
      <c r="C18" s="14" t="s">
        <v>6026</v>
      </c>
    </row>
    <row r="19" customFormat="false" ht="15" hidden="false" customHeight="false" outlineLevel="0" collapsed="false">
      <c r="A19" s="36" t="s">
        <v>6027</v>
      </c>
      <c r="B19" s="57" t="n">
        <v>1</v>
      </c>
      <c r="C19" s="14" t="s">
        <v>6028</v>
      </c>
    </row>
    <row r="21" customFormat="false" ht="15" hidden="false" customHeight="false" outlineLevel="0" collapsed="false">
      <c r="A21" s="58" t="s">
        <v>6029</v>
      </c>
    </row>
    <row r="22" customFormat="false" ht="22.35" hidden="false" customHeight="false" outlineLevel="0" collapsed="false">
      <c r="A22" s="36" t="s">
        <v>6030</v>
      </c>
      <c r="B22" s="59"/>
      <c r="C22" s="14" t="s">
        <v>6031</v>
      </c>
    </row>
    <row r="23" customFormat="false" ht="15" hidden="false" customHeight="false" outlineLevel="0" collapsed="false">
      <c r="A23" s="36" t="s">
        <v>6032</v>
      </c>
      <c r="B23" s="59"/>
      <c r="C23" s="14" t="s">
        <v>6033</v>
      </c>
    </row>
    <row r="24" customFormat="false" ht="15" hidden="false" customHeight="false" outlineLevel="0" collapsed="false">
      <c r="A24" s="36" t="s">
        <v>6034</v>
      </c>
      <c r="B24" s="59"/>
      <c r="C24" s="14" t="s">
        <v>6035</v>
      </c>
    </row>
    <row r="25" customFormat="false" ht="15" hidden="false" customHeight="false" outlineLevel="0" collapsed="false">
      <c r="A25" s="36" t="s">
        <v>6036</v>
      </c>
      <c r="B25" s="59"/>
      <c r="C25" s="14" t="s">
        <v>6033</v>
      </c>
    </row>
    <row r="26" customFormat="false" ht="15" hidden="false" customHeight="false" outlineLevel="0" collapsed="false">
      <c r="A26" s="36" t="s">
        <v>6037</v>
      </c>
      <c r="B26" s="59"/>
      <c r="C26" s="14" t="s">
        <v>6038</v>
      </c>
    </row>
    <row r="27" customFormat="false" ht="15" hidden="false" customHeight="false" outlineLevel="0" collapsed="false">
      <c r="A27" s="36" t="s">
        <v>6039</v>
      </c>
      <c r="B27" s="59"/>
      <c r="C27" s="14" t="s">
        <v>6033</v>
      </c>
    </row>
    <row r="28" customFormat="false" ht="15" hidden="false" customHeight="false" outlineLevel="0" collapsed="false">
      <c r="A28" s="36" t="s">
        <v>6040</v>
      </c>
      <c r="B28" s="54" t="n">
        <v>2.49</v>
      </c>
      <c r="C28" s="14" t="s">
        <v>6041</v>
      </c>
    </row>
    <row r="29" customFormat="false" ht="15" hidden="false" customHeight="false" outlineLevel="0" collapsed="false">
      <c r="A29" s="36" t="s">
        <v>6042</v>
      </c>
      <c r="B29" s="54" t="n">
        <v>4.97</v>
      </c>
      <c r="C29" s="14" t="s">
        <v>6043</v>
      </c>
    </row>
    <row r="30" customFormat="false" ht="15" hidden="false" customHeight="false" outlineLevel="0" collapsed="false">
      <c r="A30" s="36" t="s">
        <v>6044</v>
      </c>
      <c r="B30" s="54" t="n">
        <v>0.05</v>
      </c>
      <c r="C30" s="14" t="s">
        <v>6045</v>
      </c>
    </row>
    <row r="31" customFormat="false" ht="15" hidden="false" customHeight="false" outlineLevel="0" collapsed="false">
      <c r="A31" s="36" t="s">
        <v>6046</v>
      </c>
      <c r="B31" s="54" t="n">
        <v>0.5</v>
      </c>
      <c r="C31" s="14" t="s">
        <v>6047</v>
      </c>
    </row>
    <row r="32" customFormat="false" ht="15" hidden="false" customHeight="false" outlineLevel="0" collapsed="false">
      <c r="A32" s="36" t="s">
        <v>6048</v>
      </c>
      <c r="B32" s="54" t="n">
        <v>0.6</v>
      </c>
      <c r="C32" s="14" t="s">
        <v>6049</v>
      </c>
    </row>
    <row r="33" customFormat="false" ht="15" hidden="false" customHeight="false" outlineLevel="0" collapsed="false">
      <c r="A33" s="36" t="s">
        <v>6050</v>
      </c>
      <c r="B33" s="54" t="n">
        <v>1</v>
      </c>
      <c r="C33" s="14" t="s">
        <v>6051</v>
      </c>
    </row>
    <row r="34" customFormat="false" ht="15" hidden="false" customHeight="false" outlineLevel="0" collapsed="false">
      <c r="A34" s="36" t="s">
        <v>6052</v>
      </c>
      <c r="B34" s="60" t="n">
        <v>0.833</v>
      </c>
      <c r="C34" s="14" t="s">
        <v>6053</v>
      </c>
    </row>
    <row r="35" customFormat="false" ht="15" hidden="false" customHeight="false" outlineLevel="0" collapsed="false">
      <c r="A35" s="36" t="s">
        <v>6054</v>
      </c>
      <c r="B35" s="53" t="n">
        <v>2300</v>
      </c>
      <c r="C35" s="14" t="s">
        <v>6055</v>
      </c>
    </row>
    <row r="36" customFormat="false" ht="15" hidden="false" customHeight="false" outlineLevel="0" collapsed="false">
      <c r="A36" s="36" t="s">
        <v>6056</v>
      </c>
      <c r="B36" s="61" t="n">
        <v>2.7</v>
      </c>
      <c r="C36" s="14" t="s">
        <v>6057</v>
      </c>
    </row>
    <row r="37" customFormat="false" ht="15" hidden="false" customHeight="false" outlineLevel="0" collapsed="false">
      <c r="A37" s="36" t="s">
        <v>6058</v>
      </c>
      <c r="B37" s="54" t="n">
        <v>0.5</v>
      </c>
      <c r="C37" s="14" t="s">
        <v>6059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2026-10-22T06:35:33Z</dcterms:created>
  <dc:creator>openpyxl</dc:creator>
  <dc:description/>
  <dc:language>en-US</dc:language>
  <cp:lastModifiedBy/>
  <dcterms:modified xsi:type="dcterms:W3CDTF">2026-10-22T06:35:34Z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